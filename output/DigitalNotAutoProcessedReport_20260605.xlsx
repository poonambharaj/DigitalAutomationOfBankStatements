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Processing Report" sheetId="1" r:id="rId1"/>
  </sheets>
  <definedNames>
    <definedName name="_xlnm.Print_Titles" localSheetId="0">'Data Processing Report'!$A:$E,'Data Processing Report'!$1:$1</definedName>
  </definedNames>
  <calcPr fullCalcOnLoad="1"/>
</workbook>
</file>

<file path=xl/sharedStrings.xml><?xml version="1.0" encoding="utf-8"?>
<sst xmlns="http://schemas.openxmlformats.org/spreadsheetml/2006/main" count="85" uniqueCount="85">
  <si>
    <t>Project</t>
  </si>
  <si>
    <t>Bank</t>
  </si>
  <si>
    <t>Pages</t>
  </si>
  <si>
    <t>Bank Of Ireland</t>
  </si>
  <si>
    <t>HSBC</t>
  </si>
  <si>
    <t>MetroBank</t>
  </si>
  <si>
    <t>Other</t>
  </si>
  <si>
    <t>Barclays</t>
  </si>
  <si>
    <t xml:space="preserve"> Revolut</t>
  </si>
  <si>
    <t>Lloyds TSB</t>
  </si>
  <si>
    <t>NA</t>
  </si>
  <si>
    <t>AIB</t>
  </si>
  <si>
    <t>Barclay</t>
  </si>
  <si>
    <t xml:space="preserve"> Tide bank</t>
  </si>
  <si>
    <t>Natwest_RG</t>
  </si>
  <si>
    <t>wise</t>
  </si>
  <si>
    <t>Nat West</t>
  </si>
  <si>
    <t>Citizens Bank</t>
  </si>
  <si>
    <t>Permanent TSB</t>
  </si>
  <si>
    <t>Barclay,Barclays</t>
  </si>
  <si>
    <t>Standard Bank</t>
  </si>
  <si>
    <t>NA,OTHER,Permanent TSB,ptsb,TSB</t>
  </si>
  <si>
    <t>Wise Business</t>
  </si>
  <si>
    <t>Santander,SantanderBank</t>
  </si>
  <si>
    <t>Revolut Business</t>
  </si>
  <si>
    <t>Virgin Money</t>
  </si>
  <si>
    <t>NA,Weatherbys Private Bank</t>
  </si>
  <si>
    <t>Metro Bank</t>
  </si>
  <si>
    <t>Capital One</t>
  </si>
  <si>
    <t>Amex</t>
  </si>
  <si>
    <t>Capital ONTAP</t>
  </si>
  <si>
    <t>Royal Bank Of Canada</t>
  </si>
  <si>
    <t>Danske</t>
  </si>
  <si>
    <t>STANDARD CHARTERED</t>
  </si>
  <si>
    <t>Bank Of Ireland,BarclayPLC</t>
  </si>
  <si>
    <t>TSB</t>
  </si>
  <si>
    <t>AmericanExpress</t>
  </si>
  <si>
    <t>Beaubear</t>
  </si>
  <si>
    <t>Scotia Bank</t>
  </si>
  <si>
    <t>Other select</t>
  </si>
  <si>
    <t>N/A</t>
  </si>
  <si>
    <t>Starling Bank</t>
  </si>
  <si>
    <t>zempler bank</t>
  </si>
  <si>
    <t>Cater Allen</t>
  </si>
  <si>
    <t>ANZ,HSBC</t>
  </si>
  <si>
    <t>Anna</t>
  </si>
  <si>
    <t>CAPITEC</t>
  </si>
  <si>
    <t>Capitec</t>
  </si>
  <si>
    <t>First National Bank</t>
  </si>
  <si>
    <t>MT</t>
  </si>
  <si>
    <t>ANZ</t>
  </si>
  <si>
    <t>OTHER,Royal Bank Of Canada</t>
  </si>
  <si>
    <t>REPUBLIC BANK LIMITITED</t>
  </si>
  <si>
    <t>bil</t>
  </si>
  <si>
    <t>Bank Of Scotland</t>
  </si>
  <si>
    <t>Alliance And Leicester,Amex</t>
  </si>
  <si>
    <t>Hoarse Bank</t>
  </si>
  <si>
    <t>OTHER</t>
  </si>
  <si>
    <t>Bank Of America</t>
  </si>
  <si>
    <t>Standard Bank of South Africa</t>
  </si>
  <si>
    <t>OTEHR</t>
  </si>
  <si>
    <t>Abbey Santander,OTHER</t>
  </si>
  <si>
    <t>Bank Of Cyprus,Bank Of Ireland</t>
  </si>
  <si>
    <t>other</t>
  </si>
  <si>
    <t>CIS ELECTRICAL LTD</t>
  </si>
  <si>
    <t>First National Bank,First Trust</t>
  </si>
  <si>
    <t>CommerceBank</t>
  </si>
  <si>
    <t>Territorial Savings Bank</t>
  </si>
  <si>
    <t>Monzo Bank</t>
  </si>
  <si>
    <t>capitec</t>
  </si>
  <si>
    <t>canda</t>
  </si>
  <si>
    <t>f</t>
  </si>
  <si>
    <t>CoOp,The Cooperative Bank</t>
  </si>
  <si>
    <t>Metro Bank,TD-Bank</t>
  </si>
  <si>
    <t>Credit Union,Intelligent Finance,UlsterBank</t>
  </si>
  <si>
    <t>COVENTRY,NA</t>
  </si>
  <si>
    <t>TD Canada Trust</t>
  </si>
  <si>
    <t>TideBank</t>
  </si>
  <si>
    <t>nutmeg state</t>
  </si>
  <si>
    <t>Safra National Bank</t>
  </si>
  <si>
    <t>Alliance And Leicester,Standard Bank</t>
  </si>
  <si>
    <t>TD-Bank</t>
  </si>
  <si>
    <t>First Trust</t>
  </si>
  <si>
    <t>AccBank,Alliance And Leicester</t>
  </si>
  <si>
    <t>Citi Gold,Other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</si>
</sst>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0"/>
      <name val="Arial"/>
    </font>
    <font>
      <b/>
      <sz val="10"/>
      <color rgb="FFFFFFFF" tint="0"/>
      <name val="Arial"/>
    </font>
    <font>
      <u/>
      <sz val="10"/>
      <color rgb="FF0576CA" tint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49" applyNumberFormat="1" fontId="1" applyFont="1" xfId="0" applyProtection="1"/>
    <xf numFmtId="3" applyNumberFormat="1" fontId="1" applyFont="1" xfId="0" applyProtection="1"/>
    <xf numFmtId="49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pp-web.statementrec.com/app#appuploadfiles/39dfaf43-c4f6-5c50-3613-8ee61d37c66f" TargetMode="External"/><Relationship Id="rId2" Type="http://schemas.openxmlformats.org/officeDocument/2006/relationships/hyperlink" Target="https://app-web.statementrec.com/app#appuploadfiles/39e26a0e-4c1a-9fd2-657a-ca1c1dec975d" TargetMode="External"/><Relationship Id="rId3" Type="http://schemas.openxmlformats.org/officeDocument/2006/relationships/hyperlink" Target="https://app-web.statementrec.com/app#appuploadfiles/39e38afd-c6c2-bf32-bea1-d406d0568cd8" TargetMode="External"/><Relationship Id="rId4" Type="http://schemas.openxmlformats.org/officeDocument/2006/relationships/hyperlink" Target="https://app-web.statementrec.com/app#appuploadfiles/39e6e711-bd0c-67a6-543e-af94bc87ac28" TargetMode="External"/><Relationship Id="rId5" Type="http://schemas.openxmlformats.org/officeDocument/2006/relationships/hyperlink" Target="https://app-web.statementrec.com/app#appuploadfiles/39e72f37-4a4d-a24c-86a9-d8a678467a07" TargetMode="External"/><Relationship Id="rId6" Type="http://schemas.openxmlformats.org/officeDocument/2006/relationships/hyperlink" Target="https://app-web.statementrec.com/app#appuploadfiles/39e7c9ff-47ec-88b0-01a9-c8046740c26f" TargetMode="External"/><Relationship Id="rId7" Type="http://schemas.openxmlformats.org/officeDocument/2006/relationships/hyperlink" Target="https://app-web.statementrec.com/app#appuploadfiles/39e90ebd-1371-3aa2-68d0-d4d6716c4350" TargetMode="External"/><Relationship Id="rId8" Type="http://schemas.openxmlformats.org/officeDocument/2006/relationships/hyperlink" Target="https://app-web.statementrec.com/app#appuploadfiles/39ec1796-4beb-fd00-12c3-6eb446238ed9" TargetMode="External"/><Relationship Id="rId9" Type="http://schemas.openxmlformats.org/officeDocument/2006/relationships/hyperlink" Target="https://app-web.statementrec.com/app#appuploadfiles/39eecfde-2eb5-ae62-df0c-c430081c51a9" TargetMode="External"/><Relationship Id="rId10" Type="http://schemas.openxmlformats.org/officeDocument/2006/relationships/hyperlink" Target="https://app-web.statementrec.com/app#appuploadfiles/39ef0dad-cc35-7a81-7fc3-42370fa2f35c" TargetMode="External"/><Relationship Id="rId11" Type="http://schemas.openxmlformats.org/officeDocument/2006/relationships/hyperlink" Target="https://app-web.statementrec.com/app#appuploadfiles/39ef83d7-b54d-79e7-be32-f583cba0a9e9" TargetMode="External"/><Relationship Id="rId12" Type="http://schemas.openxmlformats.org/officeDocument/2006/relationships/hyperlink" Target="https://app-web.statementrec.com/app#appuploadfiles/39f00957-297b-6935-4eac-82b7b2a3edfc" TargetMode="External"/><Relationship Id="rId13" Type="http://schemas.openxmlformats.org/officeDocument/2006/relationships/hyperlink" Target="https://app-web.statementrec.com/app#appuploadfiles/39f10f33-38fd-0ca3-ca3a-695b3bc70a61" TargetMode="External"/><Relationship Id="rId14" Type="http://schemas.openxmlformats.org/officeDocument/2006/relationships/hyperlink" Target="https://app-web.statementrec.com/app#appuploadfiles/39f1de39-ab48-da80-6795-5e207fe22f46" TargetMode="External"/><Relationship Id="rId15" Type="http://schemas.openxmlformats.org/officeDocument/2006/relationships/hyperlink" Target="https://app-web.statementrec.com/app#appuploadfiles/39f20c1c-671e-a73a-0206-9195629f56fb" TargetMode="External"/><Relationship Id="rId16" Type="http://schemas.openxmlformats.org/officeDocument/2006/relationships/hyperlink" Target="https://app-web.statementrec.com/app#appuploadfiles/39f467a7-75aa-0d8b-1e2e-1f2dfb151510" TargetMode="External"/><Relationship Id="rId17" Type="http://schemas.openxmlformats.org/officeDocument/2006/relationships/hyperlink" Target="https://app-web.statementrec.com/app#appuploadfiles/39f76b2f-189b-1f3f-7e92-da565698fe2d" TargetMode="External"/><Relationship Id="rId18" Type="http://schemas.openxmlformats.org/officeDocument/2006/relationships/hyperlink" Target="https://app-web.statementrec.com/app#appuploadfiles/39f78703-6d28-ca25-f763-615f48614ac2" TargetMode="External"/><Relationship Id="rId19" Type="http://schemas.openxmlformats.org/officeDocument/2006/relationships/hyperlink" Target="https://app-web.statementrec.com/app#appuploadfiles/39f79fd8-c950-b537-5ed9-67c76461e434" TargetMode="External"/><Relationship Id="rId20" Type="http://schemas.openxmlformats.org/officeDocument/2006/relationships/hyperlink" Target="https://app-web.statementrec.com/app#appuploadfiles/39f8e89c-5fe9-c465-f1eb-e86d9ee7d9e2" TargetMode="External"/><Relationship Id="rId21" Type="http://schemas.openxmlformats.org/officeDocument/2006/relationships/hyperlink" Target="https://app-web.statementrec.com/app#appuploadfiles/39f8fe54-f1ea-f1bd-235b-e09425ef1f18" TargetMode="External"/><Relationship Id="rId22" Type="http://schemas.openxmlformats.org/officeDocument/2006/relationships/hyperlink" Target="https://app-web.statementrec.com/app#appuploadfiles/39f99411-39c8-e0e9-ae2c-389c3c1f691d" TargetMode="External"/><Relationship Id="rId23" Type="http://schemas.openxmlformats.org/officeDocument/2006/relationships/hyperlink" Target="https://app-web.statementrec.com/app#appuploadfiles/39fae163-5732-6c0d-7394-80040dd87f3a" TargetMode="External"/><Relationship Id="rId24" Type="http://schemas.openxmlformats.org/officeDocument/2006/relationships/hyperlink" Target="https://app-web.statementrec.com/app#appuploadfiles/39fc1fa6-a013-806a-f03d-d420c76ebd04" TargetMode="External"/><Relationship Id="rId25" Type="http://schemas.openxmlformats.org/officeDocument/2006/relationships/hyperlink" Target="https://app-web.statementrec.com/app#appuploadfiles/39fd2cdc-8e2a-53c9-ba0a-518a82f2a242" TargetMode="External"/><Relationship Id="rId26" Type="http://schemas.openxmlformats.org/officeDocument/2006/relationships/hyperlink" Target="https://app-web.statementrec.com/app#appuploadfiles/39fd7388-4840-cdf0-6f15-5527eaa48192" TargetMode="External"/><Relationship Id="rId27" Type="http://schemas.openxmlformats.org/officeDocument/2006/relationships/hyperlink" Target="https://app-web.statementrec.com/app#appuploadfiles/39fee19a-caa6-13c5-1fcc-cbb4ed76396f" TargetMode="External"/><Relationship Id="rId28" Type="http://schemas.openxmlformats.org/officeDocument/2006/relationships/hyperlink" Target="https://app-web.statementrec.com/app#appuploadfiles/39fefb40-7907-82f2-d01b-34e42e06f9bb" TargetMode="External"/><Relationship Id="rId29" Type="http://schemas.openxmlformats.org/officeDocument/2006/relationships/hyperlink" Target="https://app-web.statementrec.com/app#appuploadfiles/39ffddb8-cb78-f5eb-52d6-8ad0aad3e042" TargetMode="External"/><Relationship Id="rId30" Type="http://schemas.openxmlformats.org/officeDocument/2006/relationships/hyperlink" Target="https://app-web.statementrec.com/app#appuploadfiles/3a00fe06-6c2a-f0fb-e05f-2e399fd4b262" TargetMode="External"/><Relationship Id="rId31" Type="http://schemas.openxmlformats.org/officeDocument/2006/relationships/hyperlink" Target="https://app-web.statementrec.com/app#appuploadfiles/3a018063-31b1-8296-8e48-b878ba3b4357" TargetMode="External"/><Relationship Id="rId32" Type="http://schemas.openxmlformats.org/officeDocument/2006/relationships/hyperlink" Target="https://app-web.statementrec.com/app#appuploadfiles/3a0183b6-711b-8bfd-8ef2-59e5e0032624" TargetMode="External"/><Relationship Id="rId33" Type="http://schemas.openxmlformats.org/officeDocument/2006/relationships/hyperlink" Target="https://app-web.statementrec.com/app#appuploadfiles/3a0276d8-2763-3e38-d082-fcd13f7888c6" TargetMode="External"/><Relationship Id="rId34" Type="http://schemas.openxmlformats.org/officeDocument/2006/relationships/hyperlink" Target="https://app-web.statementrec.com/app#appuploadfiles/3a02e2dd-5831-c326-13a3-176061540559" TargetMode="External"/><Relationship Id="rId35" Type="http://schemas.openxmlformats.org/officeDocument/2006/relationships/hyperlink" Target="https://app-web.statementrec.com/app#appuploadfiles/3a040ce3-b2fe-cb8b-b714-e5280e3e57cf" TargetMode="External"/><Relationship Id="rId36" Type="http://schemas.openxmlformats.org/officeDocument/2006/relationships/hyperlink" Target="https://app-web.statementrec.com/app#appuploadfiles/3a044ae0-b4d5-1234-c2c6-9a0149ce42c0" TargetMode="External"/><Relationship Id="rId37" Type="http://schemas.openxmlformats.org/officeDocument/2006/relationships/hyperlink" Target="https://app-web.statementrec.com/app#appuploadfiles/3a050e58-7172-1c2b-9dae-8472abfd36da" TargetMode="External"/><Relationship Id="rId38" Type="http://schemas.openxmlformats.org/officeDocument/2006/relationships/hyperlink" Target="https://app-web.statementrec.com/app#appuploadfiles/3a0570cd-09e0-17fc-9128-ba636fec9a26" TargetMode="External"/><Relationship Id="rId39" Type="http://schemas.openxmlformats.org/officeDocument/2006/relationships/hyperlink" Target="https://app-web.statementrec.com/app#appuploadfiles/3a057b2f-beb6-f440-c85c-d2ab929da287" TargetMode="External"/><Relationship Id="rId40" Type="http://schemas.openxmlformats.org/officeDocument/2006/relationships/hyperlink" Target="https://app-web.statementrec.com/app#appuploadfiles/3a062638-3cfc-9610-05db-2dbc672868b5" TargetMode="External"/><Relationship Id="rId41" Type="http://schemas.openxmlformats.org/officeDocument/2006/relationships/hyperlink" Target="https://app-web.statementrec.com/app#appuploadfiles/3a06482a-c630-66d5-564d-9403bb642f55" TargetMode="External"/><Relationship Id="rId42" Type="http://schemas.openxmlformats.org/officeDocument/2006/relationships/hyperlink" Target="https://app-web.statementrec.com/app#appuploadfiles/3a066893-49a3-4f39-897c-c4ef9d4626d6" TargetMode="External"/><Relationship Id="rId43" Type="http://schemas.openxmlformats.org/officeDocument/2006/relationships/hyperlink" Target="https://app-web.statementrec.com/app#appuploadfiles/3a0677bb-f3bd-5f30-47cc-0f04c7d86ee9" TargetMode="External"/><Relationship Id="rId44" Type="http://schemas.openxmlformats.org/officeDocument/2006/relationships/hyperlink" Target="https://app-web.statementrec.com/app#appuploadfiles/3a0763c7-26ef-1a21-3900-27dabb32e0f6" TargetMode="External"/><Relationship Id="rId45" Type="http://schemas.openxmlformats.org/officeDocument/2006/relationships/hyperlink" Target="https://app-web.statementrec.com/app#appuploadfiles/3a0804db-9f06-4ea0-9ab2-0bcfe954f6f4" TargetMode="External"/><Relationship Id="rId46" Type="http://schemas.openxmlformats.org/officeDocument/2006/relationships/hyperlink" Target="https://app-web.statementrec.com/app#appuploadfiles/3a09b8e0-98cf-15eb-9a21-60fbccbe3c7a" TargetMode="External"/><Relationship Id="rId47" Type="http://schemas.openxmlformats.org/officeDocument/2006/relationships/hyperlink" Target="https://app-web.statementrec.com/app#appuploadfiles/3a0a396f-c5e8-231c-aba6-fcf663ce13d6" TargetMode="External"/><Relationship Id="rId48" Type="http://schemas.openxmlformats.org/officeDocument/2006/relationships/hyperlink" Target="https://app-web.statementrec.com/app#appuploadfiles/3a0ace5e-dfdc-dfe1-70eb-1ef2181f5d9f" TargetMode="External"/><Relationship Id="rId49" Type="http://schemas.openxmlformats.org/officeDocument/2006/relationships/hyperlink" Target="https://app-web.statementrec.com/app#appuploadfiles/3a0b0bde-c9d0-608c-77fe-f03cac87e53e" TargetMode="External"/><Relationship Id="rId50" Type="http://schemas.openxmlformats.org/officeDocument/2006/relationships/hyperlink" Target="https://app-web.statementrec.com/app#appuploadfiles/3a0bec3f-3c8a-ccdb-b084-48e01fcbd992" TargetMode="External"/><Relationship Id="rId51" Type="http://schemas.openxmlformats.org/officeDocument/2006/relationships/hyperlink" Target="https://app-web.statementrec.com/app#appuploadfiles/3a0c6171-01d1-071a-584e-08ea025bd189" TargetMode="External"/><Relationship Id="rId52" Type="http://schemas.openxmlformats.org/officeDocument/2006/relationships/hyperlink" Target="https://app-web.statementrec.com/app#appuploadfiles/3a0d9afe-7798-3e05-a0c6-37f37bdca714" TargetMode="External"/><Relationship Id="rId53" Type="http://schemas.openxmlformats.org/officeDocument/2006/relationships/hyperlink" Target="https://app-web.statementrec.com/app#appuploadfiles/3a0db999-af5d-3bf5-d186-a318346b4e89" TargetMode="External"/><Relationship Id="rId54" Type="http://schemas.openxmlformats.org/officeDocument/2006/relationships/hyperlink" Target="https://app-web.statementrec.com/app#appuploadfiles/3a0e6fbe-5835-c8b3-efbf-d1b3ab8c816f" TargetMode="External"/><Relationship Id="rId55" Type="http://schemas.openxmlformats.org/officeDocument/2006/relationships/hyperlink" Target="https://app-web.statementrec.com/app#appuploadfiles/3a0ec253-1959-dcfd-da7d-52198b8440f8" TargetMode="External"/><Relationship Id="rId56" Type="http://schemas.openxmlformats.org/officeDocument/2006/relationships/hyperlink" Target="https://app-web.statementrec.com/app#appuploadfiles/3a0f0027-c4e9-b5eb-a17d-9a58fc97c832" TargetMode="External"/><Relationship Id="rId57" Type="http://schemas.openxmlformats.org/officeDocument/2006/relationships/hyperlink" Target="https://app-web.statementrec.com/app#appuploadfiles/3a0f23d9-d984-64c5-78d7-b92503350099" TargetMode="External"/><Relationship Id="rId58" Type="http://schemas.openxmlformats.org/officeDocument/2006/relationships/hyperlink" Target="https://app-web.statementrec.com/app#appuploadfiles/3a0f47d7-e370-147e-75e9-82dd1f8ca1f3" TargetMode="External"/><Relationship Id="rId59" Type="http://schemas.openxmlformats.org/officeDocument/2006/relationships/hyperlink" Target="https://app-web.statementrec.com/app#appuploadfiles/3a0fb6d5-3b0d-d693-3b3c-e78db9f65f2a" TargetMode="External"/><Relationship Id="rId60" Type="http://schemas.openxmlformats.org/officeDocument/2006/relationships/hyperlink" Target="https://app-web.statementrec.com/app#appuploadfiles/3a108f59-b4f9-f76a-08c8-e18bb23b534a" TargetMode="External"/><Relationship Id="rId61" Type="http://schemas.openxmlformats.org/officeDocument/2006/relationships/hyperlink" Target="https://app-web.statementrec.com/app#appuploadfiles/3a112677-920e-f68a-8070-f8b14284d3fc" TargetMode="External"/><Relationship Id="rId62" Type="http://schemas.openxmlformats.org/officeDocument/2006/relationships/hyperlink" Target="https://app-web.statementrec.com/app#appuploadfiles/3a116b62-870f-12bb-a2f9-60564e009c2d" TargetMode="External"/><Relationship Id="rId63" Type="http://schemas.openxmlformats.org/officeDocument/2006/relationships/hyperlink" Target="https://app-web.statementrec.com/app#appuploadfiles/3a119804-3f2b-4344-1bca-1552fe165934" TargetMode="External"/><Relationship Id="rId64" Type="http://schemas.openxmlformats.org/officeDocument/2006/relationships/hyperlink" Target="https://app-web.statementrec.com/app#appuploadfiles/3a12a909-4887-0d79-1ddf-93c82b91dfa8" TargetMode="External"/><Relationship Id="rId65" Type="http://schemas.openxmlformats.org/officeDocument/2006/relationships/hyperlink" Target="https://app-web.statementrec.com/app#appuploadfiles/3a12d08e-a41f-2a34-85c4-b32c5b535b08" TargetMode="External"/><Relationship Id="rId66" Type="http://schemas.openxmlformats.org/officeDocument/2006/relationships/hyperlink" Target="https://app-web.statementrec.com/app#appuploadfiles/3a12dd33-7ce4-0897-df88-3cb78570bd4b" TargetMode="External"/><Relationship Id="rId67" Type="http://schemas.openxmlformats.org/officeDocument/2006/relationships/hyperlink" Target="https://app-web.statementrec.com/app#appuploadfiles/3a12ffe6-752f-6bd8-0b1b-7085c4b141b9" TargetMode="External"/><Relationship Id="rId68" Type="http://schemas.openxmlformats.org/officeDocument/2006/relationships/hyperlink" Target="https://app-web.statementrec.com/app#appuploadfiles/3a1301f3-22f8-3a40-9c36-dbb241dd0dec" TargetMode="External"/><Relationship Id="rId69" Type="http://schemas.openxmlformats.org/officeDocument/2006/relationships/hyperlink" Target="https://app-web.statementrec.com/app#appuploadfiles/3a137168-8e94-51c1-d10f-ec6311fe297c" TargetMode="External"/><Relationship Id="rId70" Type="http://schemas.openxmlformats.org/officeDocument/2006/relationships/hyperlink" Target="https://app-web.statementrec.com/app#appuploadfiles/3a13801c-007c-d6fa-ab45-7fc11a751904" TargetMode="External"/><Relationship Id="rId71" Type="http://schemas.openxmlformats.org/officeDocument/2006/relationships/hyperlink" Target="https://app-web.statementrec.com/app#appuploadfiles/3a138a12-e46f-455a-eb08-dc55471f293b" TargetMode="External"/><Relationship Id="rId72" Type="http://schemas.openxmlformats.org/officeDocument/2006/relationships/hyperlink" Target="https://app-web.statementrec.com/app#appuploadfiles/3a13cd79-87ac-df84-fa76-f87afac779b4" TargetMode="External"/><Relationship Id="rId73" Type="http://schemas.openxmlformats.org/officeDocument/2006/relationships/hyperlink" Target="https://app-web.statementrec.com/app#appuploadfiles/3a13ce33-213e-1e97-26a4-97744f5544aa" TargetMode="External"/><Relationship Id="rId74" Type="http://schemas.openxmlformats.org/officeDocument/2006/relationships/hyperlink" Target="https://app-web.statementrec.com/app#appuploadfiles/3a13ebc0-cc10-e87e-5a68-6882fc80215c" TargetMode="External"/><Relationship Id="rId75" Type="http://schemas.openxmlformats.org/officeDocument/2006/relationships/hyperlink" Target="https://app-web.statementrec.com/app#appuploadfiles/3a14d4a6-ee68-bc54-8a24-a886329102c9" TargetMode="External"/><Relationship Id="rId76" Type="http://schemas.openxmlformats.org/officeDocument/2006/relationships/hyperlink" Target="https://app-web.statementrec.com/app#appuploadfiles/3a14eea6-a99c-ef81-9842-2fbf3dc65546" TargetMode="External"/><Relationship Id="rId77" Type="http://schemas.openxmlformats.org/officeDocument/2006/relationships/hyperlink" Target="https://app-web.statementrec.com/app#appuploadfiles/3a151c7a-c79a-4b64-797f-ec05b4ad0e78" TargetMode="External"/><Relationship Id="rId78" Type="http://schemas.openxmlformats.org/officeDocument/2006/relationships/hyperlink" Target="https://app-web.statementrec.com/app#appuploadfiles/3a153646-f937-a7c4-14d9-40c8c3eaecc9" TargetMode="External"/><Relationship Id="rId79" Type="http://schemas.openxmlformats.org/officeDocument/2006/relationships/hyperlink" Target="https://app-web.statementrec.com/app#appuploadfiles/3a15dea6-9333-3b3e-c660-8f9370e03ef9" TargetMode="External"/><Relationship Id="rId80" Type="http://schemas.openxmlformats.org/officeDocument/2006/relationships/hyperlink" Target="https://app-web.statementrec.com/app#appuploadfiles/3a1651ee-97c2-5859-ec27-807da6a0246c" TargetMode="External"/><Relationship Id="rId81" Type="http://schemas.openxmlformats.org/officeDocument/2006/relationships/hyperlink" Target="https://app-web.statementrec.com/app#appuploadfiles/3a16cc81-2d3e-631f-9e1b-d82e3e2726c8" TargetMode="External"/><Relationship Id="rId82" Type="http://schemas.openxmlformats.org/officeDocument/2006/relationships/hyperlink" Target="https://app-web.statementrec.com/app#appuploadfiles/3a16ec7c-f0c0-bf3e-9416-ec750e659eaf" TargetMode="External"/><Relationship Id="rId83" Type="http://schemas.openxmlformats.org/officeDocument/2006/relationships/hyperlink" Target="https://app-web.statementrec.com/app#appuploadfiles/3a17f385-731e-052b-4a14-881ce9e78424" TargetMode="External"/><Relationship Id="rId84" Type="http://schemas.openxmlformats.org/officeDocument/2006/relationships/hyperlink" Target="https://app-web.statementrec.com/app#appuploadfiles/3a1811df-b2ec-1591-0e44-9605974dfee7" TargetMode="External"/><Relationship Id="rId85" Type="http://schemas.openxmlformats.org/officeDocument/2006/relationships/hyperlink" Target="https://app-web.statementrec.com/app#appuploadfiles/3a19035b-4e86-945c-41e4-328df0ade754" TargetMode="External"/><Relationship Id="rId86" Type="http://schemas.openxmlformats.org/officeDocument/2006/relationships/hyperlink" Target="https://app-web.statementrec.com/app#appuploadfiles/3a190d55-1a5a-6154-bc32-b89758655787" TargetMode="External"/><Relationship Id="rId87" Type="http://schemas.openxmlformats.org/officeDocument/2006/relationships/hyperlink" Target="https://app-web.statementrec.com/app#appuploadfiles/3a192c3f-3f82-8176-fec8-e625fc36d057" TargetMode="External"/><Relationship Id="rId88" Type="http://schemas.openxmlformats.org/officeDocument/2006/relationships/hyperlink" Target="https://app-web.statementrec.com/app#appuploadfiles/3a193640-d408-5db8-68d4-5219f54f28be" TargetMode="External"/><Relationship Id="rId89" Type="http://schemas.openxmlformats.org/officeDocument/2006/relationships/hyperlink" Target="https://app-web.statementrec.com/app#appuploadfiles/3a19cbf7-921b-3b14-e4dd-9273710d88f9" TargetMode="External"/><Relationship Id="rId90" Type="http://schemas.openxmlformats.org/officeDocument/2006/relationships/hyperlink" Target="https://app-web.statementrec.com/app#appuploadfiles/3a19db93-853b-cc4e-8734-1d0fdddca93d" TargetMode="External"/><Relationship Id="rId91" Type="http://schemas.openxmlformats.org/officeDocument/2006/relationships/hyperlink" Target="https://app-web.statementrec.com/app#appuploadfiles/3a1a005d-6926-4f57-8079-4594243a2469" TargetMode="External"/><Relationship Id="rId92" Type="http://schemas.openxmlformats.org/officeDocument/2006/relationships/hyperlink" Target="https://app-web.statementrec.com/app#appuploadfiles/3a1a334f-9d99-ef9a-76d1-872a4e681109" TargetMode="External"/><Relationship Id="rId93" Type="http://schemas.openxmlformats.org/officeDocument/2006/relationships/hyperlink" Target="https://app-web.statementrec.com/app#appuploadfiles/3a1a947f-5bef-99c1-fc43-956c858b5cc9" TargetMode="External"/><Relationship Id="rId94" Type="http://schemas.openxmlformats.org/officeDocument/2006/relationships/hyperlink" Target="https://app-web.statementrec.com/app#appuploadfiles/3a1a9607-b2c6-3b04-7f7e-a0e2e27873a4" TargetMode="External"/><Relationship Id="rId95" Type="http://schemas.openxmlformats.org/officeDocument/2006/relationships/hyperlink" Target="https://app-web.statementrec.com/app#appuploadfiles/3a1ad2c5-eb3a-3246-3abc-57c8e7bd7478" TargetMode="External"/><Relationship Id="rId96" Type="http://schemas.openxmlformats.org/officeDocument/2006/relationships/hyperlink" Target="https://app-web.statementrec.com/app#appuploadfiles/3a1b8c68-ce02-c0f3-6d16-258bce8235ee" TargetMode="External"/><Relationship Id="rId97" Type="http://schemas.openxmlformats.org/officeDocument/2006/relationships/hyperlink" Target="https://app-web.statementrec.com/app#appuploadfiles/3a1bab72-43a3-5193-11df-a8a974f7a754" TargetMode="External"/><Relationship Id="rId98" Type="http://schemas.openxmlformats.org/officeDocument/2006/relationships/hyperlink" Target="https://app-web.statementrec.com/app#appuploadfiles/3a1bab77-6352-5bbf-3a54-75d1d1567ab0" TargetMode="External"/><Relationship Id="rId99" Type="http://schemas.openxmlformats.org/officeDocument/2006/relationships/hyperlink" Target="https://app-web.statementrec.com/app#appuploadfiles/3a1bb20d-0161-556a-f608-000916ff5868" TargetMode="External"/><Relationship Id="rId100" Type="http://schemas.openxmlformats.org/officeDocument/2006/relationships/hyperlink" Target="https://app-web.statementrec.com/app#appuploadfiles/3a1bd853-fa4c-17ba-14a5-7198601e0c88" TargetMode="External"/><Relationship Id="rId101" Type="http://schemas.openxmlformats.org/officeDocument/2006/relationships/hyperlink" Target="https://app-web.statementrec.com/app#appuploadfiles/3a1c2129-8ed4-73cc-ee13-67d91f7ef936" TargetMode="External"/><Relationship Id="rId102" Type="http://schemas.openxmlformats.org/officeDocument/2006/relationships/hyperlink" Target="https://app-web.statementrec.com/app#appuploadfiles/3a1c2ded-efed-5745-2492-a95af15113eb" TargetMode="External"/><Relationship Id="rId103" Type="http://schemas.openxmlformats.org/officeDocument/2006/relationships/hyperlink" Target="https://app-web.statementrec.com/app#appuploadfiles/3a1c5f0e-613d-4a93-5fd2-979e83ba0efa" TargetMode="External"/><Relationship Id="rId104" Type="http://schemas.openxmlformats.org/officeDocument/2006/relationships/hyperlink" Target="https://app-web.statementrec.com/app#appuploadfiles/3a1c5f1c-f6f2-35c9-6a62-6d11164bce5d" TargetMode="External"/><Relationship Id="rId105" Type="http://schemas.openxmlformats.org/officeDocument/2006/relationships/hyperlink" Target="https://app-web.statementrec.com/app#appuploadfiles/3a1cf7c4-ca8a-023e-b7c1-c6da2c8952a7" TargetMode="External"/><Relationship Id="rId106" Type="http://schemas.openxmlformats.org/officeDocument/2006/relationships/hyperlink" Target="https://app-web.statementrec.com/app#appuploadfiles/3a1d7f6b-a2d9-d441-27aa-264c74939c40" TargetMode="External"/><Relationship Id="rId107" Type="http://schemas.openxmlformats.org/officeDocument/2006/relationships/hyperlink" Target="https://app-web.statementrec.com/app#appuploadfiles/3a1dba84-3949-f575-c9ee-8ae136f3f69b" TargetMode="External"/><Relationship Id="rId108" Type="http://schemas.openxmlformats.org/officeDocument/2006/relationships/hyperlink" Target="https://app-web.statementrec.com/app#appuploadfiles/3a1e5df7-8eb0-a998-522d-4adc50979ef9" TargetMode="External"/><Relationship Id="rId109" Type="http://schemas.openxmlformats.org/officeDocument/2006/relationships/hyperlink" Target="https://app-web.statementrec.com/app#appuploadfiles/3a1ed7aa-8ff4-7b42-b1ff-9128c2dd28b2" TargetMode="External"/><Relationship Id="rId110" Type="http://schemas.openxmlformats.org/officeDocument/2006/relationships/hyperlink" Target="https://app-web.statementrec.com/app#appuploadfiles/3a1f2faa-e359-4cb0-fb1e-ebbfb9812267" TargetMode="External"/><Relationship Id="rId111" Type="http://schemas.openxmlformats.org/officeDocument/2006/relationships/hyperlink" Target="https://app-web.statementrec.com/app#appuploadfiles/3a1f547f-42f7-a761-f017-4acb2bc77b01" TargetMode="External"/><Relationship Id="rId112" Type="http://schemas.openxmlformats.org/officeDocument/2006/relationships/hyperlink" Target="https://app-web.statementrec.com/app#appuploadfiles/3a1f6962-5df8-4b2b-8a5c-003bae6fc1e8" TargetMode="External"/><Relationship Id="rId113" Type="http://schemas.openxmlformats.org/officeDocument/2006/relationships/hyperlink" Target="https://app-web.statementrec.com/app#appuploadfiles/3a1f7d5e-5c0b-ad74-ef85-7224015f7cd4" TargetMode="External"/><Relationship Id="rId114" Type="http://schemas.openxmlformats.org/officeDocument/2006/relationships/hyperlink" Target="https://app-web.statementrec.com/app#appuploadfiles/3a1f7f79-fa90-f28b-4a89-d12be9a5aef2" TargetMode="External"/><Relationship Id="rId115" Type="http://schemas.openxmlformats.org/officeDocument/2006/relationships/hyperlink" Target="https://app-web.statementrec.com/app#appuploadfiles/3a1fcf81-786b-f0e1-009f-786799199381" TargetMode="External"/><Relationship Id="rId116" Type="http://schemas.openxmlformats.org/officeDocument/2006/relationships/hyperlink" Target="https://app-web.statementrec.com/app#appuploadfiles/3a1fe472-e1c2-342a-b9ad-b0432e1cd4ef" TargetMode="External"/><Relationship Id="rId117" Type="http://schemas.openxmlformats.org/officeDocument/2006/relationships/hyperlink" Target="https://app-web.statementrec.com/app#appuploadfiles/3a20bc42-4df3-885b-d923-34e6756c4bb2" TargetMode="External"/><Relationship Id="rId118" Type="http://schemas.openxmlformats.org/officeDocument/2006/relationships/hyperlink" Target="https://app-web.statementrec.com/app#appuploadfiles/3a20e15c-42e4-2591-ef6c-5747a18f991e" TargetMode="External"/><Relationship Id="rId119" Type="http://schemas.openxmlformats.org/officeDocument/2006/relationships/hyperlink" Target="https://app-web.statementrec.com/app#appuploadfiles/3a210c04-6ae0-e210-3022-1169b2598d8b" TargetMode="External"/><Relationship Id="rId120" Type="http://schemas.openxmlformats.org/officeDocument/2006/relationships/hyperlink" Target="https://app-web.statementrec.com/app#appuploadfiles/3a2128d6-a351-0fa6-d3bf-3f6e70c3c843" TargetMode="External"/><Relationship Id="rId121" Type="http://schemas.openxmlformats.org/officeDocument/2006/relationships/hyperlink" Target="https://app-web.statementrec.com/app#appuploadfiles/3a2151bf-b799-de31-064f-3042a1f9c201" TargetMode="External"/><Relationship Id="rId122" Type="http://schemas.openxmlformats.org/officeDocument/2006/relationships/hyperlink" Target="https://app-web.statementrec.com/app#appuploadfiles/3a2156b2-9b4a-1613-977a-5a1b39283c0d" TargetMode="External"/><Relationship Id="rId123" Type="http://schemas.openxmlformats.org/officeDocument/2006/relationships/hyperlink" Target="https://app-web.statementrec.com/app#appuploadfiles/3a21581d-49e1-31df-3f9b-5a114b689941" TargetMode="External"/><Relationship Id="rId124" Type="http://schemas.openxmlformats.org/officeDocument/2006/relationships/hyperlink" Target="https://app-web.statementrec.com/app#appuploadfiles/3a2180ac-34e0-764c-8e30-9fb4cf3a169a" TargetMode="External"/><Relationship Id="rId125" Type="http://schemas.openxmlformats.org/officeDocument/2006/relationships/hyperlink" Target="https://app-web.statementrec.com/app#appuploadfiles/3a2187eb-7399-53e3-418e-f1c7a13363c1" TargetMode="External"/><Relationship Id="rId126" Type="http://schemas.openxmlformats.org/officeDocument/2006/relationships/hyperlink" Target="https://app-web.statementrec.com/app#appuploadfiles/3a21a463-2f37-653d-ca99-e542d578dd4d" TargetMode="External"/><Relationship Id="rId127" Type="http://schemas.openxmlformats.org/officeDocument/2006/relationships/hyperlink" Target="https://app-web.statementrec.com/app#appuploadfiles/3a21a5a4-a827-c7b3-93e6-f70226c42f60" TargetMode="External"/><Relationship Id="rId128" Type="http://schemas.openxmlformats.org/officeDocument/2006/relationships/hyperlink" Target="https://app-web.statementrec.com/app#appuploadfiles/3a21a79d-b8ba-9036-f1bb-0abcd065371d" TargetMode="External"/><Relationship Id="rId129" Type="http://schemas.openxmlformats.org/officeDocument/2006/relationships/hyperlink" Target="https://app-web.statementrec.com/app#appuploadfiles/3a21a7b2-032a-f69a-19c7-40f26d71f611" TargetMode="External"/><Relationship Id="rId130" Type="http://schemas.openxmlformats.org/officeDocument/2006/relationships/hyperlink" Target="https://app-web.statementrec.com/app#appuploadfiles/3a21a7c1-20ca-7865-f708-926acbaf5048" TargetMode="External"/><Relationship Id="rId131" Type="http://schemas.openxmlformats.org/officeDocument/2006/relationships/hyperlink" Target="https://app-web.statementrec.com/app#appuploadfiles/3a21a877-88f0-4e72-f245-9d4519c97506" TargetMode="External"/><Relationship Id="rId132" Type="http://schemas.openxmlformats.org/officeDocument/2006/relationships/hyperlink" Target="https://app-web.statementrec.com/app#appuploadfiles/3a21a8cc-0a2f-1ce9-8c3d-ae7a7d8cc537" TargetMode="External"/><Relationship Id="rId133" Type="http://schemas.openxmlformats.org/officeDocument/2006/relationships/hyperlink" Target="https://app-web.statementrec.com/app#appuploadfiles/3a21a8e2-b3bb-711b-30bf-f92fb0ea1d1a" TargetMode="External"/><Relationship Id="rId134" Type="http://schemas.openxmlformats.org/officeDocument/2006/relationships/hyperlink" Target="https://app-web.statementrec.com/app#appuploadfiles/3a21a8f2-7a6f-7de0-d933-7b9a0263543e" TargetMode="External"/><Relationship Id="rId135" Type="http://schemas.openxmlformats.org/officeDocument/2006/relationships/hyperlink" Target="https://app-web.statementrec.com/app#appuploadfiles/3a21a8f5-68f5-08b0-2b4d-fe2b74243a3e" TargetMode="External"/><Relationship Id="rId136" Type="http://schemas.openxmlformats.org/officeDocument/2006/relationships/hyperlink" Target="https://app-web.statementrec.com/app#appuploadfiles/3a21a8fb-3626-09d4-7458-6f90e7cbb5f2" TargetMode="External"/><Relationship Id="rId137" Type="http://schemas.openxmlformats.org/officeDocument/2006/relationships/hyperlink" Target="https://app-web.statementrec.com/app#appuploadfiles/3a21a902-e37e-d055-e19d-996e044f8fa4" TargetMode="External"/><Relationship Id="rId138" Type="http://schemas.openxmlformats.org/officeDocument/2006/relationships/hyperlink" Target="https://app-web.statementrec.com/app#appuploadfiles/3a21a904-6bf8-da1a-0786-faf3fb470898" TargetMode="External"/><Relationship Id="rId139" Type="http://schemas.openxmlformats.org/officeDocument/2006/relationships/hyperlink" Target="https://app-web.statementrec.com/app#appuploadfiles/3a21a920-2755-ea44-3361-f439fa4d1cce" TargetMode="External"/><Relationship Id="rId140" Type="http://schemas.openxmlformats.org/officeDocument/2006/relationships/hyperlink" Target="https://app-web.statementrec.com/app#appuploadfiles/3a21a920-3c57-2ccd-696a-fb4cb06fcb11" TargetMode="External"/><Relationship Id="rId141" Type="http://schemas.openxmlformats.org/officeDocument/2006/relationships/hyperlink" Target="https://app-web.statementrec.com/app#appuploadfiles/3a21a938-a53d-1e25-19a5-f3ed43d432ff" TargetMode="External"/><Relationship Id="rId142" Type="http://schemas.openxmlformats.org/officeDocument/2006/relationships/hyperlink" Target="https://app-web.statementrec.com/app#appuploadfiles/3a21a93e-9bbb-c7b2-ca7e-7b29a9a67bf7" TargetMode="External"/><Relationship Id="rId143" Type="http://schemas.openxmlformats.org/officeDocument/2006/relationships/hyperlink" Target="https://app-web.statementrec.com/app#appuploadfiles/3a21a94c-e247-06a0-b30f-20e96890c8b4" TargetMode="External"/><Relationship Id="rId144" Type="http://schemas.openxmlformats.org/officeDocument/2006/relationships/hyperlink" Target="https://app-web.statementrec.com/app#appuploadfiles/3a21a96a-dfbf-dd8d-160a-77fb7f102125" TargetMode="External"/><Relationship Id="rId145" Type="http://schemas.openxmlformats.org/officeDocument/2006/relationships/hyperlink" Target="https://app-web.statementrec.com/app#appuploadfiles/3a21a970-5adf-1432-e6a4-f0760ebe18b6" TargetMode="External"/><Relationship Id="rId146" Type="http://schemas.openxmlformats.org/officeDocument/2006/relationships/hyperlink" Target="https://app-web.statementrec.com/app#appuploadfiles/3a21a994-d0e9-12a9-6691-bc4e0ddeafb6" TargetMode="External"/><Relationship Id="rId147" Type="http://schemas.openxmlformats.org/officeDocument/2006/relationships/hyperlink" Target="https://app-web.statementrec.com/app#appuploadfiles/3a21a997-5521-64d5-2754-687be3a7b4c7" TargetMode="External"/><Relationship Id="rId148" Type="http://schemas.openxmlformats.org/officeDocument/2006/relationships/hyperlink" Target="https://app-web.statementrec.com/app#appuploadfiles/3a21a99d-56a6-830b-4270-c9920df410e0" TargetMode="External"/><Relationship Id="rId149" Type="http://schemas.openxmlformats.org/officeDocument/2006/relationships/hyperlink" Target="https://app-web.statementrec.com/app#appuploadfiles/3a21a9a4-f4a2-f7fb-7de1-ee936e9ff29d" TargetMode="External"/><Relationship Id="rId150" Type="http://schemas.openxmlformats.org/officeDocument/2006/relationships/hyperlink" Target="https://app-web.statementrec.com/app#appuploadfiles/3a21a9ae-dff7-0e76-6411-68597a225259" TargetMode="External"/><Relationship Id="rId151" Type="http://schemas.openxmlformats.org/officeDocument/2006/relationships/hyperlink" Target="https://app-web.statementrec.com/app#appuploadfiles/3a21a9cd-8770-df9e-d05d-d17ffce556a4" TargetMode="External"/><Relationship Id="rId152" Type="http://schemas.openxmlformats.org/officeDocument/2006/relationships/hyperlink" Target="https://app-web.statementrec.com/app#appuploadfiles/3a21a9d5-fb10-8808-61f0-736222e39eda" TargetMode="External"/><Relationship Id="rId153" Type="http://schemas.openxmlformats.org/officeDocument/2006/relationships/hyperlink" Target="https://app-web.statementrec.com/app#appuploadfiles/3a21a9da-b2e6-2021-ccc7-6a0096c8824d" TargetMode="External"/><Relationship Id="rId154" Type="http://schemas.openxmlformats.org/officeDocument/2006/relationships/hyperlink" Target="https://app-web.statementrec.com/app#appuploadfiles/3a21a9e8-735d-3611-601c-e9de8778985d" TargetMode="External"/><Relationship Id="rId155" Type="http://schemas.openxmlformats.org/officeDocument/2006/relationships/hyperlink" Target="https://app-web.statementrec.com/app#appuploadfiles/3a21a9f3-f620-455e-b90a-7c003b00ad79" TargetMode="External"/><Relationship Id="rId156" Type="http://schemas.openxmlformats.org/officeDocument/2006/relationships/hyperlink" Target="https://app-web.statementrec.com/app#appuploadfiles/3a21a9f6-b048-4eb7-b014-14e84e9b46c9" TargetMode="External"/><Relationship Id="rId157" Type="http://schemas.openxmlformats.org/officeDocument/2006/relationships/hyperlink" Target="https://app-web.statementrec.com/app#appuploadfiles/3a21a9f9-e9b9-91e9-4881-9a3e5f7ac33d" TargetMode="External"/><Relationship Id="rId158" Type="http://schemas.openxmlformats.org/officeDocument/2006/relationships/hyperlink" Target="https://app-web.statementrec.com/app#appuploadfiles/3a21a9fc-dd28-58ca-d314-40c633bef74e" TargetMode="External"/><Relationship Id="rId159" Type="http://schemas.openxmlformats.org/officeDocument/2006/relationships/hyperlink" Target="https://app-web.statementrec.com/app#appuploadfiles/3a21aa14-5328-3d37-7e85-7d98d7e0beaf" TargetMode="External"/><Relationship Id="rId160" Type="http://schemas.openxmlformats.org/officeDocument/2006/relationships/hyperlink" Target="https://app-web.statementrec.com/app#appuploadfiles/3a21aa18-aede-e341-8b9d-da79dd6797b5" TargetMode="External"/><Relationship Id="rId161" Type="http://schemas.openxmlformats.org/officeDocument/2006/relationships/hyperlink" Target="https://app-web.statementrec.com/app#appuploadfiles/3a21aa19-3bfd-2964-63c5-fad56feeb02f" TargetMode="External"/><Relationship Id="rId162" Type="http://schemas.openxmlformats.org/officeDocument/2006/relationships/hyperlink" Target="https://app-web.statementrec.com/app#appuploadfiles/3a21aa22-d660-3014-124d-dddc0f399040" TargetMode="External"/><Relationship Id="rId163" Type="http://schemas.openxmlformats.org/officeDocument/2006/relationships/hyperlink" Target="https://app-web.statementrec.com/app#appuploadfiles/3a21aa33-436a-87aa-037c-d24616d46b6d" TargetMode="External"/><Relationship Id="rId164" Type="http://schemas.openxmlformats.org/officeDocument/2006/relationships/hyperlink" Target="https://app-web.statementrec.com/app#appuploadfiles/3a21aa35-0232-1227-214f-85c47afad9a5" TargetMode="External"/><Relationship Id="rId165" Type="http://schemas.openxmlformats.org/officeDocument/2006/relationships/hyperlink" Target="https://app-web.statementrec.com/app#appuploadfiles/3a21aa3a-132c-4564-2974-6054cb01b125" TargetMode="External"/><Relationship Id="rId166" Type="http://schemas.openxmlformats.org/officeDocument/2006/relationships/hyperlink" Target="https://app-web.statementrec.com/app#appuploadfiles/3a21aa48-b307-3d90-7dfb-66d2ee38dc65" TargetMode="External"/><Relationship Id="rId167" Type="http://schemas.openxmlformats.org/officeDocument/2006/relationships/hyperlink" Target="https://app-web.statementrec.com/app#appuploadfiles/3a21aa4d-ae19-953a-388e-1c80a3f896a2" TargetMode="External"/><Relationship Id="rId168" Type="http://schemas.openxmlformats.org/officeDocument/2006/relationships/hyperlink" Target="https://app-web.statementrec.com/app#appuploadfiles/3a21aa50-d6ec-95ce-563a-79f81f743d5d" TargetMode="External"/><Relationship Id="rId169" Type="http://schemas.openxmlformats.org/officeDocument/2006/relationships/hyperlink" Target="https://app-web.statementrec.com/app#appuploadfiles/3a21aa58-498a-19ea-ed50-d3551599f384" TargetMode="External"/><Relationship Id="rId170" Type="http://schemas.openxmlformats.org/officeDocument/2006/relationships/hyperlink" Target="https://app-web.statementrec.com/app#appuploadfiles/3a21aa63-ff34-8cfd-dd57-cfd51ee89f66" TargetMode="External"/><Relationship Id="rId171" Type="http://schemas.openxmlformats.org/officeDocument/2006/relationships/hyperlink" Target="https://app-web.statementrec.com/app#appuploadfiles/3a21aa66-beba-1a98-50b0-d5dee5f21b94" TargetMode="External"/><Relationship Id="rId172" Type="http://schemas.openxmlformats.org/officeDocument/2006/relationships/hyperlink" Target="https://app-web.statementrec.com/app#appuploadfiles/3a21aa84-be53-75c2-ac7d-66d5a63332fc" TargetMode="External"/><Relationship Id="rId173" Type="http://schemas.openxmlformats.org/officeDocument/2006/relationships/hyperlink" Target="https://app-web.statementrec.com/app#appuploadfiles/3a21aa85-1742-44fb-b2d4-6d1825d5bc01" TargetMode="External"/><Relationship Id="rId174" Type="http://schemas.openxmlformats.org/officeDocument/2006/relationships/hyperlink" Target="https://app-web.statementrec.com/app#appuploadfiles/3a21aa8a-6e61-8244-e09b-c2454c7dc0bc" TargetMode="External"/><Relationship Id="rId175" Type="http://schemas.openxmlformats.org/officeDocument/2006/relationships/hyperlink" Target="https://app-web.statementrec.com/app#appuploadfiles/3a21aaae-6ab5-90e3-fa63-760484623a70" TargetMode="External"/><Relationship Id="rId176" Type="http://schemas.openxmlformats.org/officeDocument/2006/relationships/hyperlink" Target="https://app-web.statementrec.com/app#appuploadfiles/3a21aab6-5c12-d23d-b95b-4674756449b8" TargetMode="External"/><Relationship Id="rId177" Type="http://schemas.openxmlformats.org/officeDocument/2006/relationships/hyperlink" Target="https://app-web.statementrec.com/app#appuploadfiles/3a21aabf-1642-3826-5085-262d8f3106cf" TargetMode="External"/><Relationship Id="rId178" Type="http://schemas.openxmlformats.org/officeDocument/2006/relationships/hyperlink" Target="https://app-web.statementrec.com/app#appuploadfiles/3a21aacb-e75d-344b-3af7-411c34f6f410" TargetMode="External"/><Relationship Id="rId179" Type="http://schemas.openxmlformats.org/officeDocument/2006/relationships/hyperlink" Target="https://app-web.statementrec.com/app#appuploadfiles/3a21aade-a7ff-0d3e-4be9-dd8de3ad6c51" TargetMode="External"/><Relationship Id="rId180" Type="http://schemas.openxmlformats.org/officeDocument/2006/relationships/hyperlink" Target="https://app-web.statementrec.com/app#appuploadfiles/3a21aaf8-4c1a-8eb0-c6b4-52470f303a2d" TargetMode="External"/><Relationship Id="rId181" Type="http://schemas.openxmlformats.org/officeDocument/2006/relationships/hyperlink" Target="https://app-web.statementrec.com/app#appuploadfiles/3a21ab45-4903-0111-f1f8-44450cc7df8c" TargetMode="External"/><Relationship Id="rId182" Type="http://schemas.openxmlformats.org/officeDocument/2006/relationships/hyperlink" Target="https://app-web.statementrec.com/app#appuploadfiles/3a21ab69-d0f9-cc8c-7ce2-530c478f62fb" TargetMode="External"/><Relationship Id="rId183" Type="http://schemas.openxmlformats.org/officeDocument/2006/relationships/hyperlink" Target="https://app-web.statementrec.com/app#appuploadfiles/3a21ab89-1967-7bf9-e4b1-3415fb41e15c" TargetMode="External"/><Relationship Id="rId184" Type="http://schemas.openxmlformats.org/officeDocument/2006/relationships/hyperlink" Target="https://app-web.statementrec.com/app#appuploadfiles/3a21ab89-ed2b-168e-939a-e9ac7bf4125f" TargetMode="External"/><Relationship Id="rId185" Type="http://schemas.openxmlformats.org/officeDocument/2006/relationships/hyperlink" Target="https://app-web.statementrec.com/app#appuploadfiles/3a21abaa-052a-9555-f091-4e91c2bcff17" TargetMode="External"/><Relationship Id="rId186" Type="http://schemas.openxmlformats.org/officeDocument/2006/relationships/hyperlink" Target="https://app-web.statementrec.com/app#appuploadfiles/3a21abad-7e59-3471-ac98-3e168ba558f1" TargetMode="External"/><Relationship Id="rId187" Type="http://schemas.openxmlformats.org/officeDocument/2006/relationships/hyperlink" Target="https://app-web.statementrec.com/app#appuploadfiles/3a21ac4d-bc8f-3a31-f20f-ea7cf68a9c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88"/>
  <sheetViews>
    <sheetView workbookViewId="0"/>
  </sheetViews>
  <sheetFormatPr defaultRowHeight="15"/>
  <cols>
    <col min="1" max="1" width="8.00006103515625" customWidth="1" style="1"/>
    <col min="2" max="2" width="38.860360281808" customWidth="1" style="1"/>
    <col min="3" max="3" width="7.12952532087054" customWidth="1" style="1"/>
    <col min="4" max="16384" width="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5">
        <f>HYPERLINK("https://app-web.statementrec.com/app#appuploadfiles/39dfaf43-c4f6-5c50-3613-8ee61d37c66f","Robert Farrell")</f>
      </c>
      <c r="B2" s="3" t="s">
        <v>3</v>
      </c>
      <c r="C2" s="4">
        <v>18</v>
      </c>
    </row>
    <row r="3">
      <c r="A3" s="5">
        <f>HYPERLINK("https://app-web.statementrec.com/app#appuploadfiles/39e26a0e-4c1a-9fd2-657a-ca1c1dec975d","Cylch Meithrin Seiont a Pheblig")</f>
      </c>
      <c r="B3" s="3" t="s">
        <v>4</v>
      </c>
      <c r="C3" s="4">
        <v>5</v>
      </c>
    </row>
    <row r="4">
      <c r="A4" s="5">
        <f>HYPERLINK("https://app-web.statementrec.com/app#appuploadfiles/39e38afd-c6c2-bf32-bea1-d406d0568cd8","1399C Chic Flooring Ltd")</f>
      </c>
      <c r="B4" s="3" t="s">
        <v>5</v>
      </c>
      <c r="C4" s="4">
        <v>6</v>
      </c>
    </row>
    <row r="5">
      <c r="A5" s="5">
        <f>HYPERLINK("https://app-web.statementrec.com/app#appuploadfiles/39e6e711-bd0c-67a6-543e-af94bc87ac28","Corpower Ocean Limited")</f>
      </c>
      <c r="B5" s="3" t="s">
        <v>6</v>
      </c>
      <c r="C5" s="4">
        <v>3</v>
      </c>
    </row>
    <row r="6">
      <c r="A6" s="5">
        <f>HYPERLINK("https://app-web.statementrec.com/app#appuploadfiles/39e72f37-4a4d-a24c-86a9-d8a678467a07","MCT (Devon) Ltd")</f>
      </c>
      <c r="B6" s="3" t="s">
        <v>7</v>
      </c>
      <c r="C6" s="4">
        <v>28</v>
      </c>
    </row>
    <row r="7">
      <c r="A7" s="5">
        <f>HYPERLINK("https://app-web.statementrec.com/app#appuploadfiles/39e7c9ff-47ec-88b0-01a9-c8046740c26f","NEIZANNE (PTY) LTD")</f>
      </c>
      <c r="B7" s="3" t="s">
        <v>6</v>
      </c>
      <c r="C7" s="4">
        <v>1</v>
      </c>
    </row>
    <row r="8">
      <c r="A8" s="5">
        <f>HYPERLINK("https://app-web.statementrec.com/app#appuploadfiles/39e90ebd-1371-3aa2-68d0-d4d6716c4350","Scarlet Films Ltd.")</f>
      </c>
      <c r="B8" s="3" t="s">
        <v>8</v>
      </c>
      <c r="C8" s="4">
        <v>2</v>
      </c>
    </row>
    <row r="9">
      <c r="A9" s="5">
        <f>HYPERLINK("https://app-web.statementrec.com/app#appuploadfiles/39ec1796-4beb-fd00-12c3-6eb446238ed9","Payne &amp; Gammage")</f>
      </c>
      <c r="B9" s="3" t="s">
        <v>9</v>
      </c>
      <c r="C9" s="4">
        <v>7</v>
      </c>
    </row>
    <row r="10">
      <c r="A10" s="5">
        <f>HYPERLINK("https://app-web.statementrec.com/app#appuploadfiles/39eecfde-2eb5-ae62-df0c-c430081c51a9","Bluestone Property Limited")</f>
      </c>
      <c r="B10" s="3" t="s">
        <v>10</v>
      </c>
      <c r="C10" s="4">
        <v>49</v>
      </c>
    </row>
    <row r="11">
      <c r="A11" s="5">
        <f>HYPERLINK("https://app-web.statementrec.com/app#appuploadfiles/39ef0dad-cc35-7a81-7fc3-42370fa2f35c","AIB CC 3835 JAN - DEC")</f>
      </c>
      <c r="B11" s="3" t="s">
        <v>11</v>
      </c>
      <c r="C11" s="4">
        <v>53</v>
      </c>
    </row>
    <row r="12">
      <c r="A12" s="5">
        <f>HYPERLINK("https://app-web.statementrec.com/app#appuploadfiles/39ef83d7-b54d-79e7-be32-f583cba0a9e9","Nigel Croxford Builders")</f>
      </c>
      <c r="B12" s="3" t="s">
        <v>12</v>
      </c>
      <c r="C12" s="4">
        <v>10</v>
      </c>
    </row>
    <row r="13">
      <c r="A13" s="5">
        <f>HYPERLINK("https://app-web.statementrec.com/app#appuploadfiles/39f00957-297b-6935-4eac-82b7b2a3edfc","DRILLING PROJECT SERVICES SOUTH AFRICA")</f>
      </c>
      <c r="B13" s="3" t="s">
        <v>13</v>
      </c>
      <c r="C13" s="4">
        <v>1</v>
      </c>
    </row>
    <row r="14">
      <c r="A14" s="5">
        <f>HYPERLINK("https://app-web.statementrec.com/app#appuploadfiles/39f10f33-38fd-0ca3-ca3a-695b3bc70a61","CHA56 - Chameleon Eatery Limited")</f>
      </c>
      <c r="B14" s="3" t="s">
        <v>14</v>
      </c>
      <c r="C14" s="4">
        <v>21</v>
      </c>
    </row>
    <row r="15">
      <c r="A15" s="5">
        <f>HYPERLINK("https://app-web.statementrec.com/app#appuploadfiles/39f1de39-ab48-da80-6795-5e207fe22f46","Cardiff Web Limited")</f>
      </c>
      <c r="B15" s="3" t="s">
        <v>4</v>
      </c>
      <c r="C15" s="4">
        <v>46</v>
      </c>
    </row>
    <row r="16">
      <c r="A16" s="5">
        <f>HYPERLINK("https://app-web.statementrec.com/app#appuploadfiles/39f20c1c-671e-a73a-0206-9195629f56fb","O132 - Oil &amp; Water Supplies Ltd")</f>
      </c>
      <c r="B16" s="3" t="s">
        <v>4</v>
      </c>
      <c r="C16" s="4">
        <v>13</v>
      </c>
    </row>
    <row r="17">
      <c r="A17" s="5">
        <f>HYPERLINK("https://app-web.statementrec.com/app#appuploadfiles/39f467a7-75aa-0d8b-1e2e-1f2dfb151510","GREENSTAR SOLUTIONS LIMITED")</f>
      </c>
      <c r="B17" s="3" t="s">
        <v>15</v>
      </c>
      <c r="C17" s="4">
        <v>17</v>
      </c>
    </row>
    <row r="18">
      <c r="A18" s="5">
        <f>HYPERLINK("https://app-web.statementrec.com/app#appuploadfiles/39f76b2f-189b-1f3f-7e92-da565698fe2d","Private Luxury OU - Estonia")</f>
      </c>
      <c r="B18" s="3" t="s">
        <v>16</v>
      </c>
      <c r="C18" s="4">
        <v>5</v>
      </c>
    </row>
    <row r="19">
      <c r="A19" s="5">
        <f>HYPERLINK("https://app-web.statementrec.com/app#appuploadfiles/39f78703-6d28-ca25-f763-615f48614ac2","Shergil Corporation")</f>
      </c>
      <c r="B19" s="3" t="s">
        <v>17</v>
      </c>
      <c r="C19" s="4">
        <v>24</v>
      </c>
    </row>
    <row r="20">
      <c r="A20" s="5">
        <f>HYPERLINK("https://app-web.statementrec.com/app#appuploadfiles/39f79fd8-c950-b537-5ed9-67c76461e434","Pauper Prince Renovations Inc")</f>
      </c>
      <c r="B20" s="3" t="s">
        <v>6</v>
      </c>
      <c r="C20" s="4">
        <v>5</v>
      </c>
    </row>
    <row r="21">
      <c r="A21" s="5">
        <f>HYPERLINK("https://app-web.statementrec.com/app#appuploadfiles/39f8e89c-5fe9-c465-f1eb-e86d9ee7d9e2","23 TELECOM LTD")</f>
      </c>
      <c r="B21" s="3" t="s">
        <v>6</v>
      </c>
      <c r="C21" s="4">
        <v>3</v>
      </c>
    </row>
    <row r="22">
      <c r="A22" s="5">
        <f>HYPERLINK("https://app-web.statementrec.com/app#appuploadfiles/39f8fe54-f1ea-f1bd-235b-e09425ef1f18","B51 Robert Bennett")</f>
      </c>
      <c r="B22" s="3" t="s">
        <v>18</v>
      </c>
      <c r="C22" s="4">
        <v>17</v>
      </c>
    </row>
    <row r="23">
      <c r="A23" s="5">
        <f>HYPERLINK("https://app-web.statementrec.com/app#appuploadfiles/39f99411-39c8-e0e9-ae2c-389c3c1f691d","Afrosia")</f>
      </c>
      <c r="B23" s="3" t="s">
        <v>19</v>
      </c>
      <c r="C23" s="4">
        <v>34</v>
      </c>
    </row>
    <row r="24">
      <c r="A24" s="5">
        <f>HYPERLINK("https://app-web.statementrec.com/app#appuploadfiles/39fae163-5732-6c0d-7394-80040dd87f3a","Autumn Skies Trading 697 CC")</f>
      </c>
      <c r="B24" s="3" t="s">
        <v>20</v>
      </c>
      <c r="C24" s="4">
        <v>25</v>
      </c>
    </row>
    <row r="25">
      <c r="A25" s="5">
        <f>HYPERLINK("https://app-web.statementrec.com/app#appuploadfiles/39fc1fa6-a013-806a-f03d-d420c76ebd04","Pat Wilson ( W111)")</f>
      </c>
      <c r="B25" s="3" t="s">
        <v>18</v>
      </c>
      <c r="C25" s="4">
        <v>11</v>
      </c>
    </row>
    <row r="26">
      <c r="A26" s="5">
        <f>HYPERLINK("https://app-web.statementrec.com/app#appuploadfiles/39fd2cdc-8e2a-53c9-ba0a-518a82f2a242","M Davis Construction Services Ltd")</f>
      </c>
      <c r="B26" s="3" t="s">
        <v>16</v>
      </c>
      <c r="C26" s="4">
        <v>3</v>
      </c>
    </row>
    <row r="27">
      <c r="A27" s="5">
        <f>HYPERLINK("https://app-web.statementrec.com/app#appuploadfiles/39fd7388-4840-cdf0-6f15-5527eaa48192","David Delaney")</f>
      </c>
      <c r="B27" s="3" t="s">
        <v>11</v>
      </c>
      <c r="C27" s="4">
        <v>4</v>
      </c>
    </row>
    <row r="28">
      <c r="A28" s="5">
        <f>HYPERLINK("https://app-web.statementrec.com/app#appuploadfiles/39fee19a-caa6-13c5-1fcc-cbb4ed76396f","Pettifer rental partnership")</f>
      </c>
      <c r="B28" s="3" t="s">
        <v>12</v>
      </c>
      <c r="C28" s="4">
        <v>4</v>
      </c>
    </row>
    <row r="29">
      <c r="A29" s="5">
        <f>HYPERLINK("https://app-web.statementrec.com/app#appuploadfiles/39fefb40-7907-82f2-d01b-34e42e06f9bb","Hemel Hicks")</f>
      </c>
      <c r="B29" s="3" t="s">
        <v>4</v>
      </c>
      <c r="C29" s="4">
        <v>13</v>
      </c>
    </row>
    <row r="30">
      <c r="A30" s="5">
        <f>HYPERLINK("https://app-web.statementrec.com/app#appuploadfiles/39ffddb8-cb78-f5eb-52d6-8ad0aad3e042","Stuart Coughlan")</f>
      </c>
      <c r="B30" s="3" t="s">
        <v>21</v>
      </c>
      <c r="C30" s="4">
        <v>80</v>
      </c>
    </row>
    <row r="31">
      <c r="A31" s="5">
        <f>HYPERLINK("https://app-web.statementrec.com/app#appuploadfiles/3a00fe06-6c2a-f0fb-e05f-2e399fd4b262","A J Joinery")</f>
      </c>
      <c r="B31" s="3" t="s">
        <v>22</v>
      </c>
      <c r="C31" s="4">
        <v>10</v>
      </c>
    </row>
    <row r="32">
      <c r="A32" s="5">
        <f>HYPERLINK("https://app-web.statementrec.com/app#appuploadfiles/3a018063-31b1-8296-8e48-b878ba3b4357","Bank Statements ALL")</f>
      </c>
      <c r="B32" s="3" t="s">
        <v>23</v>
      </c>
      <c r="C32" s="4">
        <v>22</v>
      </c>
    </row>
    <row r="33">
      <c r="A33" s="5">
        <f>HYPERLINK("https://app-web.statementrec.com/app#appuploadfiles/3a0183b6-711b-8bfd-8ef2-59e5e0032624","Keywest Music Limited")</f>
      </c>
      <c r="B33" s="3" t="s">
        <v>24</v>
      </c>
      <c r="C33" s="4">
        <v>10</v>
      </c>
    </row>
    <row r="34">
      <c r="A34" s="5">
        <f>HYPERLINK("https://app-web.statementrec.com/app#appuploadfiles/3a0276d8-2763-3e38-d082-fcd13f7888c6","Robson Granite Worksurfaces Limited")</f>
      </c>
      <c r="B34" s="3" t="s">
        <v>25</v>
      </c>
      <c r="C34" s="4">
        <v>6</v>
      </c>
    </row>
    <row r="35">
      <c r="A35" s="5">
        <f>HYPERLINK("https://app-web.statementrec.com/app#appuploadfiles/3a02e2dd-5831-c326-13a3-176061540559","Imperium Syndicate Ltd")</f>
      </c>
      <c r="B35" s="3" t="s">
        <v>26</v>
      </c>
      <c r="C35" s="4">
        <v>24</v>
      </c>
    </row>
    <row r="36">
      <c r="A36" s="5">
        <f>HYPERLINK("https://app-web.statementrec.com/app#appuploadfiles/3a040ce3-b2fe-cb8b-b714-e5280e3e57cf","CL001 Clifton Property Services Ltd")</f>
      </c>
      <c r="B36" s="3" t="s">
        <v>27</v>
      </c>
      <c r="C36" s="4">
        <v>6</v>
      </c>
    </row>
    <row r="37">
      <c r="A37" s="5">
        <f>HYPERLINK("https://app-web.statementrec.com/app#appuploadfiles/3a044ae0-b4d5-1234-c2c6-9a0149ce42c0","MERT INVESTMENT")</f>
      </c>
      <c r="B37" s="3" t="s">
        <v>28</v>
      </c>
      <c r="C37" s="4">
        <v>8</v>
      </c>
    </row>
    <row r="38">
      <c r="A38" s="5">
        <f>HYPERLINK("https://app-web.statementrec.com/app#appuploadfiles/3a050e58-7172-1c2b-9dae-8472abfd36da","Dowdall Contracts")</f>
      </c>
      <c r="B38" s="3" t="s">
        <v>22</v>
      </c>
      <c r="C38" s="4">
        <v>13</v>
      </c>
    </row>
    <row r="39">
      <c r="A39" s="5">
        <f>HYPERLINK("https://app-web.statementrec.com/app#appuploadfiles/3a0570cd-09e0-17fc-9128-ba636fec9a26","FAST TRAK LIMITED")</f>
      </c>
      <c r="B39" s="3" t="s">
        <v>4</v>
      </c>
      <c r="C39" s="4">
        <v>9</v>
      </c>
    </row>
    <row r="40">
      <c r="A40" s="5">
        <f>HYPERLINK("https://app-web.statementrec.com/app#appuploadfiles/3a057b2f-beb6-f440-c85c-d2ab929da287","Rosy Jeffery Ltd")</f>
      </c>
      <c r="B40" s="3" t="s">
        <v>16</v>
      </c>
      <c r="C40" s="4">
        <v>1</v>
      </c>
    </row>
    <row r="41">
      <c r="A41" s="5">
        <f>HYPERLINK("https://app-web.statementrec.com/app#appuploadfiles/3a062638-3cfc-9610-05db-2dbc672868b5","Hudson Hope Tempo")</f>
      </c>
      <c r="B41" s="3" t="s">
        <v>29</v>
      </c>
      <c r="C41" s="4">
        <v>7</v>
      </c>
    </row>
    <row r="42">
      <c r="A42" s="5">
        <f>HYPERLINK("https://app-web.statementrec.com/app#appuploadfiles/3a06482a-c630-66d5-564d-9403bb642f55","10-06-22 to 02-09-22")</f>
      </c>
      <c r="B42" s="3" t="s">
        <v>30</v>
      </c>
      <c r="C42" s="4">
        <v>1</v>
      </c>
    </row>
    <row r="43">
      <c r="A43" s="5">
        <f>HYPERLINK("https://app-web.statementrec.com/app#appuploadfiles/3a066893-49a3-4f39-897c-c4ef9d4626d6","1598714 AB Ltd RL &amp; Hvac")</f>
      </c>
      <c r="B43" s="3" t="s">
        <v>31</v>
      </c>
      <c r="C43" s="4">
        <v>59</v>
      </c>
    </row>
    <row r="44">
      <c r="A44" s="5">
        <f>HYPERLINK("https://app-web.statementrec.com/app#appuploadfiles/3a0677bb-f3bd-5f30-47cc-0f04c7d86ee9","2914 Malcolm Kennedy")</f>
      </c>
      <c r="B44" s="3" t="s">
        <v>11</v>
      </c>
      <c r="C44" s="4">
        <v>15</v>
      </c>
    </row>
    <row r="45">
      <c r="A45" s="5">
        <f>HYPERLINK("https://app-web.statementrec.com/app#appuploadfiles/3a0763c7-26ef-1a21-3900-27dabb32e0f6","The Theo Jackson Jeppe Trust")</f>
      </c>
      <c r="B45" s="3" t="s">
        <v>20</v>
      </c>
      <c r="C45" s="4">
        <v>4</v>
      </c>
    </row>
    <row r="46">
      <c r="A46" s="5">
        <f>HYPERLINK("https://app-web.statementrec.com/app#appuploadfiles/3a0804db-9f06-4ea0-9ab2-0bcfe954f6f4","Avanti Language School")</f>
      </c>
      <c r="B46" s="3" t="s">
        <v>11</v>
      </c>
      <c r="C46" s="4">
        <v>62</v>
      </c>
    </row>
    <row r="47">
      <c r="A47" s="5">
        <f>HYPERLINK("https://app-web.statementrec.com/app#appuploadfiles/3a09b8e0-98cf-15eb-9a21-60fbccbe3c7a","Patrick McKernan")</f>
      </c>
      <c r="B47" s="3" t="s">
        <v>32</v>
      </c>
      <c r="C47" s="4">
        <v>28</v>
      </c>
    </row>
    <row r="48">
      <c r="A48" s="5">
        <f>HYPERLINK("https://app-web.statementrec.com/app#appuploadfiles/3a0a396f-c5e8-231c-aba6-fcf663ce13d6","RAW ENERGY SDN BHD")</f>
      </c>
      <c r="B48" s="3" t="s">
        <v>33</v>
      </c>
      <c r="C48" s="4">
        <v>8</v>
      </c>
    </row>
    <row r="49">
      <c r="A49" s="5">
        <f>HYPERLINK("https://app-web.statementrec.com/app#appuploadfiles/3a0ace5e-dfdc-dfe1-70eb-1ef2181f5d9f","SANA FORTIS ANIMAL FEED NS SDN BHD")</f>
      </c>
      <c r="B49" s="3" t="s">
        <v>6</v>
      </c>
      <c r="C49" s="4">
        <v>1</v>
      </c>
    </row>
    <row r="50">
      <c r="A50" s="5">
        <f>HYPERLINK("https://app-web.statementrec.com/app#appuploadfiles/3a0b0bde-c9d0-608c-77fe-f03cac87e53e","CL4U")</f>
      </c>
      <c r="B50" s="3" t="s">
        <v>12</v>
      </c>
      <c r="C50" s="4">
        <v>4</v>
      </c>
    </row>
    <row r="51">
      <c r="A51" s="5">
        <f>HYPERLINK("https://app-web.statementrec.com/app#appuploadfiles/3a0bec3f-3c8a-ccdb-b084-48e01fcbd992","Ja_gs87")</f>
      </c>
      <c r="B51" s="3" t="s">
        <v>34</v>
      </c>
      <c r="C51" s="4">
        <v>5</v>
      </c>
    </row>
    <row r="52">
      <c r="A52" s="5">
        <f>HYPERLINK("https://app-web.statementrec.com/app#appuploadfiles/3a0c6171-01d1-071a-584e-08ea025bd189","Guy &amp; Sue Buckley")</f>
      </c>
      <c r="B52" s="3" t="s">
        <v>35</v>
      </c>
      <c r="C52" s="4">
        <v>13</v>
      </c>
    </row>
    <row r="53">
      <c r="A53" s="5">
        <f>HYPERLINK("https://app-web.statementrec.com/app#appuploadfiles/3a0d9afe-7798-3e05-a0c6-37f37bdca714","Creideamh Ltd")</f>
      </c>
      <c r="B53" s="3" t="s">
        <v>36</v>
      </c>
      <c r="C53" s="4">
        <v>7</v>
      </c>
    </row>
    <row r="54">
      <c r="A54" s="5">
        <f>HYPERLINK("https://app-web.statementrec.com/app#appuploadfiles/3a0db999-af5d-3bf5-d186-a318346b4e89","B Hands Logistics")</f>
      </c>
      <c r="B54" s="3" t="s">
        <v>25</v>
      </c>
      <c r="C54" s="4">
        <v>4</v>
      </c>
    </row>
    <row r="55">
      <c r="A55" s="5">
        <f>HYPERLINK("https://app-web.statementrec.com/app#appuploadfiles/3a0e6fbe-5835-c8b3-efbf-d1b3ab8c816f","Shell Miramichi")</f>
      </c>
      <c r="B55" s="3" t="s">
        <v>37</v>
      </c>
      <c r="C55" s="4">
        <v>13</v>
      </c>
    </row>
    <row r="56">
      <c r="A56" s="5">
        <f>HYPERLINK("https://app-web.statementrec.com/app#appuploadfiles/3a0ec253-1959-dcfd-da7d-52198b8440f8","Hosenbocus &amp; Co CPA")</f>
      </c>
      <c r="B56" s="3" t="s">
        <v>38</v>
      </c>
      <c r="C56" s="4">
        <v>8</v>
      </c>
    </row>
    <row r="57">
      <c r="A57" s="5">
        <f>HYPERLINK("https://app-web.statementrec.com/app#appuploadfiles/3a0f0027-c4e9-b5eb-a17d-9a58fc97c832","Barriere Esso")</f>
      </c>
      <c r="B57" s="3" t="s">
        <v>39</v>
      </c>
      <c r="C57" s="4">
        <v>4</v>
      </c>
    </row>
    <row r="58">
      <c r="A58" s="5">
        <f>HYPERLINK("https://app-web.statementrec.com/app#appuploadfiles/3a0f23d9-d984-64c5-78d7-b92503350099","Bailey Properties Management Ltd")</f>
      </c>
      <c r="B58" s="3" t="s">
        <v>40</v>
      </c>
      <c r="C58" s="4">
        <v>3</v>
      </c>
    </row>
    <row r="59">
      <c r="A59" s="5">
        <f>HYPERLINK("https://app-web.statementrec.com/app#appuploadfiles/3a0f47d7-e370-147e-75e9-82dd1f8ca1f3","GE Groundworks")</f>
      </c>
      <c r="B59" s="3" t="s">
        <v>30</v>
      </c>
      <c r="C59" s="4">
        <v>8</v>
      </c>
    </row>
    <row r="60">
      <c r="A60" s="5">
        <f>HYPERLINK("https://app-web.statementrec.com/app#appuploadfiles/3a0fb6d5-3b0d-d693-3b3c-e78db9f65f2a","Interpritalia Language Services Ltd")</f>
      </c>
      <c r="B60" s="3" t="s">
        <v>41</v>
      </c>
      <c r="C60" s="4">
        <v>1</v>
      </c>
    </row>
    <row r="61">
      <c r="A61" s="5">
        <f>HYPERLINK("https://app-web.statementrec.com/app#appuploadfiles/3a108f59-b4f9-f76a-08c8-e18bb23b534a","Eclah")</f>
      </c>
      <c r="B61" s="3" t="s">
        <v>20</v>
      </c>
      <c r="C61" s="4">
        <v>6</v>
      </c>
    </row>
    <row r="62">
      <c r="A62" s="5">
        <f>HYPERLINK("https://app-web.statementrec.com/app#appuploadfiles/3a112677-920e-f68a-8070-f8b14284d3fc","countryside skills")</f>
      </c>
      <c r="B62" s="3" t="s">
        <v>4</v>
      </c>
      <c r="C62" s="4">
        <v>5</v>
      </c>
    </row>
    <row r="63">
      <c r="A63" s="5">
        <f>HYPERLINK("https://app-web.statementrec.com/app#appuploadfiles/3a116b62-870f-12bb-a2f9-60564e009c2d","Rai and Shergill Inc.")</f>
      </c>
      <c r="B63" s="3" t="s">
        <v>17</v>
      </c>
      <c r="C63" s="4">
        <v>22</v>
      </c>
    </row>
    <row r="64">
      <c r="A64" s="5">
        <f>HYPERLINK("https://app-web.statementrec.com/app#appuploadfiles/3a119804-3f2b-4344-1bca-1552fe165934","DEFAULT - HELEN'S ROOM")</f>
      </c>
      <c r="B64" s="3" t="s">
        <v>42</v>
      </c>
      <c r="C64" s="4">
        <v>5</v>
      </c>
    </row>
    <row r="65">
      <c r="A65" s="5">
        <f>HYPERLINK("https://app-web.statementrec.com/app#appuploadfiles/3a12a909-4887-0d79-1ddf-93c82b91dfa8","BEARA CONSULTING LIMITED")</f>
      </c>
      <c r="B65" s="3" t="s">
        <v>43</v>
      </c>
      <c r="C65" s="4">
        <v>10</v>
      </c>
    </row>
    <row r="66">
      <c r="A66" s="5">
        <f>HYPERLINK("https://app-web.statementrec.com/app#appuploadfiles/3a12d08e-a41f-2a34-85c4-b32c5b535b08","M0634 - Jonathan Mylchreest")</f>
      </c>
      <c r="B66" s="3" t="s">
        <v>16</v>
      </c>
      <c r="C66" s="4">
        <v>47</v>
      </c>
    </row>
    <row r="67">
      <c r="A67" s="5">
        <f>HYPERLINK("https://app-web.statementrec.com/app#appuploadfiles/3a12dd33-7ce4-0897-df88-3cb78570bd4b","LMKCA")</f>
      </c>
      <c r="B67" s="3" t="s">
        <v>39</v>
      </c>
      <c r="C67" s="4">
        <v>3</v>
      </c>
    </row>
    <row r="68">
      <c r="A68" s="5">
        <f>HYPERLINK("https://app-web.statementrec.com/app#appuploadfiles/3a12ffe6-752f-6bd8-0b1b-7085c4b141b9","John Keane Heating and Plumbing Ltd")</f>
      </c>
      <c r="B68" s="3" t="s">
        <v>18</v>
      </c>
      <c r="C68" s="4">
        <v>1</v>
      </c>
    </row>
    <row r="69">
      <c r="A69" s="5">
        <f>HYPERLINK("https://app-web.statementrec.com/app#appuploadfiles/3a1301f3-22f8-3a40-9c36-dbb241dd0dec","Kaslo Husky")</f>
      </c>
      <c r="B69" s="3" t="s">
        <v>44</v>
      </c>
      <c r="C69" s="4">
        <v>16</v>
      </c>
    </row>
    <row r="70">
      <c r="A70" s="5">
        <f>HYPERLINK("https://app-web.statementrec.com/app#appuploadfiles/3a137168-8e94-51c1-d10f-ec6311fe297c","Nathan Pugh")</f>
      </c>
      <c r="B70" s="3" t="s">
        <v>41</v>
      </c>
      <c r="C70" s="4">
        <v>24</v>
      </c>
    </row>
    <row r="71">
      <c r="A71" s="5">
        <f>HYPERLINK("https://app-web.statementrec.com/app#appuploadfiles/3a13801c-007c-d6fa-ab45-7fc11a751904","WI-HUD0046 - Mr D Hudson")</f>
      </c>
      <c r="B71" s="3" t="s">
        <v>7</v>
      </c>
      <c r="C71" s="4">
        <v>12</v>
      </c>
    </row>
    <row r="72">
      <c r="A72" s="5">
        <f>HYPERLINK("https://app-web.statementrec.com/app#appuploadfiles/3a138a12-e46f-455a-eb08-dc55471f293b","K Menyah")</f>
      </c>
      <c r="B72" s="3" t="s">
        <v>12</v>
      </c>
      <c r="C72" s="4">
        <v>3</v>
      </c>
    </row>
    <row r="73">
      <c r="A73" s="5">
        <f>HYPERLINK("https://app-web.statementrec.com/app#appuploadfiles/3a13cd79-87ac-df84-fa76-f87afac779b4","Bailey Properties")</f>
      </c>
      <c r="B73" s="3" t="s">
        <v>6</v>
      </c>
      <c r="C73" s="4">
        <v>1</v>
      </c>
    </row>
    <row r="74">
      <c r="A74" s="5">
        <f>HYPERLINK("https://app-web.statementrec.com/app#appuploadfiles/3a13ce33-213e-1e97-26a4-97744f5544aa","Berchem Limited")</f>
      </c>
      <c r="B74" s="3" t="s">
        <v>16</v>
      </c>
      <c r="C74" s="4">
        <v>5</v>
      </c>
    </row>
    <row r="75">
      <c r="A75" s="5">
        <f>HYPERLINK("https://app-web.statementrec.com/app#appuploadfiles/3a13ebc0-cc10-e87e-5a68-6882fc80215c","Bank Statement Conversion")</f>
      </c>
      <c r="B75" s="3" t="s">
        <v>45</v>
      </c>
      <c r="C75" s="4">
        <v>2</v>
      </c>
    </row>
    <row r="76">
      <c r="A76" s="5">
        <f>HYPERLINK("https://app-web.statementrec.com/app#appuploadfiles/3a14d4a6-ee68-bc54-8a24-a886329102c9","Clarke Property")</f>
      </c>
      <c r="B76" s="3" t="s">
        <v>13</v>
      </c>
      <c r="C76" s="4">
        <v>28</v>
      </c>
    </row>
    <row r="77">
      <c r="A77" s="5">
        <f>HYPERLINK("https://app-web.statementrec.com/app#appuploadfiles/3a14eea6-a99c-ef81-9842-2fbf3dc65546","Elton Properties")</f>
      </c>
      <c r="B77" s="3" t="s">
        <v>9</v>
      </c>
      <c r="C77" s="4">
        <v>2</v>
      </c>
    </row>
    <row r="78">
      <c r="A78" s="5">
        <f>HYPERLINK("https://app-web.statementrec.com/app#appuploadfiles/3a151c7a-c79a-4b64-797f-ec05b4ad0e78","Gary Lee Curran Construction Ltd")</f>
      </c>
      <c r="B78" s="3" t="s">
        <v>27</v>
      </c>
      <c r="C78" s="4">
        <v>121</v>
      </c>
    </row>
    <row r="79">
      <c r="A79" s="5">
        <f>HYPERLINK("https://app-web.statementrec.com/app#appuploadfiles/3a153646-f937-a7c4-14d9-40c8c3eaecc9","E_T14 Coast Caravans Ltd")</f>
      </c>
      <c r="B79" s="3" t="s">
        <v>4</v>
      </c>
      <c r="C79" s="4">
        <v>6</v>
      </c>
    </row>
    <row r="80">
      <c r="A80" s="5">
        <f>HYPERLINK("https://app-web.statementrec.com/app#appuploadfiles/3a15dea6-9333-3b3e-c660-8f9370e03ef9","Earths Innovations")</f>
      </c>
      <c r="B80" s="3" t="s">
        <v>46</v>
      </c>
      <c r="C80" s="4">
        <v>5</v>
      </c>
    </row>
    <row r="81">
      <c r="A81" s="5">
        <f>HYPERLINK("https://app-web.statementrec.com/app#appuploadfiles/3a1651ee-97c2-5859-ec27-807da6a0246c","HAAL MEDIA LIMITED-2024-11-18 02-51-22")</f>
      </c>
      <c r="B81" s="3" t="s">
        <v>4</v>
      </c>
      <c r="C81" s="4">
        <v>11</v>
      </c>
    </row>
    <row r="82">
      <c r="A82" s="5">
        <f>HYPERLINK("https://app-web.statementrec.com/app#appuploadfiles/3a16cc81-2d3e-631f-9e1b-d82e3e2726c8","Imata")</f>
      </c>
      <c r="B82" s="3" t="s">
        <v>47</v>
      </c>
      <c r="C82" s="4">
        <v>8</v>
      </c>
    </row>
    <row r="83">
      <c r="A83" s="5">
        <f>HYPERLINK("https://app-web.statementrec.com/app#appuploadfiles/3a16ec7c-f0c0-bf3e-9416-ec750e659eaf","Nexivect (Pty) Ltd")</f>
      </c>
      <c r="B83" s="3" t="s">
        <v>48</v>
      </c>
      <c r="C83" s="4">
        <v>3</v>
      </c>
    </row>
    <row r="84">
      <c r="A84" s="5">
        <f>HYPERLINK("https://app-web.statementrec.com/app#appuploadfiles/3a17f385-731e-052b-4a14-881ce9e78424","Tinlinetradingltd")</f>
      </c>
      <c r="B84" s="3" t="s">
        <v>18</v>
      </c>
      <c r="C84" s="4">
        <v>8</v>
      </c>
    </row>
    <row r="85">
      <c r="A85" s="5">
        <f>HYPERLINK("https://app-web.statementrec.com/app#appuploadfiles/3a1811df-b2ec-1591-0e44-9605974dfee7","M&amp;T x9097")</f>
      </c>
      <c r="B85" s="3" t="s">
        <v>49</v>
      </c>
      <c r="C85" s="4">
        <v>3</v>
      </c>
    </row>
    <row r="86">
      <c r="A86" s="5">
        <f>HYPERLINK("https://app-web.statementrec.com/app#appuploadfiles/3a19035b-4e86-945c-41e4-328df0ade754","Alex Robson Heating and Gas Ltd")</f>
      </c>
      <c r="B86" s="3" t="s">
        <v>29</v>
      </c>
      <c r="C86" s="4">
        <v>6</v>
      </c>
    </row>
    <row r="87">
      <c r="A87" s="5">
        <f>HYPERLINK("https://app-web.statementrec.com/app#appuploadfiles/3a190d55-1a5a-6154-bc32-b89758655787","J Bradley &amp; Son")</f>
      </c>
      <c r="B87" s="3" t="s">
        <v>3</v>
      </c>
      <c r="C87" s="4">
        <v>4</v>
      </c>
    </row>
    <row r="88">
      <c r="A88" s="5">
        <f>HYPERLINK("https://app-web.statementrec.com/app#appuploadfiles/3a192c3f-3f82-8176-fec8-e625fc36d057","Sunglow Aesthetics Limited")</f>
      </c>
      <c r="B88" s="3" t="s">
        <v>3</v>
      </c>
      <c r="C88" s="4">
        <v>21</v>
      </c>
    </row>
    <row r="89">
      <c r="A89" s="5">
        <f>HYPERLINK("https://app-web.statementrec.com/app#appuploadfiles/3a193640-d408-5db8-68d4-5219f54f28be","Natalma Bloodstock Limited")</f>
      </c>
      <c r="B89" s="3" t="s">
        <v>50</v>
      </c>
      <c r="C89" s="4">
        <v>3</v>
      </c>
    </row>
    <row r="90">
      <c r="A90" s="5">
        <f>HYPERLINK("https://app-web.statementrec.com/app#appuploadfiles/3a19cbf7-921b-3b14-e4dd-9273710d88f9","BM Trading Trust")</f>
      </c>
      <c r="B90" s="3" t="s">
        <v>48</v>
      </c>
      <c r="C90" s="4">
        <v>9</v>
      </c>
    </row>
    <row r="91">
      <c r="A91" s="5">
        <f>HYPERLINK("https://app-web.statementrec.com/app#appuploadfiles/3a19db93-853b-cc4e-8734-1d0fdddca93d","Apex Newcastle Loft Conversions")</f>
      </c>
      <c r="B91" s="3" t="s">
        <v>4</v>
      </c>
      <c r="C91" s="4">
        <v>21</v>
      </c>
    </row>
    <row r="92">
      <c r="A92" s="5">
        <f>HYPERLINK("https://app-web.statementrec.com/app#appuploadfiles/3a1a005d-6926-4f57-8079-4594243a2469","David Mark Jacobs")</f>
      </c>
      <c r="B92" s="3" t="s">
        <v>12</v>
      </c>
      <c r="C92" s="4">
        <v>21</v>
      </c>
    </row>
    <row r="93">
      <c r="A93" s="5">
        <f>HYPERLINK("https://app-web.statementrec.com/app#appuploadfiles/3a1a334f-9d99-ef9a-76d1-872a4e681109","Ashray Holdings Limited")</f>
      </c>
      <c r="B93" s="3" t="s">
        <v>8</v>
      </c>
      <c r="C93" s="4">
        <v>2</v>
      </c>
    </row>
    <row r="94">
      <c r="A94" s="5">
        <f>HYPERLINK("https://app-web.statementrec.com/app#appuploadfiles/3a1a947f-5bef-99c1-fc43-956c858b5cc9","Brew Rentals Ltd")</f>
      </c>
      <c r="B94" s="3" t="s">
        <v>9</v>
      </c>
      <c r="C94" s="4">
        <v>15</v>
      </c>
    </row>
    <row r="95">
      <c r="A95" s="5">
        <f>HYPERLINK("https://app-web.statementrec.com/app#appuploadfiles/3a1a9607-b2c6-3b04-7f7e-a0e2e27873a4","Applewood Ltd")</f>
      </c>
      <c r="B95" s="3" t="s">
        <v>11</v>
      </c>
      <c r="C95" s="4">
        <v>1</v>
      </c>
    </row>
    <row r="96">
      <c r="A96" s="5">
        <f>HYPERLINK("https://app-web.statementrec.com/app#appuploadfiles/3a1ad2c5-eb3a-3246-3abc-57c8e7bd7478","Hayes, Tracy MPC")</f>
      </c>
      <c r="B96" s="3" t="s">
        <v>51</v>
      </c>
      <c r="C96" s="4">
        <v>12</v>
      </c>
    </row>
    <row r="97">
      <c r="A97" s="5">
        <f>HYPERLINK("https://app-web.statementrec.com/app#appuploadfiles/3a1b8c68-ce02-c0f3-6d16-258bce8235ee","RBL CC 0044 - FYE 1 July 2025 to 30 June 2026")</f>
      </c>
      <c r="B97" s="3" t="s">
        <v>52</v>
      </c>
      <c r="C97" s="4">
        <v>1</v>
      </c>
    </row>
    <row r="98">
      <c r="A98" s="5">
        <f>HYPERLINK("https://app-web.statementrec.com/app#appuploadfiles/3a1bab72-43a3-5193-11df-a8a974f7a754","Contagion Investments Limited")</f>
      </c>
      <c r="B98" s="3" t="s">
        <v>53</v>
      </c>
      <c r="C98" s="4">
        <v>28</v>
      </c>
    </row>
    <row r="99">
      <c r="A99" s="5">
        <f>HYPERLINK("https://app-web.statementrec.com/app#appuploadfiles/3a1bab77-6352-5bbf-3a54-75d1d1567ab0","Unburdened")</f>
      </c>
      <c r="B99" s="3" t="s">
        <v>54</v>
      </c>
      <c r="C99" s="4">
        <v>4</v>
      </c>
    </row>
    <row r="100">
      <c r="A100" s="5">
        <f>HYPERLINK("https://app-web.statementrec.com/app#appuploadfiles/3a1bb20d-0161-556a-f608-000916ff5868","Rizzoli Denture")</f>
      </c>
      <c r="B100" s="3" t="s">
        <v>55</v>
      </c>
      <c r="C100" s="4">
        <v>10</v>
      </c>
    </row>
    <row r="101">
      <c r="A101" s="5">
        <f>HYPERLINK("https://app-web.statementrec.com/app#appuploadfiles/3a1bd853-fa4c-17ba-14a5-7198601e0c88","ZCR001 - Zerosa Resource")</f>
      </c>
      <c r="B101" s="3" t="s">
        <v>12</v>
      </c>
      <c r="C101" s="4">
        <v>9</v>
      </c>
    </row>
    <row r="102">
      <c r="A102" s="5">
        <f>HYPERLINK("https://app-web.statementrec.com/app#appuploadfiles/3a1c2129-8ed4-73cc-ee13-67d91f7ef936","Elecforce")</f>
      </c>
      <c r="B102" s="3" t="s">
        <v>16</v>
      </c>
      <c r="C102" s="4">
        <v>40</v>
      </c>
    </row>
    <row r="103">
      <c r="A103" s="5">
        <f>HYPERLINK("https://app-web.statementrec.com/app#appuploadfiles/3a1c2ded-efed-5745-2492-a95af15113eb","Interior Transformers Limited")</f>
      </c>
      <c r="B103" s="3" t="s">
        <v>36</v>
      </c>
      <c r="C103" s="4">
        <v>6</v>
      </c>
    </row>
    <row r="104">
      <c r="A104" s="5">
        <f>HYPERLINK("https://app-web.statementrec.com/app#appuploadfiles/3a1c5f0e-613d-4a93-5fd2-979e83ba0efa","Munroe K Limited")</f>
      </c>
      <c r="B104" s="3" t="s">
        <v>56</v>
      </c>
      <c r="C104" s="4">
        <v>2</v>
      </c>
    </row>
    <row r="105">
      <c r="A105" s="5">
        <f>HYPERLINK("https://app-web.statementrec.com/app#appuploadfiles/3a1c5f1c-f6f2-35c9-6a62-6d11164bce5d","W J Phillips &amp; Son (Lloyd Phillips)")</f>
      </c>
      <c r="B105" s="3" t="s">
        <v>4</v>
      </c>
      <c r="C105" s="4">
        <v>4</v>
      </c>
    </row>
    <row r="106">
      <c r="A106" s="5">
        <f>HYPERLINK("https://app-web.statementrec.com/app#appuploadfiles/3a1cf7c4-ca8a-023e-b7c1-c6da2c8952a7","BOWL AND SPOON")</f>
      </c>
      <c r="B106" s="3" t="s">
        <v>57</v>
      </c>
      <c r="C106" s="4">
        <v>19</v>
      </c>
    </row>
    <row r="107">
      <c r="A107" s="5">
        <f>HYPERLINK("https://app-web.statementrec.com/app#appuploadfiles/3a1d7f6b-a2d9-d441-27aa-264c74939c40","PS Swart")</f>
      </c>
      <c r="B107" s="3" t="s">
        <v>20</v>
      </c>
      <c r="C107" s="4">
        <v>50</v>
      </c>
    </row>
    <row r="108">
      <c r="A108" s="5">
        <f>HYPERLINK("https://app-web.statementrec.com/app#appuploadfiles/3a1dba84-3949-f575-c9ee-8ae136f3f69b","02448-Lerner, Chelsey &amp; Mitch")</f>
      </c>
      <c r="B108" s="3" t="s">
        <v>58</v>
      </c>
      <c r="C108" s="4">
        <v>56</v>
      </c>
    </row>
    <row r="109">
      <c r="A109" s="5">
        <f>HYPERLINK("https://app-web.statementrec.com/app#appuploadfiles/3a1e5df7-8eb0-a998-522d-4adc50979ef9","Road Ready Automotive Ltd")</f>
      </c>
      <c r="B109" s="3" t="s">
        <v>9</v>
      </c>
      <c r="C109" s="4">
        <v>57</v>
      </c>
    </row>
    <row r="110">
      <c r="A110" s="5">
        <f>HYPERLINK("https://app-web.statementrec.com/app#appuploadfiles/3a1ed7aa-8ff4-7b42-b1ff-9128c2dd28b2","Advanced Ventilations Systems Ltd")</f>
      </c>
      <c r="B110" s="3" t="s">
        <v>16</v>
      </c>
      <c r="C110" s="4">
        <v>1</v>
      </c>
    </row>
    <row r="111">
      <c r="A111" s="5">
        <f>HYPERLINK("https://app-web.statementrec.com/app#appuploadfiles/3a1f2faa-e359-4cb0-fb1e-ebbfb9812267","Holmes family farms")</f>
      </c>
      <c r="B111" s="3" t="s">
        <v>59</v>
      </c>
      <c r="C111" s="4">
        <v>1</v>
      </c>
    </row>
    <row r="112">
      <c r="A112" s="5">
        <f>HYPERLINK("https://app-web.statementrec.com/app#appuploadfiles/3a1f547f-42f7-a761-f017-4acb2bc77b01","RBL TTD 2026")</f>
      </c>
      <c r="B112" s="3" t="s">
        <v>9</v>
      </c>
      <c r="C112" s="4">
        <v>8</v>
      </c>
    </row>
    <row r="113">
      <c r="A113" s="5">
        <f>HYPERLINK("https://app-web.statementrec.com/app#appuploadfiles/3a1f6962-5df8-4b2b-8a5c-003bae6fc1e8","AUDIOVISUEL ASSISTANCE &amp; SERVICE")</f>
      </c>
      <c r="B113" s="3" t="s">
        <v>60</v>
      </c>
      <c r="C113" s="4">
        <v>8</v>
      </c>
    </row>
    <row r="114">
      <c r="A114" s="5">
        <f>HYPERLINK("https://app-web.statementrec.com/app#appuploadfiles/3a1f7d5e-5c0b-ad74-ef85-7224015f7cd4","Expo Ltd/LLP/Port/PS")</f>
      </c>
      <c r="B114" s="3" t="s">
        <v>12</v>
      </c>
      <c r="C114" s="4">
        <v>4</v>
      </c>
    </row>
    <row r="115">
      <c r="A115" s="5">
        <f>HYPERLINK("https://app-web.statementrec.com/app#appuploadfiles/3a1f7f79-fa90-f28b-4a89-d12be9a5aef2","Gobystone Corporation")</f>
      </c>
      <c r="B115" s="3" t="s">
        <v>38</v>
      </c>
      <c r="C115" s="4">
        <v>10</v>
      </c>
    </row>
    <row r="116">
      <c r="A116" s="5">
        <f>HYPERLINK("https://app-web.statementrec.com/app#appuploadfiles/3a1fcf81-786b-f0e1-009f-786799199381","Pinnacle Lifts Limited")</f>
      </c>
      <c r="B116" s="3" t="s">
        <v>20</v>
      </c>
      <c r="C116" s="4">
        <v>10</v>
      </c>
    </row>
    <row r="117">
      <c r="A117" s="5">
        <f>HYPERLINK("https://app-web.statementrec.com/app#appuploadfiles/3a1fe472-e1c2-342a-b9ad-b0432e1cd4ef","NOGENT SANTE")</f>
      </c>
      <c r="B117" s="3" t="s">
        <v>61</v>
      </c>
      <c r="C117" s="4">
        <v>148</v>
      </c>
    </row>
    <row r="118">
      <c r="A118" s="5">
        <f>HYPERLINK("https://app-web.statementrec.com/app#appuploadfiles/3a20bc42-4df3-885b-d923-34e6756c4bb2","Let it Rain YE 31/03/2026")</f>
      </c>
      <c r="B118" s="3" t="s">
        <v>62</v>
      </c>
      <c r="C118" s="4">
        <v>35</v>
      </c>
    </row>
    <row r="119">
      <c r="A119" s="5">
        <f>HYPERLINK("https://app-web.statementrec.com/app#appuploadfiles/3a20e15c-42e4-2591-ef6c-5747a18f991e","2026 Accounts")</f>
      </c>
      <c r="B119" s="3" t="s">
        <v>4</v>
      </c>
      <c r="C119" s="4">
        <v>4</v>
      </c>
    </row>
    <row r="120">
      <c r="A120" s="5">
        <f>HYPERLINK("https://app-web.statementrec.com/app#appuploadfiles/3a210c04-6ae0-e210-3022-1169b2598d8b","Moses Maren Mission Technical High Sch")</f>
      </c>
      <c r="B120" s="3" t="s">
        <v>20</v>
      </c>
      <c r="C120" s="4">
        <v>49</v>
      </c>
    </row>
    <row r="121">
      <c r="A121" s="5">
        <f>HYPERLINK("https://app-web.statementrec.com/app#appuploadfiles/3a2128d6-a351-0fa6-d3bf-3f6e70c3c843","Snag Pro ltd")</f>
      </c>
      <c r="B121" s="3" t="s">
        <v>57</v>
      </c>
      <c r="C121" s="4">
        <v>4</v>
      </c>
    </row>
    <row r="122">
      <c r="A122" s="5">
        <f>HYPERLINK("https://app-web.statementrec.com/app#appuploadfiles/3a2151bf-b799-de31-064f-3042a1f9c201","ABI Resources")</f>
      </c>
      <c r="B122" s="3" t="s">
        <v>63</v>
      </c>
      <c r="C122" s="4">
        <v>4</v>
      </c>
    </row>
    <row r="123">
      <c r="A123" s="5">
        <f>HYPERLINK("https://app-web.statementrec.com/app#appuploadfiles/3a2156b2-9b4a-1613-977a-5a1b39283c0d","ALPHA DANE LIMITED")</f>
      </c>
      <c r="B123" s="3" t="s">
        <v>4</v>
      </c>
      <c r="C123" s="4">
        <v>32</v>
      </c>
    </row>
    <row r="124">
      <c r="A124" s="5">
        <f>HYPERLINK("https://app-web.statementrec.com/app#appuploadfiles/3a21581d-49e1-31df-3f9b-5a114b689941","Aidan Connaughton")</f>
      </c>
      <c r="B124" s="3" t="s">
        <v>64</v>
      </c>
      <c r="C124" s="4">
        <v>25</v>
      </c>
    </row>
    <row r="125">
      <c r="A125" s="5">
        <f>HYPERLINK("https://app-web.statementrec.com/app#appuploadfiles/3a2180ac-34e0-764c-8e30-9fb4cf3a169a","MANTA REA AQUATICS LIMITED")</f>
      </c>
      <c r="B125" s="3" t="s">
        <v>8</v>
      </c>
      <c r="C125" s="4">
        <v>327</v>
      </c>
    </row>
    <row r="126">
      <c r="A126" s="5">
        <f>HYPERLINK("https://app-web.statementrec.com/app#appuploadfiles/3a2187eb-7399-53e3-418e-f1c7a13363c1","Eternal Glory Church")</f>
      </c>
      <c r="B126" s="3" t="s">
        <v>65</v>
      </c>
      <c r="C126" s="4">
        <v>57</v>
      </c>
    </row>
    <row r="127">
      <c r="A127" s="5">
        <f>HYPERLINK("https://app-web.statementrec.com/app#appuploadfiles/3a21a463-2f37-653d-ca99-e542d578dd4d","Principles Of Digital Studios")</f>
      </c>
      <c r="B127" s="3" t="s">
        <v>13</v>
      </c>
      <c r="C127" s="4">
        <v>1</v>
      </c>
    </row>
    <row r="128">
      <c r="A128" s="5">
        <f>HYPERLINK("https://app-web.statementrec.com/app#appuploadfiles/3a21a5a4-a827-c7b3-93e6-f70226c42f60","HSBC 06.05.25 TO 02.05.26")</f>
      </c>
      <c r="B128" s="3" t="s">
        <v>4</v>
      </c>
      <c r="C128" s="4">
        <v>34</v>
      </c>
    </row>
    <row r="129">
      <c r="A129" s="5">
        <f>HYPERLINK("https://app-web.statementrec.com/app#appuploadfiles/3a21a79d-b8ba-9036-f1bb-0abcd065371d","La Rocca May 2026")</f>
      </c>
      <c r="B129" s="3" t="s">
        <v>4</v>
      </c>
      <c r="C129" s="4">
        <v>3</v>
      </c>
    </row>
    <row r="130">
      <c r="A130" s="5">
        <f>HYPERLINK("https://app-web.statementrec.com/app#appuploadfiles/3a21a7b2-032a-f69a-19c7-40f26d71f611","HA Design May 2026")</f>
      </c>
      <c r="B130" s="3" t="s">
        <v>66</v>
      </c>
      <c r="C130" s="4">
        <v>6</v>
      </c>
    </row>
    <row r="131">
      <c r="A131" s="5">
        <f>HYPERLINK("https://app-web.statementrec.com/app#appuploadfiles/3a21a7c1-20ca-7865-f708-926acbaf5048","Chenoweth")</f>
      </c>
      <c r="B131" s="3" t="s">
        <v>67</v>
      </c>
      <c r="C131" s="4">
        <v>15</v>
      </c>
    </row>
    <row r="132">
      <c r="A132" s="5">
        <f>HYPERLINK("https://app-web.statementrec.com/app#appuploadfiles/3a21a877-88f0-4e72-f245-9d4519c97506","YEAR 2020")</f>
      </c>
      <c r="B132" s="3" t="s">
        <v>20</v>
      </c>
      <c r="C132" s="4">
        <v>108</v>
      </c>
    </row>
    <row r="133">
      <c r="A133" s="5">
        <f>HYPERLINK("https://app-web.statementrec.com/app#appuploadfiles/3a21a8cc-0a2f-1ce9-8c3d-ae7a7d8cc537","REGIONAL BARGAINING COUNCIL")</f>
      </c>
      <c r="B133" s="3" t="s">
        <v>48</v>
      </c>
      <c r="C133" s="4">
        <v>3</v>
      </c>
    </row>
    <row r="134">
      <c r="A134" s="5">
        <f>HYPERLINK("https://app-web.statementrec.com/app#appuploadfiles/3a21a8e2-b3bb-711b-30bf-f92fb0ea1d1a","RATTLE &amp; DRUM MUSIC LTD")</f>
      </c>
      <c r="B134" s="3" t="s">
        <v>13</v>
      </c>
      <c r="C134" s="4">
        <v>19</v>
      </c>
    </row>
    <row r="135">
      <c r="A135" s="5">
        <f>HYPERLINK("https://app-web.statementrec.com/app#appuploadfiles/3a21a8f2-7a6f-7de0-d933-7b9a0263543e","Waychan Laundromat")</f>
      </c>
      <c r="B135" s="3" t="s">
        <v>20</v>
      </c>
      <c r="C135" s="4">
        <v>2</v>
      </c>
    </row>
    <row r="136">
      <c r="A136" s="5">
        <f>HYPERLINK("https://app-web.statementrec.com/app#appuploadfiles/3a21a8f5-68f5-08b0-2b4d-fe2b74243a3e","Zella Social LTD")</f>
      </c>
      <c r="B136" s="3" t="s">
        <v>25</v>
      </c>
      <c r="C136" s="4">
        <v>2</v>
      </c>
    </row>
    <row r="137">
      <c r="A137" s="5">
        <f>HYPERLINK("https://app-web.statementrec.com/app#appuploadfiles/3a21a8fb-3626-09d4-7458-6f90e7cbb5f2","Ormskirk Market Ltd")</f>
      </c>
      <c r="B137" s="3" t="s">
        <v>24</v>
      </c>
      <c r="C137" s="4">
        <v>477</v>
      </c>
    </row>
    <row r="138">
      <c r="A138" s="5">
        <f>HYPERLINK("https://app-web.statementrec.com/app#appuploadfiles/3a21a902-e37e-d055-e19d-996e044f8fa4","Kaleido Research Ltd")</f>
      </c>
      <c r="B138" s="3" t="s">
        <v>57</v>
      </c>
      <c r="C138" s="4">
        <v>42</v>
      </c>
    </row>
    <row r="139">
      <c r="A139" s="5">
        <f>HYPERLINK("https://app-web.statementrec.com/app#appuploadfiles/3a21a904-6bf8-da1a-0786-faf3fb470898","OS018C - RVKCHAHAL LTD")</f>
      </c>
      <c r="B139" s="3" t="s">
        <v>68</v>
      </c>
      <c r="C139" s="4">
        <v>25</v>
      </c>
    </row>
    <row r="140">
      <c r="A140" s="5">
        <f>HYPERLINK("https://app-web.statementrec.com/app#appuploadfiles/3a21a920-2755-ea44-3361-f439fa4d1cce","NOVO Digital Ltd")</f>
      </c>
      <c r="B140" s="3" t="s">
        <v>41</v>
      </c>
      <c r="C140" s="4">
        <v>98</v>
      </c>
    </row>
    <row r="141">
      <c r="A141" s="5">
        <f>HYPERLINK("https://app-web.statementrec.com/app#appuploadfiles/3a21a920-3c57-2ccd-696a-fb4cb06fcb11","31 March 2026")</f>
      </c>
      <c r="B141" s="3" t="s">
        <v>4</v>
      </c>
      <c r="C141" s="4">
        <v>19</v>
      </c>
    </row>
    <row r="142">
      <c r="A142" s="5">
        <f>HYPERLINK("https://app-web.statementrec.com/app#appuploadfiles/3a21a938-a53d-1e25-19a5-f3ed43d432ff","Seskin Lisdowney GWS")</f>
      </c>
      <c r="B142" s="3" t="s">
        <v>11</v>
      </c>
      <c r="C142" s="4">
        <v>12</v>
      </c>
    </row>
    <row r="143">
      <c r="A143" s="5">
        <f>HYPERLINK("https://app-web.statementrec.com/app#appuploadfiles/3a21a93e-9bbb-c7b2-ca7e-7b29a9a67bf7","Gowersands Investments Limited_1159811-100")</f>
      </c>
      <c r="B143" s="3" t="s">
        <v>20</v>
      </c>
      <c r="C143" s="4">
        <v>12</v>
      </c>
    </row>
    <row r="144">
      <c r="A144" s="5">
        <f>HYPERLINK("https://app-web.statementrec.com/app#appuploadfiles/3a21a94c-e247-06a0-b30f-20e96890c8b4","Revolut Ireland Ltd")</f>
      </c>
      <c r="B144" s="3" t="s">
        <v>24</v>
      </c>
      <c r="C144" s="4">
        <v>327</v>
      </c>
    </row>
    <row r="145">
      <c r="A145" s="5">
        <f>HYPERLINK("https://app-web.statementrec.com/app#appuploadfiles/3a21a96a-dfbf-dd8d-160a-77fb7f102125","Exstudio Ltd")</f>
      </c>
      <c r="B145" s="3" t="s">
        <v>22</v>
      </c>
      <c r="C145" s="4">
        <v>114</v>
      </c>
    </row>
    <row r="146">
      <c r="A146" s="5">
        <f>HYPERLINK("https://app-web.statementrec.com/app#appuploadfiles/3a21a970-5adf-1432-e6a4-f0760ebe18b6","ATB Pipeline Consultancy Limited")</f>
      </c>
      <c r="B146" s="3" t="s">
        <v>9</v>
      </c>
      <c r="C146" s="4">
        <v>3</v>
      </c>
    </row>
    <row r="147">
      <c r="A147" s="5">
        <f>HYPERLINK("https://app-web.statementrec.com/app#appuploadfiles/3a21a994-d0e9-12a9-6691-bc4e0ddeafb6","YEAR 2021")</f>
      </c>
      <c r="B147" s="3" t="s">
        <v>57</v>
      </c>
      <c r="C147" s="4">
        <v>51</v>
      </c>
    </row>
    <row r="148">
      <c r="A148" s="5">
        <f>HYPERLINK("https://app-web.statementrec.com/app#appuploadfiles/3a21a997-5521-64d5-2754-687be3a7b4c7","Lighten up Wellness Ltd")</f>
      </c>
      <c r="B148" s="3" t="s">
        <v>11</v>
      </c>
      <c r="C148" s="4">
        <v>20</v>
      </c>
    </row>
    <row r="149">
      <c r="A149" s="5">
        <f>HYPERLINK("https://app-web.statementrec.com/app#appuploadfiles/3a21a99d-56a6-830b-4270-c9920df410e0","sharjah May 2026.2")</f>
      </c>
      <c r="B149" s="3" t="s">
        <v>63</v>
      </c>
      <c r="C149" s="4">
        <v>2</v>
      </c>
    </row>
    <row r="150">
      <c r="A150" s="5">
        <f>HYPERLINK("https://app-web.statementrec.com/app#appuploadfiles/3a21a9a4-f4a2-f7fb-7de1-ee936e9ff29d","Ms R Vasconcellos")</f>
      </c>
      <c r="B150" s="3" t="s">
        <v>24</v>
      </c>
      <c r="C150" s="4">
        <v>35</v>
      </c>
    </row>
    <row r="151">
      <c r="A151" s="5">
        <f>HYPERLINK("https://app-web.statementrec.com/app#appuploadfiles/3a21a9ae-dff7-0e76-6411-68597a225259","Alluring Media")</f>
      </c>
      <c r="B151" s="3" t="s">
        <v>63</v>
      </c>
      <c r="C151" s="4">
        <v>4</v>
      </c>
    </row>
    <row r="152">
      <c r="A152" s="5">
        <f>HYPERLINK("https://app-web.statementrec.com/app#appuploadfiles/3a21a9cd-8770-df9e-d05d-d17ffce556a4","Fimza Market")</f>
      </c>
      <c r="B152" s="3" t="s">
        <v>69</v>
      </c>
      <c r="C152" s="4">
        <v>6</v>
      </c>
    </row>
    <row r="153">
      <c r="A153" s="5">
        <f>HYPERLINK("https://app-web.statementrec.com/app#appuploadfiles/3a21a9d5-fb10-8808-61f0-736222e39eda","Netsianda Attorneys")</f>
      </c>
      <c r="B153" s="3" t="s">
        <v>48</v>
      </c>
      <c r="C153" s="4">
        <v>11</v>
      </c>
    </row>
    <row r="154">
      <c r="A154" s="5">
        <f>HYPERLINK("https://app-web.statementrec.com/app#appuploadfiles/3a21a9da-b2e6-2021-ccc7-6a0096c8824d","YEAR 2022")</f>
      </c>
      <c r="B154" s="3" t="s">
        <v>48</v>
      </c>
      <c r="C154" s="4">
        <v>18</v>
      </c>
    </row>
    <row r="155">
      <c r="A155" s="5">
        <f>HYPERLINK("https://app-web.statementrec.com/app#appuploadfiles/3a21a9e8-735d-3611-601c-e9de8778985d","Light-Tek ltd")</f>
      </c>
      <c r="B155" s="3" t="s">
        <v>16</v>
      </c>
      <c r="C155" s="4">
        <v>12</v>
      </c>
    </row>
    <row r="156">
      <c r="A156" s="5">
        <f>HYPERLINK("https://app-web.statementrec.com/app#appuploadfiles/3a21a9f3-f620-455e-b90a-7c003b00ad79","Bank 2025")</f>
      </c>
      <c r="B156" s="3" t="s">
        <v>31</v>
      </c>
      <c r="C156" s="4">
        <v>42</v>
      </c>
    </row>
    <row r="157">
      <c r="A157" s="5">
        <f>HYPERLINK("https://app-web.statementrec.com/app#appuploadfiles/3a21a9f6-b048-4eb7-b014-14e84e9b46c9","Catherine Fox")</f>
      </c>
      <c r="B157" s="3" t="s">
        <v>4</v>
      </c>
      <c r="C157" s="4">
        <v>9</v>
      </c>
    </row>
    <row r="158">
      <c r="A158" s="5">
        <f>HYPERLINK("https://app-web.statementrec.com/app#appuploadfiles/3a21a9f9-e9b9-91e9-4881-9a3e5f7ac33d","7082869 AIB Acc #3089")</f>
      </c>
      <c r="B158" s="3" t="s">
        <v>11</v>
      </c>
      <c r="C158" s="4">
        <v>10</v>
      </c>
    </row>
    <row r="159">
      <c r="A159" s="5">
        <f>HYPERLINK("https://app-web.statementrec.com/app#appuploadfiles/3a21a9fc-dd28-58ca-d314-40c633bef74e","Tudor Owen")</f>
      </c>
      <c r="B159" s="3" t="s">
        <v>4</v>
      </c>
      <c r="C159" s="4">
        <v>23</v>
      </c>
    </row>
    <row r="160">
      <c r="A160" s="5">
        <f>HYPERLINK("https://app-web.statementrec.com/app#appuploadfiles/3a21aa14-5328-3d37-7e85-7d98d7e0beaf","4314824 Canada Inc.")</f>
      </c>
      <c r="B160" s="3" t="s">
        <v>70</v>
      </c>
      <c r="C160" s="4">
        <v>5</v>
      </c>
    </row>
    <row r="161">
      <c r="A161" s="5">
        <f>HYPERLINK("https://app-web.statementrec.com/app#appuploadfiles/3a21aa18-aede-e341-8b9d-da79dd6797b5","DEXTER DAVIES GROUP LTD")</f>
      </c>
      <c r="B161" s="3" t="s">
        <v>13</v>
      </c>
      <c r="C161" s="4">
        <v>58</v>
      </c>
    </row>
    <row r="162">
      <c r="A162" s="5">
        <f>HYPERLINK("https://app-web.statementrec.com/app#appuploadfiles/3a21aa19-3bfd-2964-63c5-fad56feeb02f","4172051 Canada Inc.")</f>
      </c>
      <c r="B162" s="3" t="s">
        <v>71</v>
      </c>
      <c r="C162" s="4">
        <v>5</v>
      </c>
    </row>
    <row r="163">
      <c r="A163" s="5">
        <f>HYPERLINK("https://app-web.statementrec.com/app#appuploadfiles/3a21aa22-d660-3014-124d-dddc0f399040","SUZANNE HEATH 2026")</f>
      </c>
      <c r="B163" s="3" t="s">
        <v>72</v>
      </c>
      <c r="C163" s="4">
        <v>10</v>
      </c>
    </row>
    <row r="164">
      <c r="A164" s="5">
        <f>HYPERLINK("https://app-web.statementrec.com/app#appuploadfiles/3a21aa33-436a-87aa-037c-d24616d46b6d","Stream Media Group Ltd")</f>
      </c>
      <c r="B164" s="3" t="s">
        <v>73</v>
      </c>
      <c r="C164" s="4">
        <v>14</v>
      </c>
    </row>
    <row r="165">
      <c r="A165" s="5">
        <f>HYPERLINK("https://app-web.statementrec.com/app#appuploadfiles/3a21aa35-0232-1227-214f-85c47afad9a5","Aardhya Foods Ltd")</f>
      </c>
      <c r="B165" s="3" t="s">
        <v>68</v>
      </c>
      <c r="C165" s="4">
        <v>47</v>
      </c>
    </row>
    <row r="166">
      <c r="A166" s="5">
        <f>HYPERLINK("https://app-web.statementrec.com/app#appuploadfiles/3a21aa3a-132c-4564-2974-6054cb01b125","DJ3981 - Rosetta")</f>
      </c>
      <c r="B166" s="3" t="s">
        <v>74</v>
      </c>
      <c r="C166" s="4">
        <v>38</v>
      </c>
    </row>
    <row r="167">
      <c r="A167" s="5">
        <f>HYPERLINK("https://app-web.statementrec.com/app#appuploadfiles/3a21aa48-b307-3d90-7dfb-66d2ee38dc65","March - May 26")</f>
      </c>
      <c r="B167" s="3" t="s">
        <v>75</v>
      </c>
      <c r="C167" s="4">
        <v>4</v>
      </c>
    </row>
    <row r="168">
      <c r="A168" s="5">
        <f>HYPERLINK("https://app-web.statementrec.com/app#appuploadfiles/3a21aa4d-ae19-953a-388e-1c80a3f896a2","")</f>
      </c>
      <c r="B168" s="3" t="s">
        <v>76</v>
      </c>
      <c r="C168" s="4">
        <v>6</v>
      </c>
    </row>
    <row r="169">
      <c r="A169" s="5">
        <f>HYPERLINK("https://app-web.statementrec.com/app#appuploadfiles/3a21aa50-d6ec-95ce-563a-79f81f743d5d","headley meadows")</f>
      </c>
      <c r="B169" s="3" t="s">
        <v>77</v>
      </c>
      <c r="C169" s="4">
        <v>1</v>
      </c>
    </row>
    <row r="170">
      <c r="A170" s="5">
        <f>HYPERLINK("https://app-web.statementrec.com/app#appuploadfiles/3a21aa58-498a-19ea-ed50-d3551599f384","L=Kirsten Ruck")</f>
      </c>
      <c r="B170" s="3" t="s">
        <v>16</v>
      </c>
      <c r="C170" s="4">
        <v>3</v>
      </c>
    </row>
    <row r="171">
      <c r="A171" s="5">
        <f>HYPERLINK("https://app-web.statementrec.com/app#appuploadfiles/3a21aa63-ff34-8cfd-dd57-cfd51ee89f66","GGSD")</f>
      </c>
      <c r="B171" s="3" t="s">
        <v>9</v>
      </c>
      <c r="C171" s="4">
        <v>992</v>
      </c>
    </row>
    <row r="172">
      <c r="A172" s="5">
        <f>HYPERLINK("https://app-web.statementrec.com/app#appuploadfiles/3a21aa66-beba-1a98-50b0-d5dee5f21b94","SAM HEMPTON")</f>
      </c>
      <c r="B172" s="3" t="s">
        <v>7</v>
      </c>
      <c r="C172" s="4">
        <v>6</v>
      </c>
    </row>
    <row r="173">
      <c r="A173" s="5">
        <f>HYPERLINK("https://app-web.statementrec.com/app#appuploadfiles/3a21aa84-be53-75c2-ac7d-66d5a63332fc","FOOENGINE LIMITED")</f>
      </c>
      <c r="B173" s="3" t="s">
        <v>12</v>
      </c>
      <c r="C173" s="4">
        <v>24</v>
      </c>
    </row>
    <row r="174">
      <c r="A174" s="5">
        <f>HYPERLINK("https://app-web.statementrec.com/app#appuploadfiles/3a21aa85-1742-44fb-b2d4-6d1825d5bc01","Cartagena Enterprises LLC")</f>
      </c>
      <c r="B174" s="3" t="s">
        <v>78</v>
      </c>
      <c r="C174" s="4">
        <v>6</v>
      </c>
    </row>
    <row r="175">
      <c r="A175" s="5">
        <f>HYPERLINK("https://app-web.statementrec.com/app#appuploadfiles/3a21aa8a-6e61-8244-e09b-c2454c7dc0bc","2025")</f>
      </c>
      <c r="B175" s="3" t="s">
        <v>25</v>
      </c>
      <c r="C175" s="4">
        <v>22</v>
      </c>
    </row>
    <row r="176">
      <c r="A176" s="5">
        <f>HYPERLINK("https://app-web.statementrec.com/app#appuploadfiles/3a21aaae-6ab5-90e3-fa63-760484623a70","1503385 BC Ltd.")</f>
      </c>
      <c r="B176" s="3" t="s">
        <v>6</v>
      </c>
      <c r="C176" s="4">
        <v>7</v>
      </c>
    </row>
    <row r="177">
      <c r="A177" s="5">
        <f>HYPERLINK("https://app-web.statementrec.com/app#appuploadfiles/3a21aab6-5c12-d23d-b95b-4674756449b8","PRUEBA")</f>
      </c>
      <c r="B177" s="3" t="s">
        <v>79</v>
      </c>
      <c r="C177" s="4">
        <v>11</v>
      </c>
    </row>
    <row r="178">
      <c r="A178" s="5">
        <f>HYPERLINK("https://app-web.statementrec.com/app#appuploadfiles/3a21aabf-1642-3826-5085-262d8f3106cf","APRIL 2026")</f>
      </c>
      <c r="B178" s="3" t="s">
        <v>12</v>
      </c>
      <c r="C178" s="4">
        <v>4</v>
      </c>
    </row>
    <row r="179">
      <c r="A179" s="5">
        <f>HYPERLINK("https://app-web.statementrec.com/app#appuploadfiles/3a21aacb-e75d-344b-3af7-411c34f6f410","2511396")</f>
      </c>
      <c r="B179" s="3" t="s">
        <v>57</v>
      </c>
      <c r="C179" s="4">
        <v>32</v>
      </c>
    </row>
    <row r="180">
      <c r="A180" s="5">
        <f>HYPERLINK("https://app-web.statementrec.com/app#appuploadfiles/3a21aade-a7ff-0d3e-4be9-dd8de3ad6c51","Lighthouse Paints")</f>
      </c>
      <c r="B180" s="3" t="s">
        <v>80</v>
      </c>
      <c r="C180" s="4">
        <v>31</v>
      </c>
    </row>
    <row r="181">
      <c r="A181" s="5">
        <f>HYPERLINK("https://app-web.statementrec.com/app#appuploadfiles/3a21aaf8-4c1a-8eb0-c6b4-52470f303a2d","June 2026")</f>
      </c>
      <c r="B181" s="3" t="s">
        <v>81</v>
      </c>
      <c r="C181" s="4">
        <v>26</v>
      </c>
    </row>
    <row r="182">
      <c r="A182" s="5">
        <f>HYPERLINK("https://app-web.statementrec.com/app#appuploadfiles/3a21ab45-4903-0111-f1f8-44450cc7df8c","Entrepreneur Mondain Inc.")</f>
      </c>
      <c r="B182" s="3" t="s">
        <v>82</v>
      </c>
      <c r="C182" s="4">
        <v>2</v>
      </c>
    </row>
    <row r="183">
      <c r="A183" s="5">
        <f>HYPERLINK("https://app-web.statementrec.com/app#appuploadfiles/3a21ab69-d0f9-cc8c-7ce2-530c478f62fb","Pate Lokal Inc.")</f>
      </c>
      <c r="B183" s="3" t="s">
        <v>83</v>
      </c>
      <c r="C183" s="4">
        <v>22</v>
      </c>
    </row>
    <row r="184">
      <c r="A184" s="5">
        <f>HYPERLINK("https://app-web.statementrec.com/app#appuploadfiles/3a21ab89-1967-7bf9-e4b1-3415fb41e15c","2025")</f>
      </c>
      <c r="B184" s="3" t="s">
        <v>36</v>
      </c>
      <c r="C184" s="4">
        <v>68</v>
      </c>
    </row>
    <row r="185">
      <c r="A185" s="5">
        <f>HYPERLINK("https://app-web.statementrec.com/app#appuploadfiles/3a21ab89-ed2b-168e-939a-e9ac7bf4125f","2025-12 (fin décembre)")</f>
      </c>
      <c r="B185" s="3" t="s">
        <v>29</v>
      </c>
      <c r="C185" s="4">
        <v>8</v>
      </c>
    </row>
    <row r="186">
      <c r="A186" s="5">
        <f>HYPERLINK("https://app-web.statementrec.com/app#appuploadfiles/3a21abaa-052a-9555-f091-4e91c2bcff17","2025 bank statements")</f>
      </c>
      <c r="B186" s="3" t="s">
        <v>63</v>
      </c>
      <c r="C186" s="4">
        <v>24</v>
      </c>
    </row>
    <row r="187">
      <c r="A187" s="5">
        <f>HYPERLINK("https://app-web.statementrec.com/app#appuploadfiles/3a21abad-7e59-3471-ac98-3e168ba558f1","Mofay LLC")</f>
      </c>
      <c r="B187" s="3" t="s">
        <v>84</v>
      </c>
      <c r="C187" s="4">
        <v>96</v>
      </c>
    </row>
    <row r="188">
      <c r="A188" s="5">
        <f>HYPERLINK("https://app-web.statementrec.com/app#appuploadfiles/3a21ac4d-bc8f-3a31-f20f-ea7cf68a9c74","02696-KimEvelyn")</f>
      </c>
      <c r="B188" s="3" t="s">
        <v>58</v>
      </c>
      <c r="C188" s="4">
        <v>436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</hyperlinks>
  <headerFooter>
    <oddFooter>&amp;L&amp;Z&amp;F&amp;C&amp;A&amp;RPage &amp;P of &amp;N</oddFooter>
  </headerFooter>
</worksheet>
</file>