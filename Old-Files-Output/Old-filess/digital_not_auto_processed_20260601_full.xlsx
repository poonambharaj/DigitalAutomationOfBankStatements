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 Processing Report" sheetId="1" r:id="rId1"/>
  </sheets>
  <definedNames>
    <definedName name="_xlnm.Print_Titles" localSheetId="0">'Data Processing Report'!$A:$E,'Data Processing Report'!$1:$1</definedName>
  </definedNames>
  <calcPr fullCalcOnLoad="1"/>
</workbook>
</file>

<file path=xl/sharedStrings.xml><?xml version="1.0" encoding="utf-8"?>
<sst xmlns="http://schemas.openxmlformats.org/spreadsheetml/2006/main" count="849" uniqueCount="849">
  <si>
    <t>Project</t>
  </si>
  <si>
    <t>Bank</t>
  </si>
  <si>
    <t>Pages</t>
  </si>
  <si>
    <t>Bank Of Ireland</t>
  </si>
  <si>
    <t>AIB,N/A,OTHER</t>
  </si>
  <si>
    <t>HSBC,Standard Bank</t>
  </si>
  <si>
    <t>allica bank,Wise Business</t>
  </si>
  <si>
    <t>NA,Tesco</t>
  </si>
  <si>
    <t>CoOp</t>
  </si>
  <si>
    <t>Barclays,Lloyds TSB</t>
  </si>
  <si>
    <t>AIB</t>
  </si>
  <si>
    <t>Revolut Business</t>
  </si>
  <si>
    <t>Nat West</t>
  </si>
  <si>
    <t>Barclay</t>
  </si>
  <si>
    <t>Funding circle</t>
  </si>
  <si>
    <t>Lloyds TSB</t>
  </si>
  <si>
    <t>Amex</t>
  </si>
  <si>
    <t>HSBC</t>
  </si>
  <si>
    <t>Barclays</t>
  </si>
  <si>
    <t>Santander</t>
  </si>
  <si>
    <t>AIB,Danske</t>
  </si>
  <si>
    <t>Danske</t>
  </si>
  <si>
    <t>TSB</t>
  </si>
  <si>
    <t>AmericanExpress,Amex,Barclays,MBNA,Nat West,SAINSBURY'S BANK,Virgin Money</t>
  </si>
  <si>
    <t>Barclay,Barclays</t>
  </si>
  <si>
    <t>Barclays,HSBC</t>
  </si>
  <si>
    <t xml:space="preserve"> Revolut</t>
  </si>
  <si>
    <t>AIB,AmericanExpress,Amex,Barclays,Capital ONTAP</t>
  </si>
  <si>
    <t>Barclay,Virgin</t>
  </si>
  <si>
    <t>Virgin Money</t>
  </si>
  <si>
    <t>Bank Of Scotland</t>
  </si>
  <si>
    <t xml:space="preserve">other </t>
  </si>
  <si>
    <t>Coutts,HSBC</t>
  </si>
  <si>
    <t>RBS</t>
  </si>
  <si>
    <t>ABSA,CIBC,NA</t>
  </si>
  <si>
    <t>Aldermore,Allica Bank,OTHER</t>
  </si>
  <si>
    <t>UlsterBank</t>
  </si>
  <si>
    <t>Barclays Edo Star</t>
  </si>
  <si>
    <t>ABSA</t>
  </si>
  <si>
    <t>Barclay,Nat West</t>
  </si>
  <si>
    <t>OTHER</t>
  </si>
  <si>
    <t>ABCD,Bank Of Scotland,Barclay</t>
  </si>
  <si>
    <t>other,Permanent TSB</t>
  </si>
  <si>
    <t>Wise Business</t>
  </si>
  <si>
    <t>blank</t>
  </si>
  <si>
    <t>Revolut Business,Santander</t>
  </si>
  <si>
    <t>Alliance And Leicester</t>
  </si>
  <si>
    <t>Other</t>
  </si>
  <si>
    <t>Investec</t>
  </si>
  <si>
    <t>Bank Of Scotland,LLOYDS BANK,NA</t>
  </si>
  <si>
    <t>Investec,Lloyds TSB</t>
  </si>
  <si>
    <t>ABSA,CAPITEC</t>
  </si>
  <si>
    <t>Capital ONTAP</t>
  </si>
  <si>
    <t>Metro Bank</t>
  </si>
  <si>
    <t>Nat West,Natwest_RG</t>
  </si>
  <si>
    <t>other,Santander</t>
  </si>
  <si>
    <t>other</t>
  </si>
  <si>
    <t>HSBC,Lloyds TSB,Nat West</t>
  </si>
  <si>
    <t>Chase</t>
  </si>
  <si>
    <t>WellsFargo</t>
  </si>
  <si>
    <t>ANZ</t>
  </si>
  <si>
    <t>SCOTIA,Scotia Bank</t>
  </si>
  <si>
    <t>AIB,First National Bank,Monzo Bank</t>
  </si>
  <si>
    <t>Virgin</t>
  </si>
  <si>
    <t>Handelsbanken,Sabadell Bank</t>
  </si>
  <si>
    <t xml:space="preserve"> Revolut,Nat West</t>
  </si>
  <si>
    <t>Abbey Santander,Commonwealth Bank,Westpac</t>
  </si>
  <si>
    <t>Citizens Bank</t>
  </si>
  <si>
    <t>ICICI BANK</t>
  </si>
  <si>
    <t>Coutts</t>
  </si>
  <si>
    <t xml:space="preserve"> Tide bank</t>
  </si>
  <si>
    <t>Metro Bank,Monzo Bank</t>
  </si>
  <si>
    <t>OTHER,Revolut Business</t>
  </si>
  <si>
    <t>Halifax</t>
  </si>
  <si>
    <t>Lloyds TSB,TSB</t>
  </si>
  <si>
    <t>Permanent TSB</t>
  </si>
  <si>
    <t>Bank Of Scotland,HSBC,Nat West</t>
  </si>
  <si>
    <t>Aldermore</t>
  </si>
  <si>
    <t>OCBC Bank</t>
  </si>
  <si>
    <t xml:space="preserve"> Revolut,Coutts</t>
  </si>
  <si>
    <t>First National Bank</t>
  </si>
  <si>
    <t>Handelsbanken</t>
  </si>
  <si>
    <t>ISLAND SAVINGS</t>
  </si>
  <si>
    <t>Nat West,Santander</t>
  </si>
  <si>
    <t>Starling Bank</t>
  </si>
  <si>
    <t xml:space="preserve">OTHER </t>
  </si>
  <si>
    <t>NA</t>
  </si>
  <si>
    <t>Barclay,Barclaycard</t>
  </si>
  <si>
    <t>banners bank,Other</t>
  </si>
  <si>
    <t>Weatherbys Private Bank</t>
  </si>
  <si>
    <t>Other,Permanent TSB</t>
  </si>
  <si>
    <t>Credit Union,Other,Scotia Bank,Servus Credit Union</t>
  </si>
  <si>
    <t>BMO</t>
  </si>
  <si>
    <t xml:space="preserve"> Revolut,HSBC,Revolut Business</t>
  </si>
  <si>
    <t>CAF</t>
  </si>
  <si>
    <t>CAPITEC</t>
  </si>
  <si>
    <t>AIB,HSBC,Lloyds TSB</t>
  </si>
  <si>
    <t>CHoares Bank</t>
  </si>
  <si>
    <t>Capital One,Capital ONTAP</t>
  </si>
  <si>
    <t>NA,other,UBP</t>
  </si>
  <si>
    <t>AIB,OTHER,Revolut Business</t>
  </si>
  <si>
    <t>Barclays,Virgin Atlantic</t>
  </si>
  <si>
    <t>HSBC UK</t>
  </si>
  <si>
    <t>C.HOARE &amp; CO.,NA,Other</t>
  </si>
  <si>
    <t>Barclays,sd</t>
  </si>
  <si>
    <t>Bank Of Ireland,OTHER</t>
  </si>
  <si>
    <t>51488860,Allica Bank,Barclay,Halifax,HSBC,other,Revolut Business,Starling Bank,UlsterBank,wise</t>
  </si>
  <si>
    <t>AIB,Barclays</t>
  </si>
  <si>
    <t>Bank Of Ireland,ecommbx,other</t>
  </si>
  <si>
    <t>UBS_Investment</t>
  </si>
  <si>
    <t>intesa sanpolo</t>
  </si>
  <si>
    <t>Lloyds TSB,Starling Bank</t>
  </si>
  <si>
    <t>Cashplus</t>
  </si>
  <si>
    <t>california bank of commerce</t>
  </si>
  <si>
    <t>HSBC,Nat West</t>
  </si>
  <si>
    <t>LLOYDS BANK,Lloyds TSB</t>
  </si>
  <si>
    <t>TideBank</t>
  </si>
  <si>
    <t>isle of man bank</t>
  </si>
  <si>
    <t>Standard Bank</t>
  </si>
  <si>
    <t>Bank Of Ireland,blank</t>
  </si>
  <si>
    <t>NED Bank</t>
  </si>
  <si>
    <t>African Barclays</t>
  </si>
  <si>
    <t>Bank Of Ireland,N/A,other</t>
  </si>
  <si>
    <t>Natwest_RG</t>
  </si>
  <si>
    <t>PNC-Bank</t>
  </si>
  <si>
    <t>QUESTRADE</t>
  </si>
  <si>
    <t>wise,Wise Business</t>
  </si>
  <si>
    <t>Discovery Bank</t>
  </si>
  <si>
    <t>LHV</t>
  </si>
  <si>
    <t>Qantas Energy</t>
  </si>
  <si>
    <t>MetroBank</t>
  </si>
  <si>
    <t>Arrabawn</t>
  </si>
  <si>
    <t>all star</t>
  </si>
  <si>
    <t>TD Canada Trust,TD-Bank</t>
  </si>
  <si>
    <t>Bank Of Ireland,First National Bank</t>
  </si>
  <si>
    <t>OLD NATIONAL BANK</t>
  </si>
  <si>
    <t>Cumberland</t>
  </si>
  <si>
    <t>AIB,other</t>
  </si>
  <si>
    <t>UNLIMIT</t>
  </si>
  <si>
    <t>Nation Wide</t>
  </si>
  <si>
    <t>Capital One</t>
  </si>
  <si>
    <t>Lloyds TSB,Nat West</t>
  </si>
  <si>
    <t>Barclay,Barclays,TideBank</t>
  </si>
  <si>
    <t>CYNERGY BANK</t>
  </si>
  <si>
    <t>Credit Union</t>
  </si>
  <si>
    <t>CoOp,The Cooperative Bank</t>
  </si>
  <si>
    <t>Bank Of America</t>
  </si>
  <si>
    <t>cynergy bank</t>
  </si>
  <si>
    <t>AIB,beem,d</t>
  </si>
  <si>
    <t>Credit Union,OTHER</t>
  </si>
  <si>
    <t>BRUNSWICK CREDIT UNION</t>
  </si>
  <si>
    <t>zempler bank</t>
  </si>
  <si>
    <t>Credit Union,other</t>
  </si>
  <si>
    <t>Commonwealth Bank</t>
  </si>
  <si>
    <t>ATB Financial</t>
  </si>
  <si>
    <t xml:space="preserve">NATWEST </t>
  </si>
  <si>
    <t>AIB,Alliance And Leicester</t>
  </si>
  <si>
    <t>velly first</t>
  </si>
  <si>
    <t>Royal Bank Of Canada</t>
  </si>
  <si>
    <t>OT,williams lake</t>
  </si>
  <si>
    <t>Barclay,Barclays,RBS</t>
  </si>
  <si>
    <t>HSBC,TideBank</t>
  </si>
  <si>
    <t>REPUBLIC BANK</t>
  </si>
  <si>
    <t>Lloyds TSB,Natwest_RG</t>
  </si>
  <si>
    <t>Barclays,OTHER</t>
  </si>
  <si>
    <t>the co operative bank</t>
  </si>
  <si>
    <t>Nation Wide,Virgin Money</t>
  </si>
  <si>
    <t xml:space="preserve">Amex,ING  </t>
  </si>
  <si>
    <t>Monzo Bank</t>
  </si>
  <si>
    <t>ibk</t>
  </si>
  <si>
    <t>AIB,Bank Of Ireland</t>
  </si>
  <si>
    <t>First Direct,HSBC</t>
  </si>
  <si>
    <t>Starling Bank,Wise Business</t>
  </si>
  <si>
    <t>J.P. MORGAN</t>
  </si>
  <si>
    <t>Amex,Bank Of Scotland,Capital ONTAP,Virgin Money</t>
  </si>
  <si>
    <t>SAESCOT</t>
  </si>
  <si>
    <t>Barclays,Virgin Money</t>
  </si>
  <si>
    <t>Amex,Capital One,Citi Visa,CitiBankUS,Lloyds TSB</t>
  </si>
  <si>
    <t>OT,Other</t>
  </si>
  <si>
    <t>OTHER,steller vista</t>
  </si>
  <si>
    <t>UOB</t>
  </si>
  <si>
    <t>Scotia Bank</t>
  </si>
  <si>
    <t>JohnLewis</t>
  </si>
  <si>
    <t>intesa sanpaolo</t>
  </si>
  <si>
    <t>worldfirst</t>
  </si>
  <si>
    <t>TD-Bank</t>
  </si>
  <si>
    <t xml:space="preserve"> HSBC</t>
  </si>
  <si>
    <t>Lloyds TSB,Permanent TSB</t>
  </si>
  <si>
    <t>funding circle</t>
  </si>
  <si>
    <t>Santander,VANQUIS</t>
  </si>
  <si>
    <t>AmericanExpress</t>
  </si>
  <si>
    <t>Barclays,Metro Bank</t>
  </si>
  <si>
    <t>HSBC,moneybox</t>
  </si>
  <si>
    <t>dan,Danske</t>
  </si>
  <si>
    <t>HSBC_RG</t>
  </si>
  <si>
    <t>Dragon_PURN</t>
  </si>
  <si>
    <t>City Bank</t>
  </si>
  <si>
    <t>conexus,Other</t>
  </si>
  <si>
    <t>RBS,Royal Bank Of Canada</t>
  </si>
  <si>
    <t>Deutsche Bank,Volksbank</t>
  </si>
  <si>
    <t>Revolut Business,Wise Business</t>
  </si>
  <si>
    <t>Bank of Montreal</t>
  </si>
  <si>
    <t>Bank Of Cyprus</t>
  </si>
  <si>
    <t>Commonwealth Bank,NED Bank</t>
  </si>
  <si>
    <t>Think Money,Virgin Money</t>
  </si>
  <si>
    <t>citi,HSBC</t>
  </si>
  <si>
    <t>Westpac</t>
  </si>
  <si>
    <t>AIB,OTHER</t>
  </si>
  <si>
    <t>bill</t>
  </si>
  <si>
    <t>HSBC,Lloyds TSB</t>
  </si>
  <si>
    <t>Amex,Lloyds TSB</t>
  </si>
  <si>
    <t>Confidential</t>
  </si>
  <si>
    <t>Lloyds TSB,Wise Business</t>
  </si>
  <si>
    <t>Close Brothers</t>
  </si>
  <si>
    <t>nab</t>
  </si>
  <si>
    <t>hampden bank</t>
  </si>
  <si>
    <t>National Bank,OTHER</t>
  </si>
  <si>
    <t>CityNationalBank,cwb</t>
  </si>
  <si>
    <t>BANK HOPE</t>
  </si>
  <si>
    <t>Santander,Standard Bank</t>
  </si>
  <si>
    <t>vir,Virgin Money</t>
  </si>
  <si>
    <t>PNC-Bank,PNC-Multiaccount</t>
  </si>
  <si>
    <t>HSBC,Revolut Business</t>
  </si>
  <si>
    <t>icici</t>
  </si>
  <si>
    <t>Alpha OpCo Manchester 96 Portland Street Ltd,N/A,other</t>
  </si>
  <si>
    <t>Investec,Standard Bank</t>
  </si>
  <si>
    <t>countingup</t>
  </si>
  <si>
    <t>FIRST,First National Bank,ST,VIR,Wise Business</t>
  </si>
  <si>
    <t>VALLEY FIRST</t>
  </si>
  <si>
    <t>zemplar</t>
  </si>
  <si>
    <t xml:space="preserve"> Revolut,Santander,TSB</t>
  </si>
  <si>
    <t>Capital ONTAP,HSBC</t>
  </si>
  <si>
    <t>Chase,Wise Business</t>
  </si>
  <si>
    <t>Barclays,Lloyds TSB,Nat West,Santander</t>
  </si>
  <si>
    <t>banque nationale du canada</t>
  </si>
  <si>
    <t>intesa sannpaolo</t>
  </si>
  <si>
    <t>Anna</t>
  </si>
  <si>
    <t>Bank Of Ireland,BIKMO,J. P. Morgan,OTH</t>
  </si>
  <si>
    <t>bikmo,bimko,J. P. Morgan,Other</t>
  </si>
  <si>
    <t>money box</t>
  </si>
  <si>
    <t>Arbuthnot Latham</t>
  </si>
  <si>
    <t>HSBC_RG,Revolut Business</t>
  </si>
  <si>
    <t>N/A</t>
  </si>
  <si>
    <t>other,ubp</t>
  </si>
  <si>
    <t>OTHER,Standard Bank</t>
  </si>
  <si>
    <t>AIB,PROVINCIAL CREDIT UNION LIMITED</t>
  </si>
  <si>
    <t>CORRYJAMESTOWNCREDITUNION</t>
  </si>
  <si>
    <t>Coutts,Lloyds TSB,Other</t>
  </si>
  <si>
    <t>Larimar,others</t>
  </si>
  <si>
    <t>frsarplus</t>
  </si>
  <si>
    <t>wise</t>
  </si>
  <si>
    <t>ZEMPLER BANK</t>
  </si>
  <si>
    <t>dd,woolworths financial services</t>
  </si>
  <si>
    <t>CORRYJAMESTOWNCREDITUNION,St George</t>
  </si>
  <si>
    <t>clever cards</t>
  </si>
  <si>
    <t>ABSA,First National Bank</t>
  </si>
  <si>
    <t>mercury</t>
  </si>
  <si>
    <t>Alliance And Leicester,Bank Of Ireland,Barclay,d</t>
  </si>
  <si>
    <t>nab,OTHER</t>
  </si>
  <si>
    <t>SEB</t>
  </si>
  <si>
    <t>Amex,Nat West</t>
  </si>
  <si>
    <t>cimb bank,STANDARD CHARTERED</t>
  </si>
  <si>
    <t>O,Other,Standard Bank,standard Bank od south Africa</t>
  </si>
  <si>
    <t>Nat West,Natwest_RG,UniCredit</t>
  </si>
  <si>
    <t>capitec</t>
  </si>
  <si>
    <t>WISE</t>
  </si>
  <si>
    <t>Barclays Daily Total</t>
  </si>
  <si>
    <t>Amex,Bank Of Scotland</t>
  </si>
  <si>
    <t>Amex,regions,RegionsBank</t>
  </si>
  <si>
    <t>FNBC BANK AND TRUST</t>
  </si>
  <si>
    <t>BarclayPLC</t>
  </si>
  <si>
    <t>ALLIANCE BANK,other,Standard Bank</t>
  </si>
  <si>
    <t>truist</t>
  </si>
  <si>
    <t>reliance</t>
  </si>
  <si>
    <t>Macquarie Visa</t>
  </si>
  <si>
    <t>OTHERS</t>
  </si>
  <si>
    <t>ANZ,HSBC_RG</t>
  </si>
  <si>
    <t>Bank Of Ireland,NA</t>
  </si>
  <si>
    <t>TD BANK</t>
  </si>
  <si>
    <t>HSBC,Revolut Business,Wise Business</t>
  </si>
  <si>
    <t>lyft direct,Santander</t>
  </si>
  <si>
    <t>AI salam bank</t>
  </si>
  <si>
    <t xml:space="preserve"> Revolut,other</t>
  </si>
  <si>
    <t>Bank Of America,OTHER</t>
  </si>
  <si>
    <t>abn-amro,Credit Union,NED Bank,other</t>
  </si>
  <si>
    <t>applied bank</t>
  </si>
  <si>
    <t>libro</t>
  </si>
  <si>
    <t>AccBank,Nat West</t>
  </si>
  <si>
    <t>HSBC,OTHER</t>
  </si>
  <si>
    <t>Bank Of Scotland,Barclay,Chase,stellarvista</t>
  </si>
  <si>
    <t>fnb</t>
  </si>
  <si>
    <t>Capitec,FNB,WellsFargo</t>
  </si>
  <si>
    <t xml:space="preserve"> Revolut,AIB</t>
  </si>
  <si>
    <t>BANCO BIC,BANCO SOL</t>
  </si>
  <si>
    <t>CIBC</t>
  </si>
  <si>
    <t>Think Money</t>
  </si>
  <si>
    <t>bow velley</t>
  </si>
  <si>
    <t>Standard Bank of south africa</t>
  </si>
  <si>
    <t>Dahabshil Bank,other</t>
  </si>
  <si>
    <t>ABSA,Bank Of Ireland,CAPITEC,FIRST,First National Bank,Investec,NA,Permanent TSB,Standard Bank</t>
  </si>
  <si>
    <t>coastal</t>
  </si>
  <si>
    <t>Metro Bank,Virgin</t>
  </si>
  <si>
    <t>UBS Wealth Management</t>
  </si>
  <si>
    <t>KAPITAL</t>
  </si>
  <si>
    <t>HSBC,Monzo Bank</t>
  </si>
  <si>
    <t>Barclays,Barclays Edo Star</t>
  </si>
  <si>
    <t>Lloyds TSB,Tesco</t>
  </si>
  <si>
    <t>ambank,cimb bank</t>
  </si>
  <si>
    <t>ANZ,nab</t>
  </si>
  <si>
    <t>Lloyds TSB,Virgin Money</t>
  </si>
  <si>
    <t>Investec,Nat West</t>
  </si>
  <si>
    <t>AIB,United Trust Bank</t>
  </si>
  <si>
    <t>TEYA</t>
  </si>
  <si>
    <t>goldman sachs,Handelsbanken</t>
  </si>
  <si>
    <t>Lloyds TSB,Lloyds/Bank of Scotland UK</t>
  </si>
  <si>
    <t>AIB,Monzo Bank,TSB</t>
  </si>
  <si>
    <t>na</t>
  </si>
  <si>
    <t>HSBC,Other</t>
  </si>
  <si>
    <t>OTHER,RBS</t>
  </si>
  <si>
    <t>venmo</t>
  </si>
  <si>
    <t>asda</t>
  </si>
  <si>
    <t>The Access Bank Uk</t>
  </si>
  <si>
    <t>Sabadell Bank,Scotia Bank</t>
  </si>
  <si>
    <t>AIB,banq</t>
  </si>
  <si>
    <t>AccBank,Alliance And Leicester,CORNER,NA</t>
  </si>
  <si>
    <t>otherss</t>
  </si>
  <si>
    <t>OT</t>
  </si>
  <si>
    <t>rbc</t>
  </si>
  <si>
    <t>Amex,National Bank Fujariah,Other</t>
  </si>
  <si>
    <t>AmericanExpress,Nat West</t>
  </si>
  <si>
    <t>National Bank Fujariah</t>
  </si>
  <si>
    <t>Cater Allen</t>
  </si>
  <si>
    <t>ChaseBank</t>
  </si>
  <si>
    <t>Commonwealth Bank,OTHER,Scotia Bank</t>
  </si>
  <si>
    <t>EastWestBank</t>
  </si>
  <si>
    <t>national commercial bank</t>
  </si>
  <si>
    <t>Bank Of Ireland,wise,Wise Business</t>
  </si>
  <si>
    <t>USBank</t>
  </si>
  <si>
    <t>Amex,BMO</t>
  </si>
  <si>
    <t>Barclays,Barclays UK</t>
  </si>
  <si>
    <t>FAB</t>
  </si>
  <si>
    <t>moneycorp</t>
  </si>
  <si>
    <t>Capitec</t>
  </si>
  <si>
    <t>CAPITEC,Coast Capital,Standard Bank</t>
  </si>
  <si>
    <t>None</t>
  </si>
  <si>
    <t>cynergy,HSBC</t>
  </si>
  <si>
    <t xml:space="preserve"> Revolut,AIB,Revolut Business</t>
  </si>
  <si>
    <t>Paypal</t>
  </si>
  <si>
    <t>Capital One,na</t>
  </si>
  <si>
    <t>card</t>
  </si>
  <si>
    <t>CIBC,Close Brothers</t>
  </si>
  <si>
    <t>Citi Visa</t>
  </si>
  <si>
    <t>GenericTemplateWithBalance_InReverseOrder</t>
  </si>
  <si>
    <t>Amex,nab</t>
  </si>
  <si>
    <t>ecomm</t>
  </si>
  <si>
    <t>Other,Standard Bank</t>
  </si>
  <si>
    <t>SUMUP</t>
  </si>
  <si>
    <t>mercado pago,repblic bank of limited</t>
  </si>
  <si>
    <t>national bank of canada,Royal Bank Of Canada,TD Canada Trust,TD-Bank</t>
  </si>
  <si>
    <t>allica bank,Bank Of Scotland,Barclays,Wise Business</t>
  </si>
  <si>
    <t>Capital ONTAP,Starling Bank</t>
  </si>
  <si>
    <t>other,Virgin Money</t>
  </si>
  <si>
    <t>debenhams</t>
  </si>
  <si>
    <t>Lloyds/Bank of Scotland UK</t>
  </si>
  <si>
    <t>BANQUE NATIONALE DU CANADA,NA,NATIONALBANK OF MCANADA,Other</t>
  </si>
  <si>
    <t>FLAGSTONE</t>
  </si>
  <si>
    <t>Co-operative_Bank,CoOp,HSBC</t>
  </si>
  <si>
    <t>ING,NA,Nat West,Other,Revolut Business</t>
  </si>
  <si>
    <t>Halifax,HSBC,Nat West</t>
  </si>
  <si>
    <t>china citic bank international,other</t>
  </si>
  <si>
    <t>Nat West,Nation Wide</t>
  </si>
  <si>
    <t>allica bank</t>
  </si>
  <si>
    <t>MONEYBOX,Nat West</t>
  </si>
  <si>
    <t>Clydesdale</t>
  </si>
  <si>
    <t xml:space="preserve">Republic bank </t>
  </si>
  <si>
    <t>Paypal,Revolut Business</t>
  </si>
  <si>
    <t>CoOp,Lloyds TSB</t>
  </si>
  <si>
    <t>SSSSS</t>
  </si>
  <si>
    <t>PNC BANK</t>
  </si>
  <si>
    <t>servus credit union</t>
  </si>
  <si>
    <t>RBS,Standard Bank</t>
  </si>
  <si>
    <t>DESJARDINS,NA</t>
  </si>
  <si>
    <t>TBK BANK,Think Money</t>
  </si>
  <si>
    <t xml:space="preserve"> Other select</t>
  </si>
  <si>
    <t xml:space="preserve"> Revolut,Amex,Danske,Lloyds TSB,N/A,na,OT,Other,Santander,uc ebanking,Wise Business</t>
  </si>
  <si>
    <t>Bank Of Ireland,Natwest_RG</t>
  </si>
  <si>
    <t xml:space="preserve"> Tide bank,TideBank</t>
  </si>
  <si>
    <t xml:space="preserve"> Revolut,Revolut Business</t>
  </si>
  <si>
    <t>boq</t>
  </si>
  <si>
    <t>ALICA BANK,allica bank,Natwest_RG</t>
  </si>
  <si>
    <t>western</t>
  </si>
  <si>
    <t>Amex,bmo,Nat West</t>
  </si>
  <si>
    <t>STANDRARD</t>
  </si>
  <si>
    <t>Barclays,Revolut Business</t>
  </si>
  <si>
    <t>HSBC,sascu</t>
  </si>
  <si>
    <t>First National Bank,Standard Bank</t>
  </si>
  <si>
    <t>Nat West,other</t>
  </si>
  <si>
    <t>capitec,Other</t>
  </si>
  <si>
    <t>EQUALS</t>
  </si>
  <si>
    <t>bnp</t>
  </si>
  <si>
    <t>Investec,RBS</t>
  </si>
  <si>
    <t>aspire,NA,OTHER,Wise Business</t>
  </si>
  <si>
    <t>AmericanExpress,tsab,Virgin Money</t>
  </si>
  <si>
    <t>Barclays,sumup</t>
  </si>
  <si>
    <t>city national bank</t>
  </si>
  <si>
    <t>BLUEHAVEN CAPITAL</t>
  </si>
  <si>
    <t>LLOYDS BANK</t>
  </si>
  <si>
    <t>Alliance And Leicester,BANISTMO</t>
  </si>
  <si>
    <t>Barclay,TSB</t>
  </si>
  <si>
    <t>ANZ,Weatherbys Private Bank</t>
  </si>
  <si>
    <t>ANZ,TSB</t>
  </si>
  <si>
    <t>AIB,Bank Of Ireland,MBNA,PULSE</t>
  </si>
  <si>
    <t>RegionsBank</t>
  </si>
  <si>
    <t>HSBC,RegionsBank,Starling Bank</t>
  </si>
  <si>
    <t xml:space="preserve">other               </t>
  </si>
  <si>
    <t>ecomm bx</t>
  </si>
  <si>
    <t>Mercury Bank,Wise Business</t>
  </si>
  <si>
    <t>Nat West,UlsterBank</t>
  </si>
  <si>
    <t>sainbury's bank</t>
  </si>
  <si>
    <t>monobank</t>
  </si>
  <si>
    <t>Barclay,Other</t>
  </si>
  <si>
    <t>sage</t>
  </si>
  <si>
    <t xml:space="preserve">Cumberland,NA,the Cumberland </t>
  </si>
  <si>
    <t>EBAY,eBay Commerce UK Ltd.</t>
  </si>
  <si>
    <t>NA,Think Money</t>
  </si>
  <si>
    <t>Lloyds TSB,Other</t>
  </si>
  <si>
    <t xml:space="preserve"> Revolut,Virgin Money</t>
  </si>
  <si>
    <t>Bank Of America,Chase</t>
  </si>
  <si>
    <t>sumup</t>
  </si>
  <si>
    <t>Alliance And Leicester,Standard Bank</t>
  </si>
  <si>
    <t>Bank Of Ireland,funding circle</t>
  </si>
  <si>
    <t>zempler</t>
  </si>
  <si>
    <t>moneybox</t>
  </si>
  <si>
    <t>TIDE</t>
  </si>
  <si>
    <t>other,Weatherbys Private Bank</t>
  </si>
  <si>
    <t>M&amp;TBank</t>
  </si>
  <si>
    <t>o</t>
  </si>
  <si>
    <t>Amex,BUTTERFIELD</t>
  </si>
  <si>
    <t>First National Bank,Lloyds TSB</t>
  </si>
  <si>
    <t>Bank Of Ireland,ECOMMBX</t>
  </si>
  <si>
    <t>Barclay,blanks,Revolut Business</t>
  </si>
  <si>
    <t>othersss</t>
  </si>
  <si>
    <t>Danske,Lloyds TSB</t>
  </si>
  <si>
    <t xml:space="preserve"> BARCLAY</t>
  </si>
  <si>
    <t>MELVILLEDOUGLAS</t>
  </si>
  <si>
    <t>FLAGSTAR</t>
  </si>
  <si>
    <t>SantanderBank</t>
  </si>
  <si>
    <t>DESJARDINS</t>
  </si>
  <si>
    <t>ALL ACCOUNT</t>
  </si>
  <si>
    <t>G</t>
  </si>
  <si>
    <t>capitol</t>
  </si>
  <si>
    <t>Chase,OTHER</t>
  </si>
  <si>
    <t>Bank,other</t>
  </si>
  <si>
    <t>CAPITAEC,First National Bank</t>
  </si>
  <si>
    <t>Capital ONTAP,soldo</t>
  </si>
  <si>
    <t>NA,Northern Bank</t>
  </si>
  <si>
    <t>Chase,Other,WellsFargo</t>
  </si>
  <si>
    <t xml:space="preserve"> Revolut,AIB,Bank Of Ireland,Paypal</t>
  </si>
  <si>
    <t>Virgin One</t>
  </si>
  <si>
    <t>ING</t>
  </si>
  <si>
    <t>National Bank</t>
  </si>
  <si>
    <t>sams club</t>
  </si>
  <si>
    <t>Valley National Bank</t>
  </si>
  <si>
    <t>Standard Bank of South Africa</t>
  </si>
  <si>
    <t>SMBC</t>
  </si>
  <si>
    <t>FultonBank</t>
  </si>
  <si>
    <t>TD Canada Trust</t>
  </si>
  <si>
    <t>Barclay,Revolut Business</t>
  </si>
  <si>
    <t>other,Scotia Bank</t>
  </si>
  <si>
    <t>desjardins,other</t>
  </si>
  <si>
    <t xml:space="preserve"> Tide bank,Capital ONTAP</t>
  </si>
  <si>
    <t>BEEM,other</t>
  </si>
  <si>
    <t>HSBC,Other,Scotia Bank</t>
  </si>
  <si>
    <t>NA,paysera</t>
  </si>
  <si>
    <t>Santander,SantanderBank</t>
  </si>
  <si>
    <t>Barclay,Halifax,Standard Bank</t>
  </si>
  <si>
    <t>First Trust</t>
  </si>
  <si>
    <t>tide</t>
  </si>
  <si>
    <t>Danske,NA</t>
  </si>
  <si>
    <t xml:space="preserve"> OTHER</t>
  </si>
  <si>
    <t>Barclay,First National Bank</t>
  </si>
  <si>
    <t>Amex,Bank Of America,Bank Of Scotland</t>
  </si>
  <si>
    <t>Barclay,Halifax</t>
  </si>
  <si>
    <t>CoOp,TSB</t>
  </si>
  <si>
    <t>Amex,Barclays</t>
  </si>
  <si>
    <t>Nat West,OTHER</t>
  </si>
  <si>
    <t>ABSA,First National Bank,FNB</t>
  </si>
  <si>
    <t>TRUIST</t>
  </si>
  <si>
    <t>C.hoare&amp;co</t>
  </si>
  <si>
    <t>Monzo Bank,Santander</t>
  </si>
  <si>
    <t>PNC-Bank,STOCK YARD</t>
  </si>
  <si>
    <t>bank of china,HSBC</t>
  </si>
  <si>
    <t>bank of hope</t>
  </si>
  <si>
    <t>Sabadell Bank,Santander</t>
  </si>
  <si>
    <t>INTESA SAANPAOLO</t>
  </si>
  <si>
    <t>PUBLIC BANK LIMITED</t>
  </si>
  <si>
    <t>PNC,PNC-Bank</t>
  </si>
  <si>
    <t>AI Salam bank,OTHER</t>
  </si>
  <si>
    <t>AccBank,Commonwealth Bank,Weatherbys Private Bank</t>
  </si>
  <si>
    <t>FIRST NATIONAL BANK</t>
  </si>
  <si>
    <t>Barclay,cynergy bank</t>
  </si>
  <si>
    <t>Navy Federal Credit Union</t>
  </si>
  <si>
    <t>RBS,Wise Business</t>
  </si>
  <si>
    <t>MBNA</t>
  </si>
  <si>
    <t>AIB,Revolut Business</t>
  </si>
  <si>
    <t>HYPERJAR</t>
  </si>
  <si>
    <t>Lloyds TSB,MBNA</t>
  </si>
  <si>
    <t>ebay</t>
  </si>
  <si>
    <t>Barclaycard,Barclays</t>
  </si>
  <si>
    <t>HSBC,HSBC_RG</t>
  </si>
  <si>
    <t>hsabc,HSBC</t>
  </si>
  <si>
    <t>BBX</t>
  </si>
  <si>
    <t>African Barclays,OTHER,Standard Bank</t>
  </si>
  <si>
    <t>AIB,Permanent TSB</t>
  </si>
  <si>
    <t>GVC credit union,Other,Royal Bank Of Canada</t>
  </si>
  <si>
    <t>AIB,Standard Bank</t>
  </si>
  <si>
    <t>Amex,OT</t>
  </si>
  <si>
    <t>BANK OF HOPE</t>
  </si>
  <si>
    <t>first citizens bank</t>
  </si>
  <si>
    <t>blank,Capital One,CAPITOL,visa</t>
  </si>
  <si>
    <t>Commonwealth Bank,my card</t>
  </si>
  <si>
    <t>MUFG</t>
  </si>
  <si>
    <t>all</t>
  </si>
  <si>
    <t>NA,Standard Bank</t>
  </si>
  <si>
    <t>Zempler Bank</t>
  </si>
  <si>
    <t>Capital One,WellsFargo</t>
  </si>
  <si>
    <t>AIB,Amex</t>
  </si>
  <si>
    <t>the cumberland</t>
  </si>
  <si>
    <t>BANQUE</t>
  </si>
  <si>
    <t>ChaseBank,quickbooks</t>
  </si>
  <si>
    <t xml:space="preserve"> Banque</t>
  </si>
  <si>
    <t>Amex,ANZ</t>
  </si>
  <si>
    <t>bell,other</t>
  </si>
  <si>
    <t>desjardins</t>
  </si>
  <si>
    <t>OTHER,Wise Business</t>
  </si>
  <si>
    <t>isle of man bank,MBNA,Nat West</t>
  </si>
  <si>
    <t>BEA</t>
  </si>
  <si>
    <t>Alliance And Leicester,Amex,ANZ</t>
  </si>
  <si>
    <t>tangerine</t>
  </si>
  <si>
    <t>Barclayse</t>
  </si>
  <si>
    <t>Libro Credit Union,OTHER</t>
  </si>
  <si>
    <t xml:space="preserve"> standard bank,Standard Bank</t>
  </si>
  <si>
    <t>ABSA,African Barclays</t>
  </si>
  <si>
    <t>Lloyds TSB,other,Virgin Money</t>
  </si>
  <si>
    <t>CoOp,HSBC,The Cooperative Bank</t>
  </si>
  <si>
    <t xml:space="preserve"> Revolut, Tide bank,Bank Of Scotland,Barclays,monzo,S,TideBank,TSB,Virgin Money,Wise Business</t>
  </si>
  <si>
    <t>ChaseBank,OTHER</t>
  </si>
  <si>
    <t>ICICI BANK,wise</t>
  </si>
  <si>
    <t>CAF,Other</t>
  </si>
  <si>
    <t>alpine bank,Chase,other</t>
  </si>
  <si>
    <t xml:space="preserve"> ,Amex</t>
  </si>
  <si>
    <t>Bank of Montreal,BMO</t>
  </si>
  <si>
    <t>Chase,WellsFargo</t>
  </si>
  <si>
    <t>CAPITAEC</t>
  </si>
  <si>
    <t>Avant</t>
  </si>
  <si>
    <t>ALLICA BANK</t>
  </si>
  <si>
    <t>CAPITEC,Standard Bank</t>
  </si>
  <si>
    <t>AIB,Chase,NA,OTHER</t>
  </si>
  <si>
    <t>BNP PARIBAS</t>
  </si>
  <si>
    <t>ABSA,Anna</t>
  </si>
  <si>
    <t>AIB,desjardins,HSBC</t>
  </si>
  <si>
    <t xml:space="preserve"> Revolut,cynergy bank,HSBC,Monzo Bank,Wise Business</t>
  </si>
  <si>
    <t>AIB,CAF</t>
  </si>
  <si>
    <t>SUMP,sumup</t>
  </si>
  <si>
    <t>Bank Of Scotland,Investec</t>
  </si>
  <si>
    <t>other,Standard Bank</t>
  </si>
  <si>
    <t>rbl</t>
  </si>
  <si>
    <t>mettle</t>
  </si>
  <si>
    <t>Coutts,Metro Bank</t>
  </si>
  <si>
    <t>African Barclayse</t>
  </si>
  <si>
    <t>sharjah islamic bank</t>
  </si>
  <si>
    <t>BNP PARIBAS,Other</t>
  </si>
  <si>
    <t>ATB</t>
  </si>
  <si>
    <t>AccBank,Bank Of Scotland</t>
  </si>
  <si>
    <t>Other,TD Canada Trust</t>
  </si>
  <si>
    <t>N/A,other</t>
  </si>
  <si>
    <t>IRELAND</t>
  </si>
  <si>
    <t>O</t>
  </si>
  <si>
    <t>Coast Capital</t>
  </si>
  <si>
    <t>BarclayPLC,Santander</t>
  </si>
  <si>
    <t>HSBC,soldo</t>
  </si>
  <si>
    <t>COLUMBIA,COLUMBIA BANK</t>
  </si>
  <si>
    <t>SG</t>
  </si>
  <si>
    <t>bnp paribas</t>
  </si>
  <si>
    <t>Banque populaire,Societe Generale</t>
  </si>
  <si>
    <t>ffff</t>
  </si>
  <si>
    <t>VELLEY FIRST</t>
  </si>
  <si>
    <t>Chase_MultiAccount</t>
  </si>
  <si>
    <t>cg accolade</t>
  </si>
  <si>
    <t xml:space="preserve"> Revolut,Santander</t>
  </si>
  <si>
    <t>BANQUE NATIONALE DU CANADA</t>
  </si>
  <si>
    <t>bank australia</t>
  </si>
  <si>
    <t>centennial</t>
  </si>
  <si>
    <t>CHAE</t>
  </si>
  <si>
    <t>caissie</t>
  </si>
  <si>
    <t>Danske,First National Bank,Standard Bank</t>
  </si>
  <si>
    <t>Connect Credit Union Ltd</t>
  </si>
  <si>
    <t xml:space="preserve"> Revolut,Wise Business</t>
  </si>
  <si>
    <t>Chase_MultiAccount,OTHER</t>
  </si>
  <si>
    <t>Caisse ,other</t>
  </si>
  <si>
    <t>Credit Mutuel</t>
  </si>
  <si>
    <t>SG,SOCIETE GENERALE</t>
  </si>
  <si>
    <t>Lloyds TSB,OTHER,Standard Bank</t>
  </si>
  <si>
    <t>SOCIETE GENERALE</t>
  </si>
  <si>
    <t>Bank Of Ireland,EQ,Nat West,RBS,Revolut Business</t>
  </si>
  <si>
    <t>NED Bank,Standard Bank</t>
  </si>
  <si>
    <t>FIRST CITIZENS</t>
  </si>
  <si>
    <t>The Cooperative Bank</t>
  </si>
  <si>
    <t>FIRST FOUNDATION BANK,Other</t>
  </si>
  <si>
    <t>Amex,Other</t>
  </si>
  <si>
    <t>AIB,NED Bank</t>
  </si>
  <si>
    <t>Amex,ROYAL,Royal Bank Of Canada</t>
  </si>
  <si>
    <t xml:space="preserve"> Revolut,ca</t>
  </si>
  <si>
    <t>Republic Bank Limited</t>
  </si>
  <si>
    <t>NA,Permanent TSB</t>
  </si>
  <si>
    <t>cowiesburn,OTHER</t>
  </si>
  <si>
    <t>ANZ,NA</t>
  </si>
  <si>
    <t>other,Royal Bank Of Canada</t>
  </si>
  <si>
    <t>revoult</t>
  </si>
  <si>
    <t>first horizon</t>
  </si>
  <si>
    <t>Mashreq Business Banking</t>
  </si>
  <si>
    <t>Dragon_Tesco</t>
  </si>
  <si>
    <t>CoOp,Wise Business</t>
  </si>
  <si>
    <t>First Direct</t>
  </si>
  <si>
    <t>CommerceBank</t>
  </si>
  <si>
    <t>Amegy Bank of Texas</t>
  </si>
  <si>
    <t>First Citizens Bank</t>
  </si>
  <si>
    <t>Star One Credit Union,WellsFargo</t>
  </si>
  <si>
    <t>vancity</t>
  </si>
  <si>
    <t xml:space="preserve">BANK OF CHINA </t>
  </si>
  <si>
    <t>Bank of china,BIA,other</t>
  </si>
  <si>
    <t>other,smartrec</t>
  </si>
  <si>
    <t>FNB</t>
  </si>
  <si>
    <t>Credit mutuel</t>
  </si>
  <si>
    <t>amegybank,frost</t>
  </si>
  <si>
    <t>Carrollton Bank</t>
  </si>
  <si>
    <t>keep,Other,RBS</t>
  </si>
  <si>
    <t>Bank Of Scotland,carrollton bank ,Other</t>
  </si>
  <si>
    <t>Bank Of Scotland,other</t>
  </si>
  <si>
    <t>TD</t>
  </si>
  <si>
    <t>Alliance And Leicester,Amex</t>
  </si>
  <si>
    <t>WellsFargo-Multiaccount</t>
  </si>
  <si>
    <t>First National Bank,fnb</t>
  </si>
  <si>
    <t>First National Bank,FNB</t>
  </si>
  <si>
    <t>Bank Of Scotland,Nat West</t>
  </si>
  <si>
    <t>Ballyconnell Credit Union Ltd</t>
  </si>
  <si>
    <t>islamic bank</t>
  </si>
  <si>
    <t>CommunityFirstCreditUnion</t>
  </si>
  <si>
    <t>NA,TideBank</t>
  </si>
  <si>
    <t>Sun Federal Credit union(Sun FCU)</t>
  </si>
  <si>
    <t>MASTERCARD</t>
  </si>
  <si>
    <t>OTHER,tri counties bank,Wise Business</t>
  </si>
  <si>
    <t>Bank Of Communications China,Commonwealth Bank</t>
  </si>
  <si>
    <t xml:space="preserve"> Revolut,Lloyds TSB</t>
  </si>
  <si>
    <t>ABSA,Barclays</t>
  </si>
  <si>
    <t>KBC</t>
  </si>
  <si>
    <t>AIB,Alliance And Leicester,Bank Of Ireland</t>
  </si>
  <si>
    <t>Bank of Montreal,OTHER,Wise Business</t>
  </si>
  <si>
    <t>MerrillLynchWealthManagement</t>
  </si>
  <si>
    <t>DBC,OTHER</t>
  </si>
  <si>
    <t>AIB,Citi Gold,Other</t>
  </si>
  <si>
    <t>Other,TSB</t>
  </si>
  <si>
    <t>DDDD,OTHER,SSSSS,stanbic IBTC bank,Standard Bank</t>
  </si>
  <si>
    <t>us bank</t>
  </si>
  <si>
    <t>ARMALYTIX</t>
  </si>
  <si>
    <t>HSBC,Santander</t>
  </si>
  <si>
    <t xml:space="preserve"> Revolut,OTHER</t>
  </si>
  <si>
    <t>Handelsbanken,PNC</t>
  </si>
  <si>
    <t>REPBLIC BANK</t>
  </si>
  <si>
    <t>CoOp,Starling Bank</t>
  </si>
  <si>
    <t>Amex,MULTIBANK</t>
  </si>
  <si>
    <t>NATIONAL BANK OF CANADA</t>
  </si>
  <si>
    <t>atlantic union bank</t>
  </si>
  <si>
    <t>BankAtlantic</t>
  </si>
  <si>
    <t>Atlantic Union Bank</t>
  </si>
  <si>
    <t>genisys</t>
  </si>
  <si>
    <t>OTHER,Paypal</t>
  </si>
  <si>
    <t>CANADIAN WESTERN BANK,First National Bank,NATIONAL BANK OF CANADA,Scotia Bank</t>
  </si>
  <si>
    <t>Alliance And Leicester,national bank of canada,Other</t>
  </si>
  <si>
    <t>national bank of canada</t>
  </si>
  <si>
    <t>THE HOME DEPOT</t>
  </si>
  <si>
    <t>RELAY</t>
  </si>
  <si>
    <t>relay</t>
  </si>
  <si>
    <t>Nat West,Revolut Business</t>
  </si>
  <si>
    <t>NA,RBC_VisaCard,Royal Bank Of Canada</t>
  </si>
  <si>
    <t>QONTO</t>
  </si>
  <si>
    <t>BankOfIreland_CurrentAccount</t>
  </si>
  <si>
    <t>Bank Of Scotland,Lloyds/Bank of Scotland UK</t>
  </si>
  <si>
    <t>banese</t>
  </si>
  <si>
    <t>AIB,Monzo Bank</t>
  </si>
  <si>
    <t>discover card</t>
  </si>
  <si>
    <t>Think Money,Virgin</t>
  </si>
  <si>
    <t>REVOULT</t>
  </si>
  <si>
    <t>capitol,NA,visa</t>
  </si>
  <si>
    <t>Alliance And Leicester,ANZ,other</t>
  </si>
  <si>
    <t>ANZ,Capital,Captial,dsf,Other,VISA</t>
  </si>
  <si>
    <t xml:space="preserve">capital  </t>
  </si>
  <si>
    <t>desert financial</t>
  </si>
  <si>
    <t>Chase,DESJARDINS,OT,other</t>
  </si>
  <si>
    <t>TDCanadaTrust v2</t>
  </si>
  <si>
    <t>CIBC,other</t>
  </si>
  <si>
    <t>Bank Of Ireland,Other</t>
  </si>
  <si>
    <t>ASB</t>
  </si>
  <si>
    <t>other,wise,Wise Business</t>
  </si>
  <si>
    <t>UniCredit</t>
  </si>
  <si>
    <t>Alliance And Leicester,Bank Of Scotland</t>
  </si>
  <si>
    <t>NATIONALBANK OF MCANADA,Other</t>
  </si>
  <si>
    <t>Alliance And Leicester,fnb</t>
  </si>
  <si>
    <t>ATB Financial,CIBC</t>
  </si>
  <si>
    <t>AEMX</t>
  </si>
  <si>
    <t>Amex,CapitalOneBank</t>
  </si>
  <si>
    <t>nab,Other</t>
  </si>
  <si>
    <t>Citi Gold</t>
  </si>
  <si>
    <t>DAHSING BANK,HSBC</t>
  </si>
  <si>
    <t>Barclays,Permanent TSB</t>
  </si>
  <si>
    <t>AIB,RBS</t>
  </si>
  <si>
    <t>Barclays,Santander</t>
  </si>
  <si>
    <t>nedbank</t>
  </si>
  <si>
    <t>HH</t>
  </si>
  <si>
    <t>CAPITAEC,capitec</t>
  </si>
  <si>
    <t>OT,other</t>
  </si>
  <si>
    <t>other,Paypal</t>
  </si>
  <si>
    <t>BANK OF ALBUQUERQUE</t>
  </si>
  <si>
    <t>CITI BANK,WellsFargo,WellsFargo-Multiaccount</t>
  </si>
  <si>
    <t>Other,PNC-Bank</t>
  </si>
  <si>
    <t>BANKER TRUST</t>
  </si>
  <si>
    <t>Nation Wide,Standard Bank</t>
  </si>
  <si>
    <t>Alliance And Leicester,blank,nab</t>
  </si>
  <si>
    <t>Starling Bank,Tesco</t>
  </si>
  <si>
    <t xml:space="preserve"> Tide bank,Amex,Capital One</t>
  </si>
  <si>
    <t>First National Bank,First Niagara</t>
  </si>
  <si>
    <t>AIB,Santander</t>
  </si>
  <si>
    <t>AIB,Bank Of Ireland,mettle</t>
  </si>
  <si>
    <t xml:space="preserve"> Revolut,BarclayPLC</t>
  </si>
  <si>
    <t>ATLANTIC UNION BANK</t>
  </si>
  <si>
    <t>southern bank</t>
  </si>
  <si>
    <t>First National Bank,Royal Bank Of Canada</t>
  </si>
  <si>
    <t>ANZ,FinalyticalLtd</t>
  </si>
  <si>
    <t>ANZ,other</t>
  </si>
  <si>
    <t>bankwest</t>
  </si>
  <si>
    <t>OTHER,Permanent TSB</t>
  </si>
  <si>
    <t>bbva</t>
  </si>
  <si>
    <t>Nat West,Virgin Money</t>
  </si>
  <si>
    <t>Gibraltar</t>
  </si>
  <si>
    <t>Arbuthnot Latham,Coutts</t>
  </si>
  <si>
    <t>happy</t>
  </si>
  <si>
    <t>BYLINE BANK</t>
  </si>
  <si>
    <t>CIBC,RBS</t>
  </si>
  <si>
    <t>Amex,OT,Scotia Bank</t>
  </si>
  <si>
    <t>Other,WellsFargo</t>
  </si>
  <si>
    <t>Bank of Montreal,Lloyds TSB</t>
  </si>
  <si>
    <t>Bank Of Scotland,Other</t>
  </si>
  <si>
    <t xml:space="preserve"> Revolut,HSBC</t>
  </si>
  <si>
    <t xml:space="preserve"> Tide bank,Wise Business</t>
  </si>
  <si>
    <t>AmericanExpress,M&amp;TBank</t>
  </si>
  <si>
    <t>CIBC,NA</t>
  </si>
  <si>
    <t>Amex,OTHER</t>
  </si>
  <si>
    <t>capitec,OT</t>
  </si>
  <si>
    <t>OTHER,sapphire reserve</t>
  </si>
  <si>
    <t>US BANK</t>
  </si>
  <si>
    <t>suncoast credit union</t>
  </si>
  <si>
    <t>NA,Other</t>
  </si>
  <si>
    <t>ANZ,Bank Of America</t>
  </si>
  <si>
    <t>FIDELITY BANK</t>
  </si>
  <si>
    <t>Bank Of America,Chase,FREEDOM,Other</t>
  </si>
  <si>
    <t>union trust bank</t>
  </si>
  <si>
    <t>NA,OTHER</t>
  </si>
  <si>
    <t>Commercial First</t>
  </si>
  <si>
    <t>Bidvest Bank,First National Bank</t>
  </si>
  <si>
    <t>aa,desjardins</t>
  </si>
  <si>
    <t>Danske,Nat West</t>
  </si>
  <si>
    <t>Halifax,Lloyds TSB</t>
  </si>
  <si>
    <t>Lloyds TSB,Standard Bank</t>
  </si>
  <si>
    <t>506495039,nab</t>
  </si>
  <si>
    <t>na,wise,Wise Business</t>
  </si>
  <si>
    <t>Point West Community Bank</t>
  </si>
  <si>
    <t xml:space="preserve"> Tide bank,mettle</t>
  </si>
  <si>
    <t>conexus</t>
  </si>
  <si>
    <t>AIB,Alliance And Leicester,Amex</t>
  </si>
  <si>
    <t>GEMBA</t>
  </si>
  <si>
    <t>Other,RegionsBank</t>
  </si>
  <si>
    <t>Chase,united bussiness bank</t>
  </si>
  <si>
    <t>Amex,Capital One</t>
  </si>
  <si>
    <t>DIB</t>
  </si>
  <si>
    <t>Barclay,ebay</t>
  </si>
  <si>
    <t>eurobank</t>
  </si>
  <si>
    <t>Bank Of Ireland,Santander</t>
  </si>
  <si>
    <t>Danske,HSBC</t>
  </si>
  <si>
    <t>AIB,MBNA,Virgin</t>
  </si>
  <si>
    <t xml:space="preserve">OTHER,Republic bank </t>
  </si>
  <si>
    <t>Allica Bank</t>
  </si>
  <si>
    <t>Amex,RBC</t>
  </si>
  <si>
    <t>RBSNatWestUlster_AmountsBottomAligned</t>
  </si>
  <si>
    <t>UNITED</t>
  </si>
  <si>
    <t>United Community Bank</t>
  </si>
  <si>
    <t>Alliance And Leicester,Chase,Citi Gold,Citi Visa,Other,SSSSS</t>
  </si>
  <si>
    <t>MorganStanley_Investment</t>
  </si>
  <si>
    <t>Alliance And Leicester,Wise Business</t>
  </si>
  <si>
    <t>ANB</t>
  </si>
  <si>
    <t>Amex,Metro Bank,Santander,TSB</t>
  </si>
  <si>
    <t>Metro Bank UK</t>
  </si>
  <si>
    <t>Standard Bank,standard Bank od south Africa</t>
  </si>
  <si>
    <t>VANCITY</t>
  </si>
  <si>
    <t>HSBC,NA</t>
  </si>
  <si>
    <t>Bank Of America,MERRILL,other</t>
  </si>
  <si>
    <t>Bank Of Ireland,Barclays Edo Star</t>
  </si>
  <si>
    <t>The Co-operative Bank</t>
  </si>
  <si>
    <t>Kiwi Bank,WISE,Wise Business</t>
  </si>
  <si>
    <t>BMCO</t>
  </si>
  <si>
    <t>Halifax,Wise Business</t>
  </si>
  <si>
    <t>FIRE,Paypal</t>
  </si>
  <si>
    <t>capitec,First National Bank</t>
  </si>
  <si>
    <t>Monzo Bank,Nation Wide</t>
  </si>
  <si>
    <t>HSBC,HSBC UK</t>
  </si>
  <si>
    <t>DNB</t>
  </si>
  <si>
    <t xml:space="preserve"> Revolut,Barclay,Barclays</t>
  </si>
  <si>
    <t>REPUBLIC BANK LIMTED</t>
  </si>
  <si>
    <t>republic bank limited</t>
  </si>
  <si>
    <t>Truist</t>
  </si>
  <si>
    <t>CapitalOneBank</t>
  </si>
  <si>
    <t xml:space="preserve"> Other select,MINISTER,OT</t>
  </si>
  <si>
    <t>CIBC,Royal Bank Of Canada</t>
  </si>
  <si>
    <t>Amex,OTHER,Other select</t>
  </si>
  <si>
    <t>INSIGNIS</t>
  </si>
  <si>
    <t>brompton asset management</t>
  </si>
  <si>
    <t>HSCB</t>
  </si>
  <si>
    <t>Other,REPUBLIC BANK LTD</t>
  </si>
  <si>
    <t>Abbey Santander,BOA,Citi Gold,Citizens Bank,NA,OTHER,others</t>
  </si>
  <si>
    <t>Alliance And Leicester,Amex,Chase,WellsFargo</t>
  </si>
  <si>
    <t>ABSA,Standard Bank</t>
  </si>
  <si>
    <t>Alliance And Leicester,Scotia Bank</t>
  </si>
  <si>
    <t>qonto</t>
  </si>
  <si>
    <t>blank,Other</t>
  </si>
  <si>
    <t xml:space="preserve"> Revolut,Bank Of Ireland</t>
  </si>
  <si>
    <t>Nat West,RBSNatWestUlster_AmountsBottomAligned</t>
  </si>
  <si>
    <t>repub;ic</t>
  </si>
  <si>
    <t>RBC</t>
  </si>
  <si>
    <t xml:space="preserve"> Tide bank,Lloyds TSB,Nation Wide,tide,TideBank</t>
  </si>
  <si>
    <t>carno capital,other</t>
  </si>
  <si>
    <t>Bank Of Ireland,isle of man bank</t>
  </si>
  <si>
    <t>ZEMPLER</t>
  </si>
  <si>
    <t>Triodos Bank</t>
  </si>
  <si>
    <t>AmericanExpress,Revolut Business</t>
  </si>
  <si>
    <t>AmericanExpress,Amex,Wise Business</t>
  </si>
  <si>
    <t>OTHER,SSSS</t>
  </si>
  <si>
    <t>Bank Of America,Citi Visa,CitiBankUS,OT</t>
  </si>
  <si>
    <t>Frost</t>
  </si>
  <si>
    <t>coles</t>
  </si>
  <si>
    <t>ord minnett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</si>
</sst>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0"/>
      <name val="Arial"/>
    </font>
    <font>
      <b/>
      <sz val="10"/>
      <color rgb="FFFFFFFF" tint="0"/>
      <name val="Arial"/>
    </font>
    <font>
      <u/>
      <sz val="10"/>
      <color rgb="FF0576CA" tint="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0" applyNumberFormat="1" fontId="1" applyFont="1" xfId="0" applyProtection="1"/>
    <xf numFmtId="0" applyNumberFormat="1" fontId="2" applyFont="1" fillId="2" applyFill="1" xfId="0" applyProtection="1"/>
    <xf numFmtId="49" applyNumberFormat="1" fontId="1" applyFont="1" xfId="0" applyProtection="1"/>
    <xf numFmtId="3" applyNumberFormat="1" fontId="1" applyFont="1" xfId="0" applyProtection="1"/>
    <xf numFmtId="49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-web.statementrec.com/app#appuploadfiles/39da5e1d-4234-cb72-e1dd-7f61867b66ce" TargetMode="External"/><Relationship Id="rId2" Type="http://schemas.openxmlformats.org/officeDocument/2006/relationships/hyperlink" Target="https://app-web.statementrec.com/app#appuploadfiles/39dad0fe-e13d-03d8-e1a0-342ca68f6a22" TargetMode="External"/><Relationship Id="rId3" Type="http://schemas.openxmlformats.org/officeDocument/2006/relationships/hyperlink" Target="https://app-web.statementrec.com/app#appuploadfiles/39daf8ef-3817-9365-4072-5642fe0e5541" TargetMode="External"/><Relationship Id="rId4" Type="http://schemas.openxmlformats.org/officeDocument/2006/relationships/hyperlink" Target="https://app-web.statementrec.com/app#appuploadfiles/39db3126-8c85-b220-3272-121d4de7d183" TargetMode="External"/><Relationship Id="rId5" Type="http://schemas.openxmlformats.org/officeDocument/2006/relationships/hyperlink" Target="https://app-web.statementrec.com/app#appuploadfiles/39db7a21-0d44-b733-75a0-30863c6f78f6" TargetMode="External"/><Relationship Id="rId6" Type="http://schemas.openxmlformats.org/officeDocument/2006/relationships/hyperlink" Target="https://app-web.statementrec.com/app#appuploadfiles/39dba81d-86d0-73b5-8218-ed28cd37953f" TargetMode="External"/><Relationship Id="rId7" Type="http://schemas.openxmlformats.org/officeDocument/2006/relationships/hyperlink" Target="https://app-web.statementrec.com/app#appuploadfiles/39dba922-9657-e716-ea61-bba52ca8219e" TargetMode="External"/><Relationship Id="rId8" Type="http://schemas.openxmlformats.org/officeDocument/2006/relationships/hyperlink" Target="https://app-web.statementrec.com/app#appuploadfiles/39dbebc9-3d52-38af-5e91-1c82ca3aff9c" TargetMode="External"/><Relationship Id="rId9" Type="http://schemas.openxmlformats.org/officeDocument/2006/relationships/hyperlink" Target="https://app-web.statementrec.com/app#appuploadfiles/39dbf6a7-5828-6637-c272-1c9e8d8d4814" TargetMode="External"/><Relationship Id="rId10" Type="http://schemas.openxmlformats.org/officeDocument/2006/relationships/hyperlink" Target="https://app-web.statementrec.com/app#appuploadfiles/39dc106a-29fb-0880-1d02-a28b344eebe4" TargetMode="External"/><Relationship Id="rId11" Type="http://schemas.openxmlformats.org/officeDocument/2006/relationships/hyperlink" Target="https://app-web.statementrec.com/app#appuploadfiles/39dcedd6-3cf7-82ea-b087-6400d206c3df" TargetMode="External"/><Relationship Id="rId12" Type="http://schemas.openxmlformats.org/officeDocument/2006/relationships/hyperlink" Target="https://app-web.statementrec.com/app#appuploadfiles/39dd1747-ba36-ee7b-d138-45ee924d1390" TargetMode="External"/><Relationship Id="rId13" Type="http://schemas.openxmlformats.org/officeDocument/2006/relationships/hyperlink" Target="https://app-web.statementrec.com/app#appuploadfiles/39dd305e-ba11-7333-6d05-b9bc097cf814" TargetMode="External"/><Relationship Id="rId14" Type="http://schemas.openxmlformats.org/officeDocument/2006/relationships/hyperlink" Target="https://app-web.statementrec.com/app#appuploadfiles/39dd4a38-c56f-882a-4aac-892c33124d66" TargetMode="External"/><Relationship Id="rId15" Type="http://schemas.openxmlformats.org/officeDocument/2006/relationships/hyperlink" Target="https://app-web.statementrec.com/app#appuploadfiles/39dd9653-d4c1-5cfe-61ec-5b522415e927" TargetMode="External"/><Relationship Id="rId16" Type="http://schemas.openxmlformats.org/officeDocument/2006/relationships/hyperlink" Target="https://app-web.statementrec.com/app#appuploadfiles/39ddde49-2280-372d-1e60-76dad5df4978" TargetMode="External"/><Relationship Id="rId17" Type="http://schemas.openxmlformats.org/officeDocument/2006/relationships/hyperlink" Target="https://app-web.statementrec.com/app#appuploadfiles/39dddff3-4a12-1f30-10ad-e98307c74742" TargetMode="External"/><Relationship Id="rId18" Type="http://schemas.openxmlformats.org/officeDocument/2006/relationships/hyperlink" Target="https://app-web.statementrec.com/app#appuploadfiles/39de07ce-f012-a0af-5300-cf2d329a036e" TargetMode="External"/><Relationship Id="rId19" Type="http://schemas.openxmlformats.org/officeDocument/2006/relationships/hyperlink" Target="https://app-web.statementrec.com/app#appuploadfiles/39de50d1-b9ec-8a5f-67c1-9da4e2e37262" TargetMode="External"/><Relationship Id="rId20" Type="http://schemas.openxmlformats.org/officeDocument/2006/relationships/hyperlink" Target="https://app-web.statementrec.com/app#appuploadfiles/39de8390-d714-f7bb-3dc4-715a75bb587f" TargetMode="External"/><Relationship Id="rId21" Type="http://schemas.openxmlformats.org/officeDocument/2006/relationships/hyperlink" Target="https://app-web.statementrec.com/app#appuploadfiles/39deb18e-32e0-0f16-13fb-797b64f3a595" TargetMode="External"/><Relationship Id="rId22" Type="http://schemas.openxmlformats.org/officeDocument/2006/relationships/hyperlink" Target="https://app-web.statementrec.com/app#appuploadfiles/39deb6a6-9b43-6cb0-9651-0312608331cf" TargetMode="External"/><Relationship Id="rId23" Type="http://schemas.openxmlformats.org/officeDocument/2006/relationships/hyperlink" Target="https://app-web.statementrec.com/app#appuploadfiles/39df090a-9422-1e92-32c0-831ccf59ee00" TargetMode="External"/><Relationship Id="rId24" Type="http://schemas.openxmlformats.org/officeDocument/2006/relationships/hyperlink" Target="https://app-web.statementrec.com/app#appuploadfiles/39df4152-bd7b-6df0-bf2f-8d6a9b4637b6" TargetMode="External"/><Relationship Id="rId25" Type="http://schemas.openxmlformats.org/officeDocument/2006/relationships/hyperlink" Target="https://app-web.statementrec.com/app#appuploadfiles/39df7605-a010-1a78-6514-e2acfd6e7a4c" TargetMode="External"/><Relationship Id="rId26" Type="http://schemas.openxmlformats.org/officeDocument/2006/relationships/hyperlink" Target="https://app-web.statementrec.com/app#appuploadfiles/39df7a84-d4af-dd28-6ddb-39c93a9544eb" TargetMode="External"/><Relationship Id="rId27" Type="http://schemas.openxmlformats.org/officeDocument/2006/relationships/hyperlink" Target="https://app-web.statementrec.com/app#appuploadfiles/39dfd7bb-8b80-8bcd-26ce-2e33f72fe05d" TargetMode="External"/><Relationship Id="rId28" Type="http://schemas.openxmlformats.org/officeDocument/2006/relationships/hyperlink" Target="https://app-web.statementrec.com/app#appuploadfiles/39e01acc-225a-7577-4185-412ee687b937" TargetMode="External"/><Relationship Id="rId29" Type="http://schemas.openxmlformats.org/officeDocument/2006/relationships/hyperlink" Target="https://app-web.statementrec.com/app#appuploadfiles/39e03eeb-a7eb-6ccf-c45b-3da909cf1f9a" TargetMode="External"/><Relationship Id="rId30" Type="http://schemas.openxmlformats.org/officeDocument/2006/relationships/hyperlink" Target="https://app-web.statementrec.com/app#appuploadfiles/39e048fb-f3ae-fc6a-5e8b-d33a2a1fae6c" TargetMode="External"/><Relationship Id="rId31" Type="http://schemas.openxmlformats.org/officeDocument/2006/relationships/hyperlink" Target="https://app-web.statementrec.com/app#appuploadfiles/39e062f8-bf98-6674-eeec-efc7fa5fb048" TargetMode="External"/><Relationship Id="rId32" Type="http://schemas.openxmlformats.org/officeDocument/2006/relationships/hyperlink" Target="https://app-web.statementrec.com/app#appuploadfiles/39e077e4-bfd3-7611-d290-2b4e806048a3" TargetMode="External"/><Relationship Id="rId33" Type="http://schemas.openxmlformats.org/officeDocument/2006/relationships/hyperlink" Target="https://app-web.statementrec.com/app#appuploadfiles/39e0f3a6-d2cb-4df7-2c86-73ec6a217b28" TargetMode="External"/><Relationship Id="rId34" Type="http://schemas.openxmlformats.org/officeDocument/2006/relationships/hyperlink" Target="https://app-web.statementrec.com/app#appuploadfiles/39e13f63-c849-f5c1-d505-bfd2477ed88d" TargetMode="External"/><Relationship Id="rId35" Type="http://schemas.openxmlformats.org/officeDocument/2006/relationships/hyperlink" Target="https://app-web.statementrec.com/app#appuploadfiles/39e1691e-0058-1fb9-d5e0-a9c5b2d5af50" TargetMode="External"/><Relationship Id="rId36" Type="http://schemas.openxmlformats.org/officeDocument/2006/relationships/hyperlink" Target="https://app-web.statementrec.com/app#appuploadfiles/39e16f6c-6ddd-a796-f9e8-d7f241ce226c" TargetMode="External"/><Relationship Id="rId37" Type="http://schemas.openxmlformats.org/officeDocument/2006/relationships/hyperlink" Target="https://app-web.statementrec.com/app#appuploadfiles/39e1b1dc-d4c6-31ed-709f-5ce9f015851e" TargetMode="External"/><Relationship Id="rId38" Type="http://schemas.openxmlformats.org/officeDocument/2006/relationships/hyperlink" Target="https://app-web.statementrec.com/app#appuploadfiles/39e1b5af-3868-6cf9-3c98-c5b87a93a335" TargetMode="External"/><Relationship Id="rId39" Type="http://schemas.openxmlformats.org/officeDocument/2006/relationships/hyperlink" Target="https://app-web.statementrec.com/app#appuploadfiles/39e1db06-d359-6915-3786-4d9fca446cf9" TargetMode="External"/><Relationship Id="rId40" Type="http://schemas.openxmlformats.org/officeDocument/2006/relationships/hyperlink" Target="https://app-web.statementrec.com/app#appuploadfiles/39e2188c-bf38-a425-e45b-7096d4107365" TargetMode="External"/><Relationship Id="rId41" Type="http://schemas.openxmlformats.org/officeDocument/2006/relationships/hyperlink" Target="https://app-web.statementrec.com/app#appuploadfiles/39e222f9-bef2-43be-2835-d2af31a2b2fc" TargetMode="External"/><Relationship Id="rId42" Type="http://schemas.openxmlformats.org/officeDocument/2006/relationships/hyperlink" Target="https://app-web.statementrec.com/app#appuploadfiles/39e24258-3c27-c042-fcdb-77d024c471b3" TargetMode="External"/><Relationship Id="rId43" Type="http://schemas.openxmlformats.org/officeDocument/2006/relationships/hyperlink" Target="https://app-web.statementrec.com/app#appuploadfiles/39e2adf7-7a95-cfff-5140-ae110f828cbf" TargetMode="External"/><Relationship Id="rId44" Type="http://schemas.openxmlformats.org/officeDocument/2006/relationships/hyperlink" Target="https://app-web.statementrec.com/app#appuploadfiles/39e2c7d3-7c12-841f-535d-df267c0c9667" TargetMode="External"/><Relationship Id="rId45" Type="http://schemas.openxmlformats.org/officeDocument/2006/relationships/hyperlink" Target="https://app-web.statementrec.com/app#appuploadfiles/39e2dbf3-965c-8435-70f3-d1082a65b5c4" TargetMode="External"/><Relationship Id="rId46" Type="http://schemas.openxmlformats.org/officeDocument/2006/relationships/hyperlink" Target="https://app-web.statementrec.com/app#appuploadfiles/39e2eb76-58e4-fc92-19a2-680d235fef3a" TargetMode="External"/><Relationship Id="rId47" Type="http://schemas.openxmlformats.org/officeDocument/2006/relationships/hyperlink" Target="https://app-web.statementrec.com/app#appuploadfiles/39e2f1b9-d06b-1d3a-3176-386c1ed979c0" TargetMode="External"/><Relationship Id="rId48" Type="http://schemas.openxmlformats.org/officeDocument/2006/relationships/hyperlink" Target="https://app-web.statementrec.com/app#appuploadfiles/39e2fc10-73cd-23ee-cddd-71b502701876" TargetMode="External"/><Relationship Id="rId49" Type="http://schemas.openxmlformats.org/officeDocument/2006/relationships/hyperlink" Target="https://app-web.statementrec.com/app#appuploadfiles/39e30efd-48cb-cfd1-f623-c8bc47bdfd57" TargetMode="External"/><Relationship Id="rId50" Type="http://schemas.openxmlformats.org/officeDocument/2006/relationships/hyperlink" Target="https://app-web.statementrec.com/app#appuploadfiles/39e30f85-f455-6043-53ae-bb107fd70b2d" TargetMode="External"/><Relationship Id="rId51" Type="http://schemas.openxmlformats.org/officeDocument/2006/relationships/hyperlink" Target="https://app-web.statementrec.com/app#appuploadfiles/39e3140f-dcdd-f358-ab71-4314a8f3662b" TargetMode="External"/><Relationship Id="rId52" Type="http://schemas.openxmlformats.org/officeDocument/2006/relationships/hyperlink" Target="https://app-web.statementrec.com/app#appuploadfiles/39e328fb-304e-e2d5-1526-427e44d1501e" TargetMode="External"/><Relationship Id="rId53" Type="http://schemas.openxmlformats.org/officeDocument/2006/relationships/hyperlink" Target="https://app-web.statementrec.com/app#appuploadfiles/39e33dc4-7edc-b6b7-d135-b1bb264bd3ce" TargetMode="External"/><Relationship Id="rId54" Type="http://schemas.openxmlformats.org/officeDocument/2006/relationships/hyperlink" Target="https://app-web.statementrec.com/app#appuploadfiles/39e38b33-036b-6326-e041-9880688fd13f" TargetMode="External"/><Relationship Id="rId55" Type="http://schemas.openxmlformats.org/officeDocument/2006/relationships/hyperlink" Target="https://app-web.statementrec.com/app#appuploadfiles/39e42592-eca2-ad17-1f43-65f2ba46e226" TargetMode="External"/><Relationship Id="rId56" Type="http://schemas.openxmlformats.org/officeDocument/2006/relationships/hyperlink" Target="https://app-web.statementrec.com/app#appuploadfiles/39e42f8b-88fd-7676-f9bc-60e782e23e50" TargetMode="External"/><Relationship Id="rId57" Type="http://schemas.openxmlformats.org/officeDocument/2006/relationships/hyperlink" Target="https://app-web.statementrec.com/app#appuploadfiles/39e43b57-5d30-c7ab-0d3d-81d7207596e1" TargetMode="External"/><Relationship Id="rId58" Type="http://schemas.openxmlformats.org/officeDocument/2006/relationships/hyperlink" Target="https://app-web.statementrec.com/app#appuploadfiles/39e44066-64ae-2981-93af-e53d8e376181" TargetMode="External"/><Relationship Id="rId59" Type="http://schemas.openxmlformats.org/officeDocument/2006/relationships/hyperlink" Target="https://app-web.statementrec.com/app#appuploadfiles/39e45c3d-1c21-3d53-fffd-54a08a39f216" TargetMode="External"/><Relationship Id="rId60" Type="http://schemas.openxmlformats.org/officeDocument/2006/relationships/hyperlink" Target="https://app-web.statementrec.com/app#appuploadfiles/39e45f3b-3ae1-8390-045c-71d3b4bd84e5" TargetMode="External"/><Relationship Id="rId61" Type="http://schemas.openxmlformats.org/officeDocument/2006/relationships/hyperlink" Target="https://app-web.statementrec.com/app#appuploadfiles/39e464d8-1dd0-d8c1-9feb-3f627e93a4ca" TargetMode="External"/><Relationship Id="rId62" Type="http://schemas.openxmlformats.org/officeDocument/2006/relationships/hyperlink" Target="https://app-web.statementrec.com/app#appuploadfiles/39e46b56-25bb-f5be-b5a4-e92c96e1ea5e" TargetMode="External"/><Relationship Id="rId63" Type="http://schemas.openxmlformats.org/officeDocument/2006/relationships/hyperlink" Target="https://app-web.statementrec.com/app#appuploadfiles/39e482fa-a55b-b435-8ddc-b5edb662feb0" TargetMode="External"/><Relationship Id="rId64" Type="http://schemas.openxmlformats.org/officeDocument/2006/relationships/hyperlink" Target="https://app-web.statementrec.com/app#appuploadfiles/39e4a0dc-75e0-71e0-60c8-3362934d45b8" TargetMode="External"/><Relationship Id="rId65" Type="http://schemas.openxmlformats.org/officeDocument/2006/relationships/hyperlink" Target="https://app-web.statementrec.com/app#appuploadfiles/39e4c17e-14d5-138b-22b2-b3442d71be56" TargetMode="External"/><Relationship Id="rId66" Type="http://schemas.openxmlformats.org/officeDocument/2006/relationships/hyperlink" Target="https://app-web.statementrec.com/app#appuploadfiles/39e4e951-b1e2-4003-90d4-57ba27055ecd" TargetMode="External"/><Relationship Id="rId67" Type="http://schemas.openxmlformats.org/officeDocument/2006/relationships/hyperlink" Target="https://app-web.statementrec.com/app#appuploadfiles/39e4f33f-8dc7-eef3-e7a7-d1fd10d0744e" TargetMode="External"/><Relationship Id="rId68" Type="http://schemas.openxmlformats.org/officeDocument/2006/relationships/hyperlink" Target="https://app-web.statementrec.com/app#appuploadfiles/39e4f43d-16e6-e245-3df4-fa5c543a4e6b" TargetMode="External"/><Relationship Id="rId69" Type="http://schemas.openxmlformats.org/officeDocument/2006/relationships/hyperlink" Target="https://app-web.statementrec.com/app#appuploadfiles/39e53839-5246-62bb-c117-a8d1f890c578" TargetMode="External"/><Relationship Id="rId70" Type="http://schemas.openxmlformats.org/officeDocument/2006/relationships/hyperlink" Target="https://app-web.statementrec.com/app#appuploadfiles/39e53b6d-a9be-a202-4ef3-08f6c34a3ff1" TargetMode="External"/><Relationship Id="rId71" Type="http://schemas.openxmlformats.org/officeDocument/2006/relationships/hyperlink" Target="https://app-web.statementrec.com/app#appuploadfiles/39e55170-7c25-8c90-84f4-332dcb4ca860" TargetMode="External"/><Relationship Id="rId72" Type="http://schemas.openxmlformats.org/officeDocument/2006/relationships/hyperlink" Target="https://app-web.statementrec.com/app#appuploadfiles/39e57a5a-7cce-60cf-2b18-89b34da127fd" TargetMode="External"/><Relationship Id="rId73" Type="http://schemas.openxmlformats.org/officeDocument/2006/relationships/hyperlink" Target="https://app-web.statementrec.com/app#appuploadfiles/39e584b6-d548-ce91-7aa1-43ce2b2bc93f" TargetMode="External"/><Relationship Id="rId74" Type="http://schemas.openxmlformats.org/officeDocument/2006/relationships/hyperlink" Target="https://app-web.statementrec.com/app#appuploadfiles/39e5e029-ae74-54fa-8dd4-e81279100d3d" TargetMode="External"/><Relationship Id="rId75" Type="http://schemas.openxmlformats.org/officeDocument/2006/relationships/hyperlink" Target="https://app-web.statementrec.com/app#appuploadfiles/39e5e05d-d40a-eed9-6722-15e6edd99fc8" TargetMode="External"/><Relationship Id="rId76" Type="http://schemas.openxmlformats.org/officeDocument/2006/relationships/hyperlink" Target="https://app-web.statementrec.com/app#appuploadfiles/39e5f5a2-ce49-e37f-ca00-b416cce1ad8d" TargetMode="External"/><Relationship Id="rId77" Type="http://schemas.openxmlformats.org/officeDocument/2006/relationships/hyperlink" Target="https://app-web.statementrec.com/app#appuploadfiles/39e60e23-b44f-265d-86e4-11c5e7f9b5c8" TargetMode="External"/><Relationship Id="rId78" Type="http://schemas.openxmlformats.org/officeDocument/2006/relationships/hyperlink" Target="https://app-web.statementrec.com/app#appuploadfiles/39e61461-d43f-454b-7e44-bc3088bfda81" TargetMode="External"/><Relationship Id="rId79" Type="http://schemas.openxmlformats.org/officeDocument/2006/relationships/hyperlink" Target="https://app-web.statementrec.com/app#appuploadfiles/39e63ce7-2035-ea90-5c23-dbf84f1080a5" TargetMode="External"/><Relationship Id="rId80" Type="http://schemas.openxmlformats.org/officeDocument/2006/relationships/hyperlink" Target="https://app-web.statementrec.com/app#appuploadfiles/39e67b37-91e4-5014-6ec3-98272a1d0923" TargetMode="External"/><Relationship Id="rId81" Type="http://schemas.openxmlformats.org/officeDocument/2006/relationships/hyperlink" Target="https://app-web.statementrec.com/app#appuploadfiles/39e6a4e7-d49f-aa1a-1dae-13ce4ef781bb" TargetMode="External"/><Relationship Id="rId82" Type="http://schemas.openxmlformats.org/officeDocument/2006/relationships/hyperlink" Target="https://app-web.statementrec.com/app#appuploadfiles/39e6ebba-877e-a1f1-9338-70355a500b41" TargetMode="External"/><Relationship Id="rId83" Type="http://schemas.openxmlformats.org/officeDocument/2006/relationships/hyperlink" Target="https://app-web.statementrec.com/app#appuploadfiles/39e7292a-8445-fe28-1848-8f846512a7c0" TargetMode="External"/><Relationship Id="rId84" Type="http://schemas.openxmlformats.org/officeDocument/2006/relationships/hyperlink" Target="https://app-web.statementrec.com/app#appuploadfiles/39e72f8b-4027-b1fc-b811-9abb525cd96f" TargetMode="External"/><Relationship Id="rId85" Type="http://schemas.openxmlformats.org/officeDocument/2006/relationships/hyperlink" Target="https://app-web.statementrec.com/app#appuploadfiles/39e77268-6d8f-eef9-0bc9-41cdda8478e7" TargetMode="External"/><Relationship Id="rId86" Type="http://schemas.openxmlformats.org/officeDocument/2006/relationships/hyperlink" Target="https://app-web.statementrec.com/app#appuploadfiles/39e7b44b-086c-41b7-0ddd-c8560700154c" TargetMode="External"/><Relationship Id="rId87" Type="http://schemas.openxmlformats.org/officeDocument/2006/relationships/hyperlink" Target="https://app-web.statementrec.com/app#appuploadfiles/39e7b589-0950-7d70-d8b7-229987701c69" TargetMode="External"/><Relationship Id="rId88" Type="http://schemas.openxmlformats.org/officeDocument/2006/relationships/hyperlink" Target="https://app-web.statementrec.com/app#appuploadfiles/39e7c552-b186-9698-499f-1d2a678c66b5" TargetMode="External"/><Relationship Id="rId89" Type="http://schemas.openxmlformats.org/officeDocument/2006/relationships/hyperlink" Target="https://app-web.statementrec.com/app#appuploadfiles/39e7c9ff-47ec-88b0-01a9-c8046740c26f" TargetMode="External"/><Relationship Id="rId90" Type="http://schemas.openxmlformats.org/officeDocument/2006/relationships/hyperlink" Target="https://app-web.statementrec.com/app#appuploadfiles/39e7ddd0-0d66-8b1f-0e4a-1de9b381ee0d" TargetMode="External"/><Relationship Id="rId91" Type="http://schemas.openxmlformats.org/officeDocument/2006/relationships/hyperlink" Target="https://app-web.statementrec.com/app#appuploadfiles/39e801ed-1e53-1d38-b520-2c74399404e0" TargetMode="External"/><Relationship Id="rId92" Type="http://schemas.openxmlformats.org/officeDocument/2006/relationships/hyperlink" Target="https://app-web.statementrec.com/app#appuploadfiles/39e8028b-a2af-c28f-417d-a0d5929c8de8" TargetMode="External"/><Relationship Id="rId93" Type="http://schemas.openxmlformats.org/officeDocument/2006/relationships/hyperlink" Target="https://app-web.statementrec.com/app#appuploadfiles/39e825f7-0d6f-5443-e053-5397b1f52bc0" TargetMode="External"/><Relationship Id="rId94" Type="http://schemas.openxmlformats.org/officeDocument/2006/relationships/hyperlink" Target="https://app-web.statementrec.com/app#appuploadfiles/39e82625-feb0-5761-f7e2-62f27c4c11fb" TargetMode="External"/><Relationship Id="rId95" Type="http://schemas.openxmlformats.org/officeDocument/2006/relationships/hyperlink" Target="https://app-web.statementrec.com/app#appuploadfiles/39e84a26-604e-81dc-fdda-67f12182eb06" TargetMode="External"/><Relationship Id="rId96" Type="http://schemas.openxmlformats.org/officeDocument/2006/relationships/hyperlink" Target="https://app-web.statementrec.com/app#appuploadfiles/39e85447-e9db-e91c-f0c9-3aa84a617168" TargetMode="External"/><Relationship Id="rId97" Type="http://schemas.openxmlformats.org/officeDocument/2006/relationships/hyperlink" Target="https://app-web.statementrec.com/app#appuploadfiles/39e86e34-e59f-37a3-e08b-b5c33cdd2f87" TargetMode="External"/><Relationship Id="rId98" Type="http://schemas.openxmlformats.org/officeDocument/2006/relationships/hyperlink" Target="https://app-web.statementrec.com/app#appuploadfiles/39e87071-11d4-1f31-1a7b-b0f41d04cfe9" TargetMode="External"/><Relationship Id="rId99" Type="http://schemas.openxmlformats.org/officeDocument/2006/relationships/hyperlink" Target="https://app-web.statementrec.com/app#appuploadfiles/39e89ce7-9f85-f505-73eb-46483e8978ef" TargetMode="External"/><Relationship Id="rId100" Type="http://schemas.openxmlformats.org/officeDocument/2006/relationships/hyperlink" Target="https://app-web.statementrec.com/app#appuploadfiles/39e8a254-c43d-bc63-c967-70a398c865db" TargetMode="External"/><Relationship Id="rId101" Type="http://schemas.openxmlformats.org/officeDocument/2006/relationships/hyperlink" Target="https://app-web.statementrec.com/app#appuploadfiles/39e8b2ec-6bb7-e1a0-e72c-7079d7d8caf3" TargetMode="External"/><Relationship Id="rId102" Type="http://schemas.openxmlformats.org/officeDocument/2006/relationships/hyperlink" Target="https://app-web.statementrec.com/app#appuploadfiles/39e8d58f-b85c-e873-560d-281e52b9cd94" TargetMode="External"/><Relationship Id="rId103" Type="http://schemas.openxmlformats.org/officeDocument/2006/relationships/hyperlink" Target="https://app-web.statementrec.com/app#appuploadfiles/39e8dff5-c6ef-350e-43f4-fd21d56884f6" TargetMode="External"/><Relationship Id="rId104" Type="http://schemas.openxmlformats.org/officeDocument/2006/relationships/hyperlink" Target="https://app-web.statementrec.com/app#appuploadfiles/39e9035c-8ad9-fbe0-9db4-ee5cbc2d6605" TargetMode="External"/><Relationship Id="rId105" Type="http://schemas.openxmlformats.org/officeDocument/2006/relationships/hyperlink" Target="https://app-web.statementrec.com/app#appuploadfiles/39e9089e-eb62-eed2-4d3d-2b5a4a103671" TargetMode="External"/><Relationship Id="rId106" Type="http://schemas.openxmlformats.org/officeDocument/2006/relationships/hyperlink" Target="https://app-web.statementrec.com/app#appuploadfiles/39e92c6c-1c27-fe5c-9e3b-664e6c85cfae" TargetMode="External"/><Relationship Id="rId107" Type="http://schemas.openxmlformats.org/officeDocument/2006/relationships/hyperlink" Target="https://app-web.statementrec.com/app#appuploadfiles/39e93e3f-8296-c1ac-ef05-fa4fb8dabc9c" TargetMode="External"/><Relationship Id="rId108" Type="http://schemas.openxmlformats.org/officeDocument/2006/relationships/hyperlink" Target="https://app-web.statementrec.com/app#appuploadfiles/39e940f2-d977-7a15-9e4e-ef8496ef9261" TargetMode="External"/><Relationship Id="rId109" Type="http://schemas.openxmlformats.org/officeDocument/2006/relationships/hyperlink" Target="https://app-web.statementrec.com/app#appuploadfiles/39e98efd-be82-c05c-2b89-5e6cc93c8420" TargetMode="External"/><Relationship Id="rId110" Type="http://schemas.openxmlformats.org/officeDocument/2006/relationships/hyperlink" Target="https://app-web.statementrec.com/app#appuploadfiles/39e98f8a-da41-464a-b546-76145d795511" TargetMode="External"/><Relationship Id="rId111" Type="http://schemas.openxmlformats.org/officeDocument/2006/relationships/hyperlink" Target="https://app-web.statementrec.com/app#appuploadfiles/39e99429-0035-6526-d700-0abcbd672a99" TargetMode="External"/><Relationship Id="rId112" Type="http://schemas.openxmlformats.org/officeDocument/2006/relationships/hyperlink" Target="https://app-web.statementrec.com/app#appuploadfiles/39e9bdb9-5304-f2c4-27af-28f18397b270" TargetMode="External"/><Relationship Id="rId113" Type="http://schemas.openxmlformats.org/officeDocument/2006/relationships/hyperlink" Target="https://app-web.statementrec.com/app#appuploadfiles/39e9e319-d555-d11a-7de3-64fbe71472a0" TargetMode="External"/><Relationship Id="rId114" Type="http://schemas.openxmlformats.org/officeDocument/2006/relationships/hyperlink" Target="https://app-web.statementrec.com/app#appuploadfiles/39ea2f3c-b0bc-7fe9-269f-ba09dc678010" TargetMode="External"/><Relationship Id="rId115" Type="http://schemas.openxmlformats.org/officeDocument/2006/relationships/hyperlink" Target="https://app-web.statementrec.com/app#appuploadfiles/39ea3e39-dcf7-c5a9-d271-167eb1389a52" TargetMode="External"/><Relationship Id="rId116" Type="http://schemas.openxmlformats.org/officeDocument/2006/relationships/hyperlink" Target="https://app-web.statementrec.com/app#appuploadfiles/39ea4321-8a9e-f9ac-6e6f-0223a7bdc834" TargetMode="External"/><Relationship Id="rId117" Type="http://schemas.openxmlformats.org/officeDocument/2006/relationships/hyperlink" Target="https://app-web.statementrec.com/app#appuploadfiles/39ea4db8-9b77-4feb-3ac7-fd85ef22455d" TargetMode="External"/><Relationship Id="rId118" Type="http://schemas.openxmlformats.org/officeDocument/2006/relationships/hyperlink" Target="https://app-web.statementrec.com/app#appuploadfiles/39ea4ea6-a3fd-72cf-317a-6db68a9d3b8c" TargetMode="External"/><Relationship Id="rId119" Type="http://schemas.openxmlformats.org/officeDocument/2006/relationships/hyperlink" Target="https://app-web.statementrec.com/app#appuploadfiles/39ea5501-3ced-668f-55bf-043354191035" TargetMode="External"/><Relationship Id="rId120" Type="http://schemas.openxmlformats.org/officeDocument/2006/relationships/hyperlink" Target="https://app-web.statementrec.com/app#appuploadfiles/39ea66c4-fa27-c130-c035-16bad418eb3f" TargetMode="External"/><Relationship Id="rId121" Type="http://schemas.openxmlformats.org/officeDocument/2006/relationships/hyperlink" Target="https://app-web.statementrec.com/app#appuploadfiles/39ea6cf9-8656-7b54-3f73-dbd06aaae684" TargetMode="External"/><Relationship Id="rId122" Type="http://schemas.openxmlformats.org/officeDocument/2006/relationships/hyperlink" Target="https://app-web.statementrec.com/app#appuploadfiles/39ea6d1d-1d9f-3e16-deed-d12f7d6b58cc" TargetMode="External"/><Relationship Id="rId123" Type="http://schemas.openxmlformats.org/officeDocument/2006/relationships/hyperlink" Target="https://app-web.statementrec.com/app#appuploadfiles/39ea7cec-fbc2-2c68-be4a-f45a23382ccb" TargetMode="External"/><Relationship Id="rId124" Type="http://schemas.openxmlformats.org/officeDocument/2006/relationships/hyperlink" Target="https://app-web.statementrec.com/app#appuploadfiles/39ea9110-0156-212f-9038-b80acb981798" TargetMode="External"/><Relationship Id="rId125" Type="http://schemas.openxmlformats.org/officeDocument/2006/relationships/hyperlink" Target="https://app-web.statementrec.com/app#appuploadfiles/39eadda4-cca3-9edd-101a-786e40ae3f06" TargetMode="External"/><Relationship Id="rId126" Type="http://schemas.openxmlformats.org/officeDocument/2006/relationships/hyperlink" Target="https://app-web.statementrec.com/app#appuploadfiles/39eb25ba-8945-6019-728d-e79b282382e1" TargetMode="External"/><Relationship Id="rId127" Type="http://schemas.openxmlformats.org/officeDocument/2006/relationships/hyperlink" Target="https://app-web.statementrec.com/app#appuploadfiles/39eb3ff6-0f64-2533-ee13-6127b236b8dd" TargetMode="External"/><Relationship Id="rId128" Type="http://schemas.openxmlformats.org/officeDocument/2006/relationships/hyperlink" Target="https://app-web.statementrec.com/app#appuploadfiles/39eb4439-afd8-d0b6-05f7-0f57099952f2" TargetMode="External"/><Relationship Id="rId129" Type="http://schemas.openxmlformats.org/officeDocument/2006/relationships/hyperlink" Target="https://app-web.statementrec.com/app#appuploadfiles/39eb4a01-9d47-b18f-377a-eed3b40a1576" TargetMode="External"/><Relationship Id="rId130" Type="http://schemas.openxmlformats.org/officeDocument/2006/relationships/hyperlink" Target="https://app-web.statementrec.com/app#appuploadfiles/39eb6434-444e-49f2-4138-458f979a680d" TargetMode="External"/><Relationship Id="rId131" Type="http://schemas.openxmlformats.org/officeDocument/2006/relationships/hyperlink" Target="https://app-web.statementrec.com/app#appuploadfiles/39eb67cf-5f32-573b-de99-52f41e472606" TargetMode="External"/><Relationship Id="rId132" Type="http://schemas.openxmlformats.org/officeDocument/2006/relationships/hyperlink" Target="https://app-web.statementrec.com/app#appuploadfiles/39eb8dac-ee09-b39d-6fe7-78f501bea5c2" TargetMode="External"/><Relationship Id="rId133" Type="http://schemas.openxmlformats.org/officeDocument/2006/relationships/hyperlink" Target="https://app-web.statementrec.com/app#appuploadfiles/39eb920c-03e6-c696-0acc-bf2c1b3fca0a" TargetMode="External"/><Relationship Id="rId134" Type="http://schemas.openxmlformats.org/officeDocument/2006/relationships/hyperlink" Target="https://app-web.statementrec.com/app#appuploadfiles/39ebae57-9968-7139-b897-d17c79327d22" TargetMode="External"/><Relationship Id="rId135" Type="http://schemas.openxmlformats.org/officeDocument/2006/relationships/hyperlink" Target="https://app-web.statementrec.com/app#appuploadfiles/39ebc6cb-5408-3709-a985-2d9c31d3cea0" TargetMode="External"/><Relationship Id="rId136" Type="http://schemas.openxmlformats.org/officeDocument/2006/relationships/hyperlink" Target="https://app-web.statementrec.com/app#appuploadfiles/39ec0369-1208-dbb5-d0f8-651d273775ec" TargetMode="External"/><Relationship Id="rId137" Type="http://schemas.openxmlformats.org/officeDocument/2006/relationships/hyperlink" Target="https://app-web.statementrec.com/app#appuploadfiles/39ec1374-650f-04f8-fff1-d6222299869d" TargetMode="External"/><Relationship Id="rId138" Type="http://schemas.openxmlformats.org/officeDocument/2006/relationships/hyperlink" Target="https://app-web.statementrec.com/app#appuploadfiles/39ec1796-4beb-fd00-12c3-6eb446238ed9" TargetMode="External"/><Relationship Id="rId139" Type="http://schemas.openxmlformats.org/officeDocument/2006/relationships/hyperlink" Target="https://app-web.statementrec.com/app#appuploadfiles/39ec4c51-26fc-152f-0ec3-cbcdf12c3479" TargetMode="External"/><Relationship Id="rId140" Type="http://schemas.openxmlformats.org/officeDocument/2006/relationships/hyperlink" Target="https://app-web.statementrec.com/app#appuploadfiles/39ec6074-5413-6ddf-ed1b-5a71279fce7c" TargetMode="External"/><Relationship Id="rId141" Type="http://schemas.openxmlformats.org/officeDocument/2006/relationships/hyperlink" Target="https://app-web.statementrec.com/app#appuploadfiles/39ec7eb7-b69c-b339-0112-379d25007173" TargetMode="External"/><Relationship Id="rId142" Type="http://schemas.openxmlformats.org/officeDocument/2006/relationships/hyperlink" Target="https://app-web.statementrec.com/app#appuploadfiles/39ec8367-7f1c-d3ea-a7dc-e3ee2efddfb3" TargetMode="External"/><Relationship Id="rId143" Type="http://schemas.openxmlformats.org/officeDocument/2006/relationships/hyperlink" Target="https://app-web.statementrec.com/app#appuploadfiles/39ec93f4-e926-311a-5871-9c41c5a24180" TargetMode="External"/><Relationship Id="rId144" Type="http://schemas.openxmlformats.org/officeDocument/2006/relationships/hyperlink" Target="https://app-web.statementrec.com/app#appuploadfiles/39eca237-8ba1-c397-a586-0acbc2356541" TargetMode="External"/><Relationship Id="rId145" Type="http://schemas.openxmlformats.org/officeDocument/2006/relationships/hyperlink" Target="https://app-web.statementrec.com/app#appuploadfiles/39ecb541-6578-a0bb-ed5a-61caaa988db6" TargetMode="External"/><Relationship Id="rId146" Type="http://schemas.openxmlformats.org/officeDocument/2006/relationships/hyperlink" Target="https://app-web.statementrec.com/app#appuploadfiles/39ecc825-41d2-b48a-afc3-4f03969c8162" TargetMode="External"/><Relationship Id="rId147" Type="http://schemas.openxmlformats.org/officeDocument/2006/relationships/hyperlink" Target="https://app-web.statementrec.com/app#appuploadfiles/39ecd162-bba8-7aa2-ca21-02c7bee999e5" TargetMode="External"/><Relationship Id="rId148" Type="http://schemas.openxmlformats.org/officeDocument/2006/relationships/hyperlink" Target="https://app-web.statementrec.com/app#appuploadfiles/39ecd361-cab5-7290-dd9b-3da0974d85b7" TargetMode="External"/><Relationship Id="rId149" Type="http://schemas.openxmlformats.org/officeDocument/2006/relationships/hyperlink" Target="https://app-web.statementrec.com/app#appuploadfiles/39ed0f78-f6b5-df2c-ee29-b3e18d84cbf7" TargetMode="External"/><Relationship Id="rId150" Type="http://schemas.openxmlformats.org/officeDocument/2006/relationships/hyperlink" Target="https://app-web.statementrec.com/app#appuploadfiles/39ed195b-460b-9e9c-328c-dc281fa5f12b" TargetMode="External"/><Relationship Id="rId151" Type="http://schemas.openxmlformats.org/officeDocument/2006/relationships/hyperlink" Target="https://app-web.statementrec.com/app#appuploadfiles/39ed22cd-b3b7-7e0d-6594-b9dc0a880eb5" TargetMode="External"/><Relationship Id="rId152" Type="http://schemas.openxmlformats.org/officeDocument/2006/relationships/hyperlink" Target="https://app-web.statementrec.com/app#appuploadfiles/39ed329e-9395-24af-3252-d63ea4b23ff2" TargetMode="External"/><Relationship Id="rId153" Type="http://schemas.openxmlformats.org/officeDocument/2006/relationships/hyperlink" Target="https://app-web.statementrec.com/app#appuploadfiles/39ed3cb8-8b8d-0bf5-01f8-a77e501aeb13" TargetMode="External"/><Relationship Id="rId154" Type="http://schemas.openxmlformats.org/officeDocument/2006/relationships/hyperlink" Target="https://app-web.statementrec.com/app#appuploadfiles/39ed3ce0-1244-8146-be8f-ccd0fc06350c" TargetMode="External"/><Relationship Id="rId155" Type="http://schemas.openxmlformats.org/officeDocument/2006/relationships/hyperlink" Target="https://app-web.statementrec.com/app#appuploadfiles/39ed41f1-cd7c-b180-70dc-4f6e2fb9889a" TargetMode="External"/><Relationship Id="rId156" Type="http://schemas.openxmlformats.org/officeDocument/2006/relationships/hyperlink" Target="https://app-web.statementrec.com/app#appuploadfiles/39ed6c28-6a22-bf9e-6e84-658648288f3b" TargetMode="External"/><Relationship Id="rId157" Type="http://schemas.openxmlformats.org/officeDocument/2006/relationships/hyperlink" Target="https://app-web.statementrec.com/app#appuploadfiles/39eda926-d5e0-e115-80ee-1d12618cdba9" TargetMode="External"/><Relationship Id="rId158" Type="http://schemas.openxmlformats.org/officeDocument/2006/relationships/hyperlink" Target="https://app-web.statementrec.com/app#appuploadfiles/39edc7b9-8ecc-3c1f-993f-243f9f8dc0f3" TargetMode="External"/><Relationship Id="rId159" Type="http://schemas.openxmlformats.org/officeDocument/2006/relationships/hyperlink" Target="https://app-web.statementrec.com/app#appuploadfiles/39edd068-ef90-a50a-a5b6-0b8eda8cd8a7" TargetMode="External"/><Relationship Id="rId160" Type="http://schemas.openxmlformats.org/officeDocument/2006/relationships/hyperlink" Target="https://app-web.statementrec.com/app#appuploadfiles/39edd207-1e68-0120-7c6c-b07180c0b913" TargetMode="External"/><Relationship Id="rId161" Type="http://schemas.openxmlformats.org/officeDocument/2006/relationships/hyperlink" Target="https://app-web.statementrec.com/app#appuploadfiles/39edf1cd-1ba5-8c2d-57ae-d6f78108f67e" TargetMode="External"/><Relationship Id="rId162" Type="http://schemas.openxmlformats.org/officeDocument/2006/relationships/hyperlink" Target="https://app-web.statementrec.com/app#appuploadfiles/39edf68f-4aff-a02f-37ff-3c54f0c0137c" TargetMode="External"/><Relationship Id="rId163" Type="http://schemas.openxmlformats.org/officeDocument/2006/relationships/hyperlink" Target="https://app-web.statementrec.com/app#appuploadfiles/39edf78c-6b20-73d5-ed9d-0b7dcf34cc7b" TargetMode="External"/><Relationship Id="rId164" Type="http://schemas.openxmlformats.org/officeDocument/2006/relationships/hyperlink" Target="https://app-web.statementrec.com/app#appuploadfiles/39edfcd6-2f30-ebff-ac5b-9135856d90e6" TargetMode="External"/><Relationship Id="rId165" Type="http://schemas.openxmlformats.org/officeDocument/2006/relationships/hyperlink" Target="https://app-web.statementrec.com/app#appuploadfiles/39ee0fde-5579-202d-256c-98a6c543f247" TargetMode="External"/><Relationship Id="rId166" Type="http://schemas.openxmlformats.org/officeDocument/2006/relationships/hyperlink" Target="https://app-web.statementrec.com/app#appuploadfiles/39ee16b5-928e-0bf9-c260-c7485026bdc9" TargetMode="External"/><Relationship Id="rId167" Type="http://schemas.openxmlformats.org/officeDocument/2006/relationships/hyperlink" Target="https://app-web.statementrec.com/app#appuploadfiles/39ee1a47-561e-e35f-6673-3933f3d391e1" TargetMode="External"/><Relationship Id="rId168" Type="http://schemas.openxmlformats.org/officeDocument/2006/relationships/hyperlink" Target="https://app-web.statementrec.com/app#appuploadfiles/39ee1fd8-5178-9e31-0c64-d2573ea31c9c" TargetMode="External"/><Relationship Id="rId169" Type="http://schemas.openxmlformats.org/officeDocument/2006/relationships/hyperlink" Target="https://app-web.statementrec.com/app#appuploadfiles/39ee3448-cc80-ebc2-7be7-62b26d5e6226" TargetMode="External"/><Relationship Id="rId170" Type="http://schemas.openxmlformats.org/officeDocument/2006/relationships/hyperlink" Target="https://app-web.statementrec.com/app#appuploadfiles/39ee9ac8-b665-c913-fc75-ce7bbf5a5572" TargetMode="External"/><Relationship Id="rId171" Type="http://schemas.openxmlformats.org/officeDocument/2006/relationships/hyperlink" Target="https://app-web.statementrec.com/app#appuploadfiles/39ee9b40-21b1-b474-3666-7a10798d3b89" TargetMode="External"/><Relationship Id="rId172" Type="http://schemas.openxmlformats.org/officeDocument/2006/relationships/hyperlink" Target="https://app-web.statementrec.com/app#appuploadfiles/39ee9be0-fc6a-cf52-43cd-0e4449f40a7f" TargetMode="External"/><Relationship Id="rId173" Type="http://schemas.openxmlformats.org/officeDocument/2006/relationships/hyperlink" Target="https://app-web.statementrec.com/app#appuploadfiles/39eec072-67dc-86a8-627f-91ef92c59c59" TargetMode="External"/><Relationship Id="rId174" Type="http://schemas.openxmlformats.org/officeDocument/2006/relationships/hyperlink" Target="https://app-web.statementrec.com/app#appuploadfiles/39eecfa0-a3e9-d5e4-42a0-ba28de9751bc" TargetMode="External"/><Relationship Id="rId175" Type="http://schemas.openxmlformats.org/officeDocument/2006/relationships/hyperlink" Target="https://app-web.statementrec.com/app#appuploadfiles/39eee6b1-c7d9-b48e-7c1f-267e33562112" TargetMode="External"/><Relationship Id="rId176" Type="http://schemas.openxmlformats.org/officeDocument/2006/relationships/hyperlink" Target="https://app-web.statementrec.com/app#appuploadfiles/39eee8f6-93f5-a1a2-d123-bbd2c9b8c300" TargetMode="External"/><Relationship Id="rId177" Type="http://schemas.openxmlformats.org/officeDocument/2006/relationships/hyperlink" Target="https://app-web.statementrec.com/app#appuploadfiles/39eef81b-aadb-5032-0790-65a0f001cd7f" TargetMode="External"/><Relationship Id="rId178" Type="http://schemas.openxmlformats.org/officeDocument/2006/relationships/hyperlink" Target="https://app-web.statementrec.com/app#appuploadfiles/39eef8e4-ae00-c3ac-1c8b-feaae4622228" TargetMode="External"/><Relationship Id="rId179" Type="http://schemas.openxmlformats.org/officeDocument/2006/relationships/hyperlink" Target="https://app-web.statementrec.com/app#appuploadfiles/39ef0116-5b35-1f9e-6c60-7e4868febf48" TargetMode="External"/><Relationship Id="rId180" Type="http://schemas.openxmlformats.org/officeDocument/2006/relationships/hyperlink" Target="https://app-web.statementrec.com/app#appuploadfiles/39ef0768-1c40-4a1b-045c-d4026477f63b" TargetMode="External"/><Relationship Id="rId181" Type="http://schemas.openxmlformats.org/officeDocument/2006/relationships/hyperlink" Target="https://app-web.statementrec.com/app#appuploadfiles/39ef1b6a-ff51-9b1b-54b1-db90f5f2ce1d" TargetMode="External"/><Relationship Id="rId182" Type="http://schemas.openxmlformats.org/officeDocument/2006/relationships/hyperlink" Target="https://app-web.statementrec.com/app#appuploadfiles/39ef3580-5e3a-853b-96d2-bc3a520f47b1" TargetMode="External"/><Relationship Id="rId183" Type="http://schemas.openxmlformats.org/officeDocument/2006/relationships/hyperlink" Target="https://app-web.statementrec.com/app#appuploadfiles/39ef35d6-aa74-153e-29c1-7e3a6a3b7362" TargetMode="External"/><Relationship Id="rId184" Type="http://schemas.openxmlformats.org/officeDocument/2006/relationships/hyperlink" Target="https://app-web.statementrec.com/app#appuploadfiles/39ef4d5f-0633-554a-e631-26088ba8fb7f" TargetMode="External"/><Relationship Id="rId185" Type="http://schemas.openxmlformats.org/officeDocument/2006/relationships/hyperlink" Target="https://app-web.statementrec.com/app#appuploadfiles/39ef4fb2-00a5-eece-10d5-9361d6af6ec8" TargetMode="External"/><Relationship Id="rId186" Type="http://schemas.openxmlformats.org/officeDocument/2006/relationships/hyperlink" Target="https://app-web.statementrec.com/app#appuploadfiles/39ef5425-ba3a-131c-d4f2-98cb7cc53828" TargetMode="External"/><Relationship Id="rId187" Type="http://schemas.openxmlformats.org/officeDocument/2006/relationships/hyperlink" Target="https://app-web.statementrec.com/app#appuploadfiles/39ef5a20-2084-480d-f9b8-a99c567bc7de" TargetMode="External"/><Relationship Id="rId188" Type="http://schemas.openxmlformats.org/officeDocument/2006/relationships/hyperlink" Target="https://app-web.statementrec.com/app#appuploadfiles/39ef5a86-1c01-acf2-a286-1894e70cf8eb" TargetMode="External"/><Relationship Id="rId189" Type="http://schemas.openxmlformats.org/officeDocument/2006/relationships/hyperlink" Target="https://app-web.statementrec.com/app#appuploadfiles/39ef6412-dc51-24d9-5510-ea580987139f" TargetMode="External"/><Relationship Id="rId190" Type="http://schemas.openxmlformats.org/officeDocument/2006/relationships/hyperlink" Target="https://app-web.statementrec.com/app#appuploadfiles/39ef733e-f4e9-40ce-443c-b3a000c1a7fc" TargetMode="External"/><Relationship Id="rId191" Type="http://schemas.openxmlformats.org/officeDocument/2006/relationships/hyperlink" Target="https://app-web.statementrec.com/app#appuploadfiles/39ef745c-05c7-3538-b475-3d2eec2ecbb6" TargetMode="External"/><Relationship Id="rId192" Type="http://schemas.openxmlformats.org/officeDocument/2006/relationships/hyperlink" Target="https://app-web.statementrec.com/app#appuploadfiles/39ef7850-d079-3209-588d-a5f56ea2a9b3" TargetMode="External"/><Relationship Id="rId193" Type="http://schemas.openxmlformats.org/officeDocument/2006/relationships/hyperlink" Target="https://app-web.statementrec.com/app#appuploadfiles/39ef786d-1d65-f346-8731-b8ba8306e01f" TargetMode="External"/><Relationship Id="rId194" Type="http://schemas.openxmlformats.org/officeDocument/2006/relationships/hyperlink" Target="https://app-web.statementrec.com/app#appuploadfiles/39ef7edc-a8a5-42ee-f736-8d0bb07f139b" TargetMode="External"/><Relationship Id="rId195" Type="http://schemas.openxmlformats.org/officeDocument/2006/relationships/hyperlink" Target="https://app-web.statementrec.com/app#appuploadfiles/39ef83d7-b54d-79e7-be32-f583cba0a9e9" TargetMode="External"/><Relationship Id="rId196" Type="http://schemas.openxmlformats.org/officeDocument/2006/relationships/hyperlink" Target="https://app-web.statementrec.com/app#appuploadfiles/39ef9c45-ef03-ed45-a61a-10a390fe6747" TargetMode="External"/><Relationship Id="rId197" Type="http://schemas.openxmlformats.org/officeDocument/2006/relationships/hyperlink" Target="https://app-web.statementrec.com/app#appuploadfiles/39efa277-c69d-2512-6652-51df90a26c29" TargetMode="External"/><Relationship Id="rId198" Type="http://schemas.openxmlformats.org/officeDocument/2006/relationships/hyperlink" Target="https://app-web.statementrec.com/app#appuploadfiles/39efb12c-1e5f-242f-671d-f44c6cfe8cea" TargetMode="External"/><Relationship Id="rId199" Type="http://schemas.openxmlformats.org/officeDocument/2006/relationships/hyperlink" Target="https://app-web.statementrec.com/app#appuploadfiles/39efc1d4-2ac4-40d2-853e-97ed4147aa5a" TargetMode="External"/><Relationship Id="rId200" Type="http://schemas.openxmlformats.org/officeDocument/2006/relationships/hyperlink" Target="https://app-web.statementrec.com/app#appuploadfiles/39efc6cc-3574-ae0d-ac17-ef69da4f62b6" TargetMode="External"/><Relationship Id="rId201" Type="http://schemas.openxmlformats.org/officeDocument/2006/relationships/hyperlink" Target="https://app-web.statementrec.com/app#appuploadfiles/39efd704-aa6f-6d96-bc5a-fe448e60e532" TargetMode="External"/><Relationship Id="rId202" Type="http://schemas.openxmlformats.org/officeDocument/2006/relationships/hyperlink" Target="https://app-web.statementrec.com/app#appuploadfiles/39efe4ce-cc91-02f0-4418-4424bf3deb30" TargetMode="External"/><Relationship Id="rId203" Type="http://schemas.openxmlformats.org/officeDocument/2006/relationships/hyperlink" Target="https://app-web.statementrec.com/app#appuploadfiles/39efe917-daff-1d35-bc7c-6466b5aef884" TargetMode="External"/><Relationship Id="rId204" Type="http://schemas.openxmlformats.org/officeDocument/2006/relationships/hyperlink" Target="https://app-web.statementrec.com/app#appuploadfiles/39efeabe-bf2c-eb06-2477-33aee54724be" TargetMode="External"/><Relationship Id="rId205" Type="http://schemas.openxmlformats.org/officeDocument/2006/relationships/hyperlink" Target="https://app-web.statementrec.com/app#appuploadfiles/39eff52a-5d06-efec-6f1a-794970f4c081" TargetMode="External"/><Relationship Id="rId206" Type="http://schemas.openxmlformats.org/officeDocument/2006/relationships/hyperlink" Target="https://app-web.statementrec.com/app#appuploadfiles/39f00904-799c-9807-f0bf-77e894a9397b" TargetMode="External"/><Relationship Id="rId207" Type="http://schemas.openxmlformats.org/officeDocument/2006/relationships/hyperlink" Target="https://app-web.statementrec.com/app#appuploadfiles/39f009ee-39fa-6a13-028b-ce32279f5155" TargetMode="External"/><Relationship Id="rId208" Type="http://schemas.openxmlformats.org/officeDocument/2006/relationships/hyperlink" Target="https://app-web.statementrec.com/app#appuploadfiles/39f00f20-d215-f36c-69d1-32387a0eab1d" TargetMode="External"/><Relationship Id="rId209" Type="http://schemas.openxmlformats.org/officeDocument/2006/relationships/hyperlink" Target="https://app-web.statementrec.com/app#appuploadfiles/39f00f21-5759-21f2-2229-5af3fe915f7d" TargetMode="External"/><Relationship Id="rId210" Type="http://schemas.openxmlformats.org/officeDocument/2006/relationships/hyperlink" Target="https://app-web.statementrec.com/app#appuploadfiles/39f02977-7f4e-0e77-d356-f1f3fdaa65f4" TargetMode="External"/><Relationship Id="rId211" Type="http://schemas.openxmlformats.org/officeDocument/2006/relationships/hyperlink" Target="https://app-web.statementrec.com/app#appuploadfiles/39f037aa-20e1-2197-db5e-e9a7f9560380" TargetMode="External"/><Relationship Id="rId212" Type="http://schemas.openxmlformats.org/officeDocument/2006/relationships/hyperlink" Target="https://app-web.statementrec.com/app#appuploadfiles/39f04b12-b2ae-77f6-0d9c-e175e51dab78" TargetMode="External"/><Relationship Id="rId213" Type="http://schemas.openxmlformats.org/officeDocument/2006/relationships/hyperlink" Target="https://app-web.statementrec.com/app#appuploadfiles/39f050df-36eb-c9a1-9417-57fc3d3633aa" TargetMode="External"/><Relationship Id="rId214" Type="http://schemas.openxmlformats.org/officeDocument/2006/relationships/hyperlink" Target="https://app-web.statementrec.com/app#appuploadfiles/39f05aa5-419b-2000-dc3e-51ff167c4e20" TargetMode="External"/><Relationship Id="rId215" Type="http://schemas.openxmlformats.org/officeDocument/2006/relationships/hyperlink" Target="https://app-web.statementrec.com/app#appuploadfiles/39f0621d-c2c0-d954-18b6-a7657d40fbae" TargetMode="External"/><Relationship Id="rId216" Type="http://schemas.openxmlformats.org/officeDocument/2006/relationships/hyperlink" Target="https://app-web.statementrec.com/app#appuploadfiles/39f06297-ef50-75ad-00c0-7194911d1b7a" TargetMode="External"/><Relationship Id="rId217" Type="http://schemas.openxmlformats.org/officeDocument/2006/relationships/hyperlink" Target="https://app-web.statementrec.com/app#appuploadfiles/39f07610-54d4-460a-1a49-2362040036e3" TargetMode="External"/><Relationship Id="rId218" Type="http://schemas.openxmlformats.org/officeDocument/2006/relationships/hyperlink" Target="https://app-web.statementrec.com/app#appuploadfiles/39f093a8-5128-f5c1-fb0f-89a671213a4a" TargetMode="External"/><Relationship Id="rId219" Type="http://schemas.openxmlformats.org/officeDocument/2006/relationships/hyperlink" Target="https://app-web.statementrec.com/app#appuploadfiles/39f09b26-57da-eb9c-3364-a31439fa7904" TargetMode="External"/><Relationship Id="rId220" Type="http://schemas.openxmlformats.org/officeDocument/2006/relationships/hyperlink" Target="https://app-web.statementrec.com/app#appuploadfiles/39f09e40-40b0-cfee-7531-d5ad2e856af0" TargetMode="External"/><Relationship Id="rId221" Type="http://schemas.openxmlformats.org/officeDocument/2006/relationships/hyperlink" Target="https://app-web.statementrec.com/app#appuploadfiles/39f0a2d3-f171-d2cb-b1c5-e302b16a124c" TargetMode="External"/><Relationship Id="rId222" Type="http://schemas.openxmlformats.org/officeDocument/2006/relationships/hyperlink" Target="https://app-web.statementrec.com/app#appuploadfiles/39f0a7fc-28b4-6812-632a-1abd19145203" TargetMode="External"/><Relationship Id="rId223" Type="http://schemas.openxmlformats.org/officeDocument/2006/relationships/hyperlink" Target="https://app-web.statementrec.com/app#appuploadfiles/39f0a96c-b040-9e3e-3c72-555b669e060a" TargetMode="External"/><Relationship Id="rId224" Type="http://schemas.openxmlformats.org/officeDocument/2006/relationships/hyperlink" Target="https://app-web.statementrec.com/app#appuploadfiles/39f0a9d4-f566-a427-7569-44b28480a9b1" TargetMode="External"/><Relationship Id="rId225" Type="http://schemas.openxmlformats.org/officeDocument/2006/relationships/hyperlink" Target="https://app-web.statementrec.com/app#appuploadfiles/39f0c693-ac24-784e-4c4c-ef1c1db7ebd9" TargetMode="External"/><Relationship Id="rId226" Type="http://schemas.openxmlformats.org/officeDocument/2006/relationships/hyperlink" Target="https://app-web.statementrec.com/app#appuploadfiles/39f0eb8b-a765-eaee-7e2e-f0730e5aa2b4" TargetMode="External"/><Relationship Id="rId227" Type="http://schemas.openxmlformats.org/officeDocument/2006/relationships/hyperlink" Target="https://app-web.statementrec.com/app#appuploadfiles/39f104ca-21c9-b989-e89b-2b644b910503" TargetMode="External"/><Relationship Id="rId228" Type="http://schemas.openxmlformats.org/officeDocument/2006/relationships/hyperlink" Target="https://app-web.statementrec.com/app#appuploadfiles/39f10f33-38fd-0ca3-ca3a-695b3bc70a61" TargetMode="External"/><Relationship Id="rId229" Type="http://schemas.openxmlformats.org/officeDocument/2006/relationships/hyperlink" Target="https://app-web.statementrec.com/app#appuploadfiles/39f110a3-dc3f-9b6a-c49f-31c8ba48d9e3" TargetMode="External"/><Relationship Id="rId230" Type="http://schemas.openxmlformats.org/officeDocument/2006/relationships/hyperlink" Target="https://app-web.statementrec.com/app#appuploadfiles/39f12aa4-87bc-ad44-07dd-d50c940a34fd" TargetMode="External"/><Relationship Id="rId231" Type="http://schemas.openxmlformats.org/officeDocument/2006/relationships/hyperlink" Target="https://app-web.statementrec.com/app#appuploadfiles/39f12e19-1db8-2306-b6e8-cfb6d673983c" TargetMode="External"/><Relationship Id="rId232" Type="http://schemas.openxmlformats.org/officeDocument/2006/relationships/hyperlink" Target="https://app-web.statementrec.com/app#appuploadfiles/39f13958-457a-55a2-4030-67a41d9bbc3f" TargetMode="External"/><Relationship Id="rId233" Type="http://schemas.openxmlformats.org/officeDocument/2006/relationships/hyperlink" Target="https://app-web.statementrec.com/app#appuploadfiles/39f1456f-55b7-7785-316a-c846be4b7cbd" TargetMode="External"/><Relationship Id="rId234" Type="http://schemas.openxmlformats.org/officeDocument/2006/relationships/hyperlink" Target="https://app-web.statementrec.com/app#appuploadfiles/39f157ce-3431-020e-9201-f860d267e18b" TargetMode="External"/><Relationship Id="rId235" Type="http://schemas.openxmlformats.org/officeDocument/2006/relationships/hyperlink" Target="https://app-web.statementrec.com/app#appuploadfiles/39f171f7-9e3f-1dd6-f622-dbdf171cfa20" TargetMode="External"/><Relationship Id="rId236" Type="http://schemas.openxmlformats.org/officeDocument/2006/relationships/hyperlink" Target="https://app-web.statementrec.com/app#appuploadfiles/39f17689-57fd-38ff-4b96-840073379390" TargetMode="External"/><Relationship Id="rId237" Type="http://schemas.openxmlformats.org/officeDocument/2006/relationships/hyperlink" Target="https://app-web.statementrec.com/app#appuploadfiles/39f1775a-c404-abe4-8885-6de201e153dc" TargetMode="External"/><Relationship Id="rId238" Type="http://schemas.openxmlformats.org/officeDocument/2006/relationships/hyperlink" Target="https://app-web.statementrec.com/app#appuploadfiles/39f17c84-b640-b37a-6a05-1a85ab39f2b0" TargetMode="External"/><Relationship Id="rId239" Type="http://schemas.openxmlformats.org/officeDocument/2006/relationships/hyperlink" Target="https://app-web.statementrec.com/app#appuploadfiles/39f195cb-91a3-ff15-11cd-da097f4482de" TargetMode="External"/><Relationship Id="rId240" Type="http://schemas.openxmlformats.org/officeDocument/2006/relationships/hyperlink" Target="https://app-web.statementrec.com/app#appuploadfiles/39f197b5-b6e6-0ea2-7e4c-c0a6388fedd0" TargetMode="External"/><Relationship Id="rId241" Type="http://schemas.openxmlformats.org/officeDocument/2006/relationships/hyperlink" Target="https://app-web.statementrec.com/app#appuploadfiles/39f1a5d2-098c-7b02-feb7-180a71b4017c" TargetMode="External"/><Relationship Id="rId242" Type="http://schemas.openxmlformats.org/officeDocument/2006/relationships/hyperlink" Target="https://app-web.statementrec.com/app#appuploadfiles/39f1b48b-6458-4c97-110f-1c3d0ff807db" TargetMode="External"/><Relationship Id="rId243" Type="http://schemas.openxmlformats.org/officeDocument/2006/relationships/hyperlink" Target="https://app-web.statementrec.com/app#appuploadfiles/39f1b4b0-4feb-053c-43f0-a6f3919fbf60" TargetMode="External"/><Relationship Id="rId244" Type="http://schemas.openxmlformats.org/officeDocument/2006/relationships/hyperlink" Target="https://app-web.statementrec.com/app#appuploadfiles/39f1bb13-2284-d21e-32f7-512644ffe2db" TargetMode="External"/><Relationship Id="rId245" Type="http://schemas.openxmlformats.org/officeDocument/2006/relationships/hyperlink" Target="https://app-web.statementrec.com/app#appuploadfiles/39f1beea-8cab-d3aa-fe8e-9aadf33bf68a" TargetMode="External"/><Relationship Id="rId246" Type="http://schemas.openxmlformats.org/officeDocument/2006/relationships/hyperlink" Target="https://app-web.statementrec.com/app#appuploadfiles/39f1c016-6842-4159-29fb-56c3962fae2f" TargetMode="External"/><Relationship Id="rId247" Type="http://schemas.openxmlformats.org/officeDocument/2006/relationships/hyperlink" Target="https://app-web.statementrec.com/app#appuploadfiles/39f1c4a0-429b-1b51-5f34-f47499d901b4" TargetMode="External"/><Relationship Id="rId248" Type="http://schemas.openxmlformats.org/officeDocument/2006/relationships/hyperlink" Target="https://app-web.statementrec.com/app#appuploadfiles/39f1c4ad-459b-d5aa-4334-f86fd87a1ac5" TargetMode="External"/><Relationship Id="rId249" Type="http://schemas.openxmlformats.org/officeDocument/2006/relationships/hyperlink" Target="https://app-web.statementrec.com/app#appuploadfiles/39f1c4db-517f-dbf2-e8a7-ac137ae8b71a" TargetMode="External"/><Relationship Id="rId250" Type="http://schemas.openxmlformats.org/officeDocument/2006/relationships/hyperlink" Target="https://app-web.statementrec.com/app#appuploadfiles/39f1d6c1-3620-e92b-052d-475d750b098b" TargetMode="External"/><Relationship Id="rId251" Type="http://schemas.openxmlformats.org/officeDocument/2006/relationships/hyperlink" Target="https://app-web.statementrec.com/app#appuploadfiles/39f1d871-2f77-28a9-a4c6-01c83cf21695" TargetMode="External"/><Relationship Id="rId252" Type="http://schemas.openxmlformats.org/officeDocument/2006/relationships/hyperlink" Target="https://app-web.statementrec.com/app#appuploadfiles/39f1dd4e-896d-1572-a1df-2691187bc0cd" TargetMode="External"/><Relationship Id="rId253" Type="http://schemas.openxmlformats.org/officeDocument/2006/relationships/hyperlink" Target="https://app-web.statementrec.com/app#appuploadfiles/39f1def3-f0b1-f4a7-d5a3-6a9880d8aea8" TargetMode="External"/><Relationship Id="rId254" Type="http://schemas.openxmlformats.org/officeDocument/2006/relationships/hyperlink" Target="https://app-web.statementrec.com/app#appuploadfiles/39f1e397-33a5-4061-d3ae-de0372946fce" TargetMode="External"/><Relationship Id="rId255" Type="http://schemas.openxmlformats.org/officeDocument/2006/relationships/hyperlink" Target="https://app-web.statementrec.com/app#appuploadfiles/39f1e89a-fe4e-322c-513b-eee6e8fac9e8" TargetMode="External"/><Relationship Id="rId256" Type="http://schemas.openxmlformats.org/officeDocument/2006/relationships/hyperlink" Target="https://app-web.statementrec.com/app#appuploadfiles/39f2013b-af4e-2ecd-68a1-0ddf400b129b" TargetMode="External"/><Relationship Id="rId257" Type="http://schemas.openxmlformats.org/officeDocument/2006/relationships/hyperlink" Target="https://app-web.statementrec.com/app#appuploadfiles/39f201bc-2b1d-e8dd-295c-c9a7f3fa2b93" TargetMode="External"/><Relationship Id="rId258" Type="http://schemas.openxmlformats.org/officeDocument/2006/relationships/hyperlink" Target="https://app-web.statementrec.com/app#appuploadfiles/39f20c5a-0fea-7aff-c215-3832cb2a89ba" TargetMode="External"/><Relationship Id="rId259" Type="http://schemas.openxmlformats.org/officeDocument/2006/relationships/hyperlink" Target="https://app-web.statementrec.com/app#appuploadfiles/39f2266d-f0c3-37bf-a200-8e9c444fbc2e" TargetMode="External"/><Relationship Id="rId260" Type="http://schemas.openxmlformats.org/officeDocument/2006/relationships/hyperlink" Target="https://app-web.statementrec.com/app#appuploadfiles/39f296dd-ea6b-6b69-b03e-d3dd28b24124" TargetMode="External"/><Relationship Id="rId261" Type="http://schemas.openxmlformats.org/officeDocument/2006/relationships/hyperlink" Target="https://app-web.statementrec.com/app#appuploadfiles/39f2b612-9ce9-95c5-1e02-d3089aedcd64" TargetMode="External"/><Relationship Id="rId262" Type="http://schemas.openxmlformats.org/officeDocument/2006/relationships/hyperlink" Target="https://app-web.statementrec.com/app#appuploadfiles/39f2b6d7-b2f1-9e28-c7ff-2521a3303a8a" TargetMode="External"/><Relationship Id="rId263" Type="http://schemas.openxmlformats.org/officeDocument/2006/relationships/hyperlink" Target="https://app-web.statementrec.com/app#appuploadfiles/39f2c0a0-8f96-3465-50eb-d0cfcdfeb1b7" TargetMode="External"/><Relationship Id="rId264" Type="http://schemas.openxmlformats.org/officeDocument/2006/relationships/hyperlink" Target="https://app-web.statementrec.com/app#appuploadfiles/39f2d9f7-0692-e270-6d55-734ebb5e3a71" TargetMode="External"/><Relationship Id="rId265" Type="http://schemas.openxmlformats.org/officeDocument/2006/relationships/hyperlink" Target="https://app-web.statementrec.com/app#appuploadfiles/39f2e53b-30c9-1297-8899-6b9213403121" TargetMode="External"/><Relationship Id="rId266" Type="http://schemas.openxmlformats.org/officeDocument/2006/relationships/hyperlink" Target="https://app-web.statementrec.com/app#appuploadfiles/39f2ff18-e3b9-d58e-0ee6-d007cfc471a2" TargetMode="External"/><Relationship Id="rId267" Type="http://schemas.openxmlformats.org/officeDocument/2006/relationships/hyperlink" Target="https://app-web.statementrec.com/app#appuploadfiles/39f30339-863a-7604-d403-6847688872b2" TargetMode="External"/><Relationship Id="rId268" Type="http://schemas.openxmlformats.org/officeDocument/2006/relationships/hyperlink" Target="https://app-web.statementrec.com/app#appuploadfiles/39f30db9-ded3-a5b9-cbe8-eca976824edf" TargetMode="External"/><Relationship Id="rId269" Type="http://schemas.openxmlformats.org/officeDocument/2006/relationships/hyperlink" Target="https://app-web.statementrec.com/app#appuploadfiles/39f336d4-9b22-f27c-e292-d345258074ec" TargetMode="External"/><Relationship Id="rId270" Type="http://schemas.openxmlformats.org/officeDocument/2006/relationships/hyperlink" Target="https://app-web.statementrec.com/app#appuploadfiles/39f34b61-4a16-4f6b-c5e4-8b727eb511b0" TargetMode="External"/><Relationship Id="rId271" Type="http://schemas.openxmlformats.org/officeDocument/2006/relationships/hyperlink" Target="https://app-web.statementrec.com/app#appuploadfiles/39f36522-c718-a9d0-9165-103bc2a39cba" TargetMode="External"/><Relationship Id="rId272" Type="http://schemas.openxmlformats.org/officeDocument/2006/relationships/hyperlink" Target="https://app-web.statementrec.com/app#appuploadfiles/39f36fe6-23c0-2c0b-2ad8-ec695f6e8ff2" TargetMode="External"/><Relationship Id="rId273" Type="http://schemas.openxmlformats.org/officeDocument/2006/relationships/hyperlink" Target="https://app-web.statementrec.com/app#appuploadfiles/39f3758a-ed46-4530-e6ae-3eff42bd5e9c" TargetMode="External"/><Relationship Id="rId274" Type="http://schemas.openxmlformats.org/officeDocument/2006/relationships/hyperlink" Target="https://app-web.statementrec.com/app#appuploadfiles/39f38903-741e-a52c-6b74-e3ad1fb4bf9a" TargetMode="External"/><Relationship Id="rId275" Type="http://schemas.openxmlformats.org/officeDocument/2006/relationships/hyperlink" Target="https://app-web.statementrec.com/app#appuploadfiles/39f39265-da5e-0ccf-7069-1697c882c819" TargetMode="External"/><Relationship Id="rId276" Type="http://schemas.openxmlformats.org/officeDocument/2006/relationships/hyperlink" Target="https://app-web.statementrec.com/app#appuploadfiles/39f3adfe-79c3-72f2-c4a3-ae0e9b7fbcf5" TargetMode="External"/><Relationship Id="rId277" Type="http://schemas.openxmlformats.org/officeDocument/2006/relationships/hyperlink" Target="https://app-web.statementrec.com/app#appuploadfiles/39f3b6e4-2e0a-dea0-dfb8-e4f75721f2d1" TargetMode="External"/><Relationship Id="rId278" Type="http://schemas.openxmlformats.org/officeDocument/2006/relationships/hyperlink" Target="https://app-web.statementrec.com/app#appuploadfiles/39f3c1ce-a6d9-7e6f-1151-06d4c7a63aaa" TargetMode="External"/><Relationship Id="rId279" Type="http://schemas.openxmlformats.org/officeDocument/2006/relationships/hyperlink" Target="https://app-web.statementrec.com/app#appuploadfiles/39f40038-4b6b-5078-9838-5fabe9bb6880" TargetMode="External"/><Relationship Id="rId280" Type="http://schemas.openxmlformats.org/officeDocument/2006/relationships/hyperlink" Target="https://app-web.statementrec.com/app#appuploadfiles/39f41ef1-d05e-d214-c926-9759814104cb" TargetMode="External"/><Relationship Id="rId281" Type="http://schemas.openxmlformats.org/officeDocument/2006/relationships/hyperlink" Target="https://app-web.statementrec.com/app#appuploadfiles/39f424e7-28a6-6808-f4ea-7a35c79f06f7" TargetMode="External"/><Relationship Id="rId282" Type="http://schemas.openxmlformats.org/officeDocument/2006/relationships/hyperlink" Target="https://app-web.statementrec.com/app#appuploadfiles/39f42ec8-c78c-c1ac-fc02-f9bf2e6f5535" TargetMode="External"/><Relationship Id="rId283" Type="http://schemas.openxmlformats.org/officeDocument/2006/relationships/hyperlink" Target="https://app-web.statementrec.com/app#appuploadfiles/39f43a93-2e4b-6f5f-3b52-9cc90ed1012a" TargetMode="External"/><Relationship Id="rId284" Type="http://schemas.openxmlformats.org/officeDocument/2006/relationships/hyperlink" Target="https://app-web.statementrec.com/app#appuploadfiles/39f447b3-696f-5e6a-5035-a0b656592c66" TargetMode="External"/><Relationship Id="rId285" Type="http://schemas.openxmlformats.org/officeDocument/2006/relationships/hyperlink" Target="https://app-web.statementrec.com/app#appuploadfiles/39f44d31-5330-0b28-43da-2cdaaa4a36ef" TargetMode="External"/><Relationship Id="rId286" Type="http://schemas.openxmlformats.org/officeDocument/2006/relationships/hyperlink" Target="https://app-web.statementrec.com/app#appuploadfiles/39f465d4-06a4-d41b-d404-fbb3143e86e5" TargetMode="External"/><Relationship Id="rId287" Type="http://schemas.openxmlformats.org/officeDocument/2006/relationships/hyperlink" Target="https://app-web.statementrec.com/app#appuploadfiles/39f4864c-62b8-0c1d-ef0b-7d5cde0e072a" TargetMode="External"/><Relationship Id="rId288" Type="http://schemas.openxmlformats.org/officeDocument/2006/relationships/hyperlink" Target="https://app-web.statementrec.com/app#appuploadfiles/39f48f0a-dd9c-a4f8-7f83-2b84e843aea9" TargetMode="External"/><Relationship Id="rId289" Type="http://schemas.openxmlformats.org/officeDocument/2006/relationships/hyperlink" Target="https://app-web.statementrec.com/app#appuploadfiles/39f49575-bae5-0240-4860-ec8c1b939a68" TargetMode="External"/><Relationship Id="rId290" Type="http://schemas.openxmlformats.org/officeDocument/2006/relationships/hyperlink" Target="https://app-web.statementrec.com/app#appuploadfiles/39f4add7-1927-7b7d-0e04-583c34f4e6b8" TargetMode="External"/><Relationship Id="rId291" Type="http://schemas.openxmlformats.org/officeDocument/2006/relationships/hyperlink" Target="https://app-web.statementrec.com/app#appuploadfiles/39f4be2c-7441-600c-585d-7be8ac8edf5e" TargetMode="External"/><Relationship Id="rId292" Type="http://schemas.openxmlformats.org/officeDocument/2006/relationships/hyperlink" Target="https://app-web.statementrec.com/app#appuploadfiles/39f4ceb3-4b44-657b-9363-854efaf0497a" TargetMode="External"/><Relationship Id="rId293" Type="http://schemas.openxmlformats.org/officeDocument/2006/relationships/hyperlink" Target="https://app-web.statementrec.com/app#appuploadfiles/39f4d24e-660e-f328-1e41-f5a6ce1fea5a" TargetMode="External"/><Relationship Id="rId294" Type="http://schemas.openxmlformats.org/officeDocument/2006/relationships/hyperlink" Target="https://app-web.statementrec.com/app#appuploadfiles/39f4dcbe-6776-50dc-b4eb-40e52b1b6e7f" TargetMode="External"/><Relationship Id="rId295" Type="http://schemas.openxmlformats.org/officeDocument/2006/relationships/hyperlink" Target="https://app-web.statementrec.com/app#appuploadfiles/39f4e1c1-040a-9420-5a5c-dab88c736219" TargetMode="External"/><Relationship Id="rId296" Type="http://schemas.openxmlformats.org/officeDocument/2006/relationships/hyperlink" Target="https://app-web.statementrec.com/app#appuploadfiles/39f4f10b-fd43-e560-5e43-200555929174" TargetMode="External"/><Relationship Id="rId297" Type="http://schemas.openxmlformats.org/officeDocument/2006/relationships/hyperlink" Target="https://app-web.statementrec.com/app#appuploadfiles/39f4fd5f-75e6-6000-e059-fb9791e5d88a" TargetMode="External"/><Relationship Id="rId298" Type="http://schemas.openxmlformats.org/officeDocument/2006/relationships/hyperlink" Target="https://app-web.statementrec.com/app#appuploadfiles/39f50200-c232-d50f-c9be-bd32b054d45e" TargetMode="External"/><Relationship Id="rId299" Type="http://schemas.openxmlformats.org/officeDocument/2006/relationships/hyperlink" Target="https://app-web.statementrec.com/app#appuploadfiles/39f5163e-047a-a02d-78bc-ff5473f0423c" TargetMode="External"/><Relationship Id="rId300" Type="http://schemas.openxmlformats.org/officeDocument/2006/relationships/hyperlink" Target="https://app-web.statementrec.com/app#appuploadfiles/39f51b1a-c2cd-865b-41f7-a45d36e85c2a" TargetMode="External"/><Relationship Id="rId301" Type="http://schemas.openxmlformats.org/officeDocument/2006/relationships/hyperlink" Target="https://app-web.statementrec.com/app#appuploadfiles/39f51f81-1dcf-34a6-d19b-03a29c5889e1" TargetMode="External"/><Relationship Id="rId302" Type="http://schemas.openxmlformats.org/officeDocument/2006/relationships/hyperlink" Target="https://app-web.statementrec.com/app#appuploadfiles/39f52620-4496-dabf-3cc1-23bc88bc0dbe" TargetMode="External"/><Relationship Id="rId303" Type="http://schemas.openxmlformats.org/officeDocument/2006/relationships/hyperlink" Target="https://app-web.statementrec.com/app#appuploadfiles/39f52b2c-962d-b1e0-e351-5acbaae062dd" TargetMode="External"/><Relationship Id="rId304" Type="http://schemas.openxmlformats.org/officeDocument/2006/relationships/hyperlink" Target="https://app-web.statementrec.com/app#appuploadfiles/39f52fb4-3c73-43ba-5860-9674aea0dc11" TargetMode="External"/><Relationship Id="rId305" Type="http://schemas.openxmlformats.org/officeDocument/2006/relationships/hyperlink" Target="https://app-web.statementrec.com/app#appuploadfiles/39f53b89-7dce-47d8-9997-994a94607603" TargetMode="External"/><Relationship Id="rId306" Type="http://schemas.openxmlformats.org/officeDocument/2006/relationships/hyperlink" Target="https://app-web.statementrec.com/app#appuploadfiles/39f5433f-b850-3113-4d89-cef03bec48b4" TargetMode="External"/><Relationship Id="rId307" Type="http://schemas.openxmlformats.org/officeDocument/2006/relationships/hyperlink" Target="https://app-web.statementrec.com/app#appuploadfiles/39f5488b-ccf2-1997-7219-ea5872b7e8b7" TargetMode="External"/><Relationship Id="rId308" Type="http://schemas.openxmlformats.org/officeDocument/2006/relationships/hyperlink" Target="https://app-web.statementrec.com/app#appuploadfiles/39f54890-7397-ae10-fa48-f6d48f6b876f" TargetMode="External"/><Relationship Id="rId309" Type="http://schemas.openxmlformats.org/officeDocument/2006/relationships/hyperlink" Target="https://app-web.statementrec.com/app#appuploadfiles/39f54922-75e3-af5f-b5e0-954140443e2d" TargetMode="External"/><Relationship Id="rId310" Type="http://schemas.openxmlformats.org/officeDocument/2006/relationships/hyperlink" Target="https://app-web.statementrec.com/app#appuploadfiles/39f55e1a-a925-bc1d-acf9-ecc1a15281fc" TargetMode="External"/><Relationship Id="rId311" Type="http://schemas.openxmlformats.org/officeDocument/2006/relationships/hyperlink" Target="https://app-web.statementrec.com/app#appuploadfiles/39f567e9-8329-b443-e7d2-86f5e472c992" TargetMode="External"/><Relationship Id="rId312" Type="http://schemas.openxmlformats.org/officeDocument/2006/relationships/hyperlink" Target="https://app-web.statementrec.com/app#appuploadfiles/39f56931-baaa-7d38-0dc2-9e0366565c7b" TargetMode="External"/><Relationship Id="rId313" Type="http://schemas.openxmlformats.org/officeDocument/2006/relationships/hyperlink" Target="https://app-web.statementrec.com/app#appuploadfiles/39f586a6-64f0-3b24-51e1-4158572465b0" TargetMode="External"/><Relationship Id="rId314" Type="http://schemas.openxmlformats.org/officeDocument/2006/relationships/hyperlink" Target="https://app-web.statementrec.com/app#appuploadfiles/39f590f3-7f54-c544-263c-07b45d59c568" TargetMode="External"/><Relationship Id="rId315" Type="http://schemas.openxmlformats.org/officeDocument/2006/relationships/hyperlink" Target="https://app-web.statementrec.com/app#appuploadfiles/39f5d83a-7342-d769-7de3-19f973e94720" TargetMode="External"/><Relationship Id="rId316" Type="http://schemas.openxmlformats.org/officeDocument/2006/relationships/hyperlink" Target="https://app-web.statementrec.com/app#appuploadfiles/39f610e5-e8d6-21cd-63b2-5688c59cea6a" TargetMode="External"/><Relationship Id="rId317" Type="http://schemas.openxmlformats.org/officeDocument/2006/relationships/hyperlink" Target="https://app-web.statementrec.com/app#appuploadfiles/39f618dd-5061-3789-9051-89c0a46171f4" TargetMode="External"/><Relationship Id="rId318" Type="http://schemas.openxmlformats.org/officeDocument/2006/relationships/hyperlink" Target="https://app-web.statementrec.com/app#appuploadfiles/39f61cf3-b69b-393d-7fd9-18546a4822f7" TargetMode="External"/><Relationship Id="rId319" Type="http://schemas.openxmlformats.org/officeDocument/2006/relationships/hyperlink" Target="https://app-web.statementrec.com/app#appuploadfiles/39f6262f-8507-aae8-5c29-e8e5a5186923" TargetMode="External"/><Relationship Id="rId320" Type="http://schemas.openxmlformats.org/officeDocument/2006/relationships/hyperlink" Target="https://app-web.statementrec.com/app#appuploadfiles/39f65c99-051b-5ca0-a459-32a07c20e61d" TargetMode="External"/><Relationship Id="rId321" Type="http://schemas.openxmlformats.org/officeDocument/2006/relationships/hyperlink" Target="https://app-web.statementrec.com/app#appuploadfiles/39f66493-1481-7b99-4d70-4b931446e9e5" TargetMode="External"/><Relationship Id="rId322" Type="http://schemas.openxmlformats.org/officeDocument/2006/relationships/hyperlink" Target="https://app-web.statementrec.com/app#appuploadfiles/39f66de5-7f4b-89a9-43c6-b9230c0016c8" TargetMode="External"/><Relationship Id="rId323" Type="http://schemas.openxmlformats.org/officeDocument/2006/relationships/hyperlink" Target="https://app-web.statementrec.com/app#appuploadfiles/39f67915-f7c8-0906-d80e-15576725e89d" TargetMode="External"/><Relationship Id="rId324" Type="http://schemas.openxmlformats.org/officeDocument/2006/relationships/hyperlink" Target="https://app-web.statementrec.com/app#appuploadfiles/39f67e96-bea6-794b-c2e8-b9a67933ab74" TargetMode="External"/><Relationship Id="rId325" Type="http://schemas.openxmlformats.org/officeDocument/2006/relationships/hyperlink" Target="https://app-web.statementrec.com/app#appuploadfiles/39f67faa-30b5-a8c6-3235-75356905c94f" TargetMode="External"/><Relationship Id="rId326" Type="http://schemas.openxmlformats.org/officeDocument/2006/relationships/hyperlink" Target="https://app-web.statementrec.com/app#appuploadfiles/39f6a927-9af1-19a6-1aec-15f7a3577099" TargetMode="External"/><Relationship Id="rId327" Type="http://schemas.openxmlformats.org/officeDocument/2006/relationships/hyperlink" Target="https://app-web.statementrec.com/app#appuploadfiles/39f6b6a0-efca-598c-66af-e0b6258e07de" TargetMode="External"/><Relationship Id="rId328" Type="http://schemas.openxmlformats.org/officeDocument/2006/relationships/hyperlink" Target="https://app-web.statementrec.com/app#appuploadfiles/39f6c67b-83cf-9b88-53de-f90987fceab2" TargetMode="External"/><Relationship Id="rId329" Type="http://schemas.openxmlformats.org/officeDocument/2006/relationships/hyperlink" Target="https://app-web.statementrec.com/app#appuploadfiles/39f6efe1-38c6-471e-7e63-41deb99ea286" TargetMode="External"/><Relationship Id="rId330" Type="http://schemas.openxmlformats.org/officeDocument/2006/relationships/hyperlink" Target="https://app-web.statementrec.com/app#appuploadfiles/39f6fe83-21c0-5b3a-8277-a450edf3ffbb" TargetMode="External"/><Relationship Id="rId331" Type="http://schemas.openxmlformats.org/officeDocument/2006/relationships/hyperlink" Target="https://app-web.statementrec.com/app#appuploadfiles/39f6ffa0-8a07-e4a7-6968-6b558ac48065" TargetMode="External"/><Relationship Id="rId332" Type="http://schemas.openxmlformats.org/officeDocument/2006/relationships/hyperlink" Target="https://app-web.statementrec.com/app#appuploadfiles/39f709f8-b0e1-ed76-3c61-f0992ea1fb3a" TargetMode="External"/><Relationship Id="rId333" Type="http://schemas.openxmlformats.org/officeDocument/2006/relationships/hyperlink" Target="https://app-web.statementrec.com/app#appuploadfiles/39f713c5-efe6-9228-7c7a-e165697e94d9" TargetMode="External"/><Relationship Id="rId334" Type="http://schemas.openxmlformats.org/officeDocument/2006/relationships/hyperlink" Target="https://app-web.statementrec.com/app#appuploadfiles/39f71d92-64e6-4b82-2553-bda91055c54e" TargetMode="External"/><Relationship Id="rId335" Type="http://schemas.openxmlformats.org/officeDocument/2006/relationships/hyperlink" Target="https://app-web.statementrec.com/app#appuploadfiles/39f71e64-a79b-a1ce-a7ab-3d8483d29de1" TargetMode="External"/><Relationship Id="rId336" Type="http://schemas.openxmlformats.org/officeDocument/2006/relationships/hyperlink" Target="https://app-web.statementrec.com/app#appuploadfiles/39f72338-8425-785b-a9a0-5bc19d37687e" TargetMode="External"/><Relationship Id="rId337" Type="http://schemas.openxmlformats.org/officeDocument/2006/relationships/hyperlink" Target="https://app-web.statementrec.com/app#appuploadfiles/39f74199-2ce4-a931-272a-9f25bc341491" TargetMode="External"/><Relationship Id="rId338" Type="http://schemas.openxmlformats.org/officeDocument/2006/relationships/hyperlink" Target="https://app-web.statementrec.com/app#appuploadfiles/39f746e2-c6e9-88db-a4f5-389d62a39f69" TargetMode="External"/><Relationship Id="rId339" Type="http://schemas.openxmlformats.org/officeDocument/2006/relationships/hyperlink" Target="https://app-web.statementrec.com/app#appuploadfiles/39f74c85-1033-f67d-4012-9951fd7685c5" TargetMode="External"/><Relationship Id="rId340" Type="http://schemas.openxmlformats.org/officeDocument/2006/relationships/hyperlink" Target="https://app-web.statementrec.com/app#appuploadfiles/39f7614d-2b84-a6b2-cd81-65788dc7a9d2" TargetMode="External"/><Relationship Id="rId341" Type="http://schemas.openxmlformats.org/officeDocument/2006/relationships/hyperlink" Target="https://app-web.statementrec.com/app#appuploadfiles/39f7653e-293f-7dfe-a28f-f51c7ea38a24" TargetMode="External"/><Relationship Id="rId342" Type="http://schemas.openxmlformats.org/officeDocument/2006/relationships/hyperlink" Target="https://app-web.statementrec.com/app#appuploadfiles/39f765a0-eb90-174e-2cbe-06fd5b885a8a" TargetMode="External"/><Relationship Id="rId343" Type="http://schemas.openxmlformats.org/officeDocument/2006/relationships/hyperlink" Target="https://app-web.statementrec.com/app#appuploadfiles/39f7667b-78f5-94b5-ae15-82d2d5f7636c" TargetMode="External"/><Relationship Id="rId344" Type="http://schemas.openxmlformats.org/officeDocument/2006/relationships/hyperlink" Target="https://app-web.statementrec.com/app#appuploadfiles/39f76adf-ddc3-3847-578e-1284347979c3" TargetMode="External"/><Relationship Id="rId345" Type="http://schemas.openxmlformats.org/officeDocument/2006/relationships/hyperlink" Target="https://app-web.statementrec.com/app#appuploadfiles/39f76b2f-189b-1f3f-7e92-da565698fe2d" TargetMode="External"/><Relationship Id="rId346" Type="http://schemas.openxmlformats.org/officeDocument/2006/relationships/hyperlink" Target="https://app-web.statementrec.com/app#appuploadfiles/39f77790-199f-d2e0-ac6e-1a90e8ed032b" TargetMode="External"/><Relationship Id="rId347" Type="http://schemas.openxmlformats.org/officeDocument/2006/relationships/hyperlink" Target="https://app-web.statementrec.com/app#appuploadfiles/39f78023-d99e-81b4-a392-5a31959a30df" TargetMode="External"/><Relationship Id="rId348" Type="http://schemas.openxmlformats.org/officeDocument/2006/relationships/hyperlink" Target="https://app-web.statementrec.com/app#appuploadfiles/39f78430-792d-495c-a705-e9863d2a0869" TargetMode="External"/><Relationship Id="rId349" Type="http://schemas.openxmlformats.org/officeDocument/2006/relationships/hyperlink" Target="https://app-web.statementrec.com/app#appuploadfiles/39f78472-3268-ce32-eacd-57189b3bbe56" TargetMode="External"/><Relationship Id="rId350" Type="http://schemas.openxmlformats.org/officeDocument/2006/relationships/hyperlink" Target="https://app-web.statementrec.com/app#appuploadfiles/39f78525-9b38-6779-2547-5774039f2b31" TargetMode="External"/><Relationship Id="rId351" Type="http://schemas.openxmlformats.org/officeDocument/2006/relationships/hyperlink" Target="https://app-web.statementrec.com/app#appuploadfiles/39f789c4-4890-b008-d6b8-86f0417ad4dc" TargetMode="External"/><Relationship Id="rId352" Type="http://schemas.openxmlformats.org/officeDocument/2006/relationships/hyperlink" Target="https://app-web.statementrec.com/app#appuploadfiles/39f78ae5-6358-c9d7-3231-2bc6586191b6" TargetMode="External"/><Relationship Id="rId353" Type="http://schemas.openxmlformats.org/officeDocument/2006/relationships/hyperlink" Target="https://app-web.statementrec.com/app#appuploadfiles/39f79fd8-c950-b537-5ed9-67c76461e434" TargetMode="External"/><Relationship Id="rId354" Type="http://schemas.openxmlformats.org/officeDocument/2006/relationships/hyperlink" Target="https://app-web.statementrec.com/app#appuploadfiles/39f7a413-29d8-a95f-06f3-43c3206854cb" TargetMode="External"/><Relationship Id="rId355" Type="http://schemas.openxmlformats.org/officeDocument/2006/relationships/hyperlink" Target="https://app-web.statementrec.com/app#appuploadfiles/39f7a938-ec36-d69f-f7d0-19bd51a89e7e" TargetMode="External"/><Relationship Id="rId356" Type="http://schemas.openxmlformats.org/officeDocument/2006/relationships/hyperlink" Target="https://app-web.statementrec.com/app#appuploadfiles/39f7addc-d65c-f3a1-05bf-5cdbcc6eba48" TargetMode="External"/><Relationship Id="rId357" Type="http://schemas.openxmlformats.org/officeDocument/2006/relationships/hyperlink" Target="https://app-web.statementrec.com/app#appuploadfiles/39f7c335-cfbd-866e-72fc-f88d24c4c070" TargetMode="External"/><Relationship Id="rId358" Type="http://schemas.openxmlformats.org/officeDocument/2006/relationships/hyperlink" Target="https://app-web.statementrec.com/app#appuploadfiles/39f7d83d-0ae1-2bc3-36e6-0d5062070ca4" TargetMode="External"/><Relationship Id="rId359" Type="http://schemas.openxmlformats.org/officeDocument/2006/relationships/hyperlink" Target="https://app-web.statementrec.com/app#appuploadfiles/39f7e680-1328-2898-5b4a-e3abb70f2d8d" TargetMode="External"/><Relationship Id="rId360" Type="http://schemas.openxmlformats.org/officeDocument/2006/relationships/hyperlink" Target="https://app-web.statementrec.com/app#appuploadfiles/39f7f0da-306a-9d1b-d7db-7adf76b08ec7" TargetMode="External"/><Relationship Id="rId361" Type="http://schemas.openxmlformats.org/officeDocument/2006/relationships/hyperlink" Target="https://app-web.statementrec.com/app#appuploadfiles/39f7fc16-c664-31f3-e6a9-dee47605b4db" TargetMode="External"/><Relationship Id="rId362" Type="http://schemas.openxmlformats.org/officeDocument/2006/relationships/hyperlink" Target="https://app-web.statementrec.com/app#appuploadfiles/39f8086b-1609-a369-a453-e338e5b88970" TargetMode="External"/><Relationship Id="rId363" Type="http://schemas.openxmlformats.org/officeDocument/2006/relationships/hyperlink" Target="https://app-web.statementrec.com/app#appuploadfiles/39f80ad8-25f5-f075-bdf3-bf3d18c156ed" TargetMode="External"/><Relationship Id="rId364" Type="http://schemas.openxmlformats.org/officeDocument/2006/relationships/hyperlink" Target="https://app-web.statementrec.com/app#appuploadfiles/39f815cb-b9a2-9a89-c95b-beb3c43f190a" TargetMode="External"/><Relationship Id="rId365" Type="http://schemas.openxmlformats.org/officeDocument/2006/relationships/hyperlink" Target="https://app-web.statementrec.com/app#appuploadfiles/39f81ba7-f391-c400-561b-14defceec676" TargetMode="External"/><Relationship Id="rId366" Type="http://schemas.openxmlformats.org/officeDocument/2006/relationships/hyperlink" Target="https://app-web.statementrec.com/app#appuploadfiles/39f833b3-d27a-d84e-c578-59b8f846287b" TargetMode="External"/><Relationship Id="rId367" Type="http://schemas.openxmlformats.org/officeDocument/2006/relationships/hyperlink" Target="https://app-web.statementrec.com/app#appuploadfiles/39f83592-f8b8-1b0e-0ba7-55b0ffb80808" TargetMode="External"/><Relationship Id="rId368" Type="http://schemas.openxmlformats.org/officeDocument/2006/relationships/hyperlink" Target="https://app-web.statementrec.com/app#appuploadfiles/39f838ba-244c-beb5-10cd-f46cfc03d1f3" TargetMode="External"/><Relationship Id="rId369" Type="http://schemas.openxmlformats.org/officeDocument/2006/relationships/hyperlink" Target="https://app-web.statementrec.com/app#appuploadfiles/39f83d75-02ec-e12c-903e-dd747d52d481" TargetMode="External"/><Relationship Id="rId370" Type="http://schemas.openxmlformats.org/officeDocument/2006/relationships/hyperlink" Target="https://app-web.statementrec.com/app#appuploadfiles/39f84910-6da3-776c-9214-5bfb24327ba9" TargetMode="External"/><Relationship Id="rId371" Type="http://schemas.openxmlformats.org/officeDocument/2006/relationships/hyperlink" Target="https://app-web.statementrec.com/app#appuploadfiles/39f84cc6-923c-b042-eb91-252943f7db2e" TargetMode="External"/><Relationship Id="rId372" Type="http://schemas.openxmlformats.org/officeDocument/2006/relationships/hyperlink" Target="https://app-web.statementrec.com/app#appuploadfiles/39f85c30-1b89-3c01-6b19-8fda0f0c07b6" TargetMode="External"/><Relationship Id="rId373" Type="http://schemas.openxmlformats.org/officeDocument/2006/relationships/hyperlink" Target="https://app-web.statementrec.com/app#appuploadfiles/39f866b9-3e28-5b29-42f5-b549cea97afc" TargetMode="External"/><Relationship Id="rId374" Type="http://schemas.openxmlformats.org/officeDocument/2006/relationships/hyperlink" Target="https://app-web.statementrec.com/app#appuploadfiles/39f866e1-79c7-6272-912e-2d70d0492427" TargetMode="External"/><Relationship Id="rId375" Type="http://schemas.openxmlformats.org/officeDocument/2006/relationships/hyperlink" Target="https://app-web.statementrec.com/app#appuploadfiles/39f872d2-27fe-29d4-9c2c-95233d91bc66" TargetMode="External"/><Relationship Id="rId376" Type="http://schemas.openxmlformats.org/officeDocument/2006/relationships/hyperlink" Target="https://app-web.statementrec.com/app#appuploadfiles/39f88115-f4bf-ecf3-b884-613efec723ed" TargetMode="External"/><Relationship Id="rId377" Type="http://schemas.openxmlformats.org/officeDocument/2006/relationships/hyperlink" Target="https://app-web.statementrec.com/app#appuploadfiles/39f88214-1515-753f-7604-6911019d9ef0" TargetMode="External"/><Relationship Id="rId378" Type="http://schemas.openxmlformats.org/officeDocument/2006/relationships/hyperlink" Target="https://app-web.statementrec.com/app#appuploadfiles/39f8a0bb-a8b0-8655-fe53-ca7cd296d403" TargetMode="External"/><Relationship Id="rId379" Type="http://schemas.openxmlformats.org/officeDocument/2006/relationships/hyperlink" Target="https://app-web.statementrec.com/app#appuploadfiles/39f8a62e-4856-8ef4-ac3b-8a205ab9ef76" TargetMode="External"/><Relationship Id="rId380" Type="http://schemas.openxmlformats.org/officeDocument/2006/relationships/hyperlink" Target="https://app-web.statementrec.com/app#appuploadfiles/39f8af03-d43f-3186-88a8-1e980c31e89e" TargetMode="External"/><Relationship Id="rId381" Type="http://schemas.openxmlformats.org/officeDocument/2006/relationships/hyperlink" Target="https://app-web.statementrec.com/app#appuploadfiles/39f8af1f-a848-785a-9f35-d422005a423f" TargetMode="External"/><Relationship Id="rId382" Type="http://schemas.openxmlformats.org/officeDocument/2006/relationships/hyperlink" Target="https://app-web.statementrec.com/app#appuploadfiles/39f8d41e-f387-ea80-65d4-367efbe90e36" TargetMode="External"/><Relationship Id="rId383" Type="http://schemas.openxmlformats.org/officeDocument/2006/relationships/hyperlink" Target="https://app-web.statementrec.com/app#appuploadfiles/39f8e86b-902c-8a29-e03d-795be137d3f3" TargetMode="External"/><Relationship Id="rId384" Type="http://schemas.openxmlformats.org/officeDocument/2006/relationships/hyperlink" Target="https://app-web.statementrec.com/app#appuploadfiles/39f8e89c-5fe9-c465-f1eb-e86d9ee7d9e2" TargetMode="External"/><Relationship Id="rId385" Type="http://schemas.openxmlformats.org/officeDocument/2006/relationships/hyperlink" Target="https://app-web.statementrec.com/app#appuploadfiles/39f8ed7f-5e21-7d9a-597c-d70ca8a515bc" TargetMode="External"/><Relationship Id="rId386" Type="http://schemas.openxmlformats.org/officeDocument/2006/relationships/hyperlink" Target="https://app-web.statementrec.com/app#appuploadfiles/39f8ee47-cae7-26e3-ec0b-b5266d58d2c4" TargetMode="External"/><Relationship Id="rId387" Type="http://schemas.openxmlformats.org/officeDocument/2006/relationships/hyperlink" Target="https://app-web.statementrec.com/app#appuploadfiles/39f8f294-b814-49bc-9762-265f08c3c8da" TargetMode="External"/><Relationship Id="rId388" Type="http://schemas.openxmlformats.org/officeDocument/2006/relationships/hyperlink" Target="https://app-web.statementrec.com/app#appuploadfiles/39f8f343-cedb-d0b2-0790-82b014a5c23b" TargetMode="External"/><Relationship Id="rId389" Type="http://schemas.openxmlformats.org/officeDocument/2006/relationships/hyperlink" Target="https://app-web.statementrec.com/app#appuploadfiles/39f9079a-bed8-8308-b151-a73b94b1f36c" TargetMode="External"/><Relationship Id="rId390" Type="http://schemas.openxmlformats.org/officeDocument/2006/relationships/hyperlink" Target="https://app-web.statementrec.com/app#appuploadfiles/39f907af-087e-4269-1670-1a315ba27e1c" TargetMode="External"/><Relationship Id="rId391" Type="http://schemas.openxmlformats.org/officeDocument/2006/relationships/hyperlink" Target="https://app-web.statementrec.com/app#appuploadfiles/39f90c18-914a-fc31-5153-268ccef5b151" TargetMode="External"/><Relationship Id="rId392" Type="http://schemas.openxmlformats.org/officeDocument/2006/relationships/hyperlink" Target="https://app-web.statementrec.com/app#appuploadfiles/39f90cf6-daf7-659e-f237-9cd75fe1c37d" TargetMode="External"/><Relationship Id="rId393" Type="http://schemas.openxmlformats.org/officeDocument/2006/relationships/hyperlink" Target="https://app-web.statementrec.com/app#appuploadfiles/39f9133c-cb9f-9314-baf7-9561a329ab54" TargetMode="External"/><Relationship Id="rId394" Type="http://schemas.openxmlformats.org/officeDocument/2006/relationships/hyperlink" Target="https://app-web.statementrec.com/app#appuploadfiles/39f9169c-0483-03a0-c5d2-b90989f8ee19" TargetMode="External"/><Relationship Id="rId395" Type="http://schemas.openxmlformats.org/officeDocument/2006/relationships/hyperlink" Target="https://app-web.statementrec.com/app#appuploadfiles/39f92c99-715b-1279-7788-1c2905c832ce" TargetMode="External"/><Relationship Id="rId396" Type="http://schemas.openxmlformats.org/officeDocument/2006/relationships/hyperlink" Target="https://app-web.statementrec.com/app#appuploadfiles/39f930e1-6f48-6bc2-d432-1835e970ee55" TargetMode="External"/><Relationship Id="rId397" Type="http://schemas.openxmlformats.org/officeDocument/2006/relationships/hyperlink" Target="https://app-web.statementrec.com/app#appuploadfiles/39f9316b-4dd9-dfc0-cec6-6882a1c5cc54" TargetMode="External"/><Relationship Id="rId398" Type="http://schemas.openxmlformats.org/officeDocument/2006/relationships/hyperlink" Target="https://app-web.statementrec.com/app#appuploadfiles/39f935f1-c4a6-b37e-831f-64be6ce8ee85" TargetMode="External"/><Relationship Id="rId399" Type="http://schemas.openxmlformats.org/officeDocument/2006/relationships/hyperlink" Target="https://app-web.statementrec.com/app#appuploadfiles/39f940b3-6235-3c27-c750-35617b53eccc" TargetMode="External"/><Relationship Id="rId400" Type="http://schemas.openxmlformats.org/officeDocument/2006/relationships/hyperlink" Target="https://app-web.statementrec.com/app#appuploadfiles/39f9410e-594c-2428-739e-e3d0f96f8829" TargetMode="External"/><Relationship Id="rId401" Type="http://schemas.openxmlformats.org/officeDocument/2006/relationships/hyperlink" Target="https://app-web.statementrec.com/app#appuploadfiles/39f98248-1a57-929a-6f05-7aef1f3b41a8" TargetMode="External"/><Relationship Id="rId402" Type="http://schemas.openxmlformats.org/officeDocument/2006/relationships/hyperlink" Target="https://app-web.statementrec.com/app#appuploadfiles/39f99411-39c8-e0e9-ae2c-389c3c1f691d" TargetMode="External"/><Relationship Id="rId403" Type="http://schemas.openxmlformats.org/officeDocument/2006/relationships/hyperlink" Target="https://app-web.statementrec.com/app#appuploadfiles/39f99d31-9dd7-6d88-464d-c81215c87c7d" TargetMode="External"/><Relationship Id="rId404" Type="http://schemas.openxmlformats.org/officeDocument/2006/relationships/hyperlink" Target="https://app-web.statementrec.com/app#appuploadfiles/39f9cbe3-e5f6-1daf-894e-0a8e31ca2f21" TargetMode="External"/><Relationship Id="rId405" Type="http://schemas.openxmlformats.org/officeDocument/2006/relationships/hyperlink" Target="https://app-web.statementrec.com/app#appuploadfiles/39f9e069-a909-b878-5b74-1e6de606a0d2" TargetMode="External"/><Relationship Id="rId406" Type="http://schemas.openxmlformats.org/officeDocument/2006/relationships/hyperlink" Target="https://app-web.statementrec.com/app#appuploadfiles/39f9e9fd-688f-f0a3-8244-6d8551f41598" TargetMode="External"/><Relationship Id="rId407" Type="http://schemas.openxmlformats.org/officeDocument/2006/relationships/hyperlink" Target="https://app-web.statementrec.com/app#appuploadfiles/39f9ec15-f6a8-e7a8-d9eb-367a753d11fa" TargetMode="External"/><Relationship Id="rId408" Type="http://schemas.openxmlformats.org/officeDocument/2006/relationships/hyperlink" Target="https://app-web.statementrec.com/app#appuploadfiles/39f9fe33-875c-b7e5-2b0f-e6be14aed732" TargetMode="External"/><Relationship Id="rId409" Type="http://schemas.openxmlformats.org/officeDocument/2006/relationships/hyperlink" Target="https://app-web.statementrec.com/app#appuploadfiles/39fa045c-f866-9fa7-908e-e05389eb5429" TargetMode="External"/><Relationship Id="rId410" Type="http://schemas.openxmlformats.org/officeDocument/2006/relationships/hyperlink" Target="https://app-web.statementrec.com/app#appuploadfiles/39fa0e02-13d8-ef01-7267-dfb87f6a1975" TargetMode="External"/><Relationship Id="rId411" Type="http://schemas.openxmlformats.org/officeDocument/2006/relationships/hyperlink" Target="https://app-web.statementrec.com/app#appuploadfiles/39fa0e1b-fb00-6cd3-dba3-9bd7dac419d5" TargetMode="External"/><Relationship Id="rId412" Type="http://schemas.openxmlformats.org/officeDocument/2006/relationships/hyperlink" Target="https://app-web.statementrec.com/app#appuploadfiles/39fa0e90-e851-f744-c00e-7c2e7a516247" TargetMode="External"/><Relationship Id="rId413" Type="http://schemas.openxmlformats.org/officeDocument/2006/relationships/hyperlink" Target="https://app-web.statementrec.com/app#appuploadfiles/39fa1254-8546-9c6c-b91f-4d3d75b0ad91" TargetMode="External"/><Relationship Id="rId414" Type="http://schemas.openxmlformats.org/officeDocument/2006/relationships/hyperlink" Target="https://app-web.statementrec.com/app#appuploadfiles/39fa2335-15ba-b1d8-0a7a-b6d30f1daece" TargetMode="External"/><Relationship Id="rId415" Type="http://schemas.openxmlformats.org/officeDocument/2006/relationships/hyperlink" Target="https://app-web.statementrec.com/app#appuploadfiles/39fa2df8-c6ff-b918-81d3-dc9160d18575" TargetMode="External"/><Relationship Id="rId416" Type="http://schemas.openxmlformats.org/officeDocument/2006/relationships/hyperlink" Target="https://app-web.statementrec.com/app#appuploadfiles/39fa36a9-dcd3-7f13-b212-5310ae9990bf" TargetMode="External"/><Relationship Id="rId417" Type="http://schemas.openxmlformats.org/officeDocument/2006/relationships/hyperlink" Target="https://app-web.statementrec.com/app#appuploadfiles/39fa36eb-4b28-022c-4a1f-d944c6872a58" TargetMode="External"/><Relationship Id="rId418" Type="http://schemas.openxmlformats.org/officeDocument/2006/relationships/hyperlink" Target="https://app-web.statementrec.com/app#appuploadfiles/39fa3724-fc02-9e27-22bc-a2019c5a7477" TargetMode="External"/><Relationship Id="rId419" Type="http://schemas.openxmlformats.org/officeDocument/2006/relationships/hyperlink" Target="https://app-web.statementrec.com/app#appuploadfiles/39fa3772-dbd4-d650-6883-174c2a9d6f37" TargetMode="External"/><Relationship Id="rId420" Type="http://schemas.openxmlformats.org/officeDocument/2006/relationships/hyperlink" Target="https://app-web.statementrec.com/app#appuploadfiles/39fa3824-a4e8-e977-099e-164ae863bb4b" TargetMode="External"/><Relationship Id="rId421" Type="http://schemas.openxmlformats.org/officeDocument/2006/relationships/hyperlink" Target="https://app-web.statementrec.com/app#appuploadfiles/39fa3d39-00d9-234e-724f-208953a8f758" TargetMode="External"/><Relationship Id="rId422" Type="http://schemas.openxmlformats.org/officeDocument/2006/relationships/hyperlink" Target="https://app-web.statementrec.com/app#appuploadfiles/39fa4b92-9f5b-f243-9ed5-6723267a9e85" TargetMode="External"/><Relationship Id="rId423" Type="http://schemas.openxmlformats.org/officeDocument/2006/relationships/hyperlink" Target="https://app-web.statementrec.com/app#appuploadfiles/39fa5027-0622-ac1c-dad9-3b98e1942281" TargetMode="External"/><Relationship Id="rId424" Type="http://schemas.openxmlformats.org/officeDocument/2006/relationships/hyperlink" Target="https://app-web.statementrec.com/app#appuploadfiles/39fa5bf3-54ad-90d1-0a8c-295494cd1169" TargetMode="External"/><Relationship Id="rId425" Type="http://schemas.openxmlformats.org/officeDocument/2006/relationships/hyperlink" Target="https://app-web.statementrec.com/app#appuploadfiles/39fa61ee-fe80-9459-1244-12e827361a58" TargetMode="External"/><Relationship Id="rId426" Type="http://schemas.openxmlformats.org/officeDocument/2006/relationships/hyperlink" Target="https://app-web.statementrec.com/app#appuploadfiles/39fa6fa3-a878-7495-af0c-ace838ac4d9d" TargetMode="External"/><Relationship Id="rId427" Type="http://schemas.openxmlformats.org/officeDocument/2006/relationships/hyperlink" Target="https://app-web.statementrec.com/app#appuploadfiles/39fa70cb-f5b6-b7fa-ba76-a07a03aeb1c9" TargetMode="External"/><Relationship Id="rId428" Type="http://schemas.openxmlformats.org/officeDocument/2006/relationships/hyperlink" Target="https://app-web.statementrec.com/app#appuploadfiles/39fa8021-59c6-f405-947e-75d0ed74cec3" TargetMode="External"/><Relationship Id="rId429" Type="http://schemas.openxmlformats.org/officeDocument/2006/relationships/hyperlink" Target="https://app-web.statementrec.com/app#appuploadfiles/39fa83e6-f29e-6bc6-f32b-e523e0fc92c4" TargetMode="External"/><Relationship Id="rId430" Type="http://schemas.openxmlformats.org/officeDocument/2006/relationships/hyperlink" Target="https://app-web.statementrec.com/app#appuploadfiles/39faa518-6ff7-b3f2-811d-b4a70bf464bd" TargetMode="External"/><Relationship Id="rId431" Type="http://schemas.openxmlformats.org/officeDocument/2006/relationships/hyperlink" Target="https://app-web.statementrec.com/app#appuploadfiles/39fabe37-8cc3-522a-74fb-7057d027b25b" TargetMode="External"/><Relationship Id="rId432" Type="http://schemas.openxmlformats.org/officeDocument/2006/relationships/hyperlink" Target="https://app-web.statementrec.com/app#appuploadfiles/39fabf60-3a3c-325f-86e9-82a67df430a7" TargetMode="External"/><Relationship Id="rId433" Type="http://schemas.openxmlformats.org/officeDocument/2006/relationships/hyperlink" Target="https://app-web.statementrec.com/app#appuploadfiles/39fac23b-5e6f-e341-7208-c829679d62b9" TargetMode="External"/><Relationship Id="rId434" Type="http://schemas.openxmlformats.org/officeDocument/2006/relationships/hyperlink" Target="https://app-web.statementrec.com/app#appuploadfiles/39fac962-abf6-67aa-fe6f-961b239363a1" TargetMode="External"/><Relationship Id="rId435" Type="http://schemas.openxmlformats.org/officeDocument/2006/relationships/hyperlink" Target="https://app-web.statementrec.com/app#appuploadfiles/39faccd7-d490-00cb-5cd4-8e094616d4a8" TargetMode="External"/><Relationship Id="rId436" Type="http://schemas.openxmlformats.org/officeDocument/2006/relationships/hyperlink" Target="https://app-web.statementrec.com/app#appuploadfiles/39facd78-8d88-bade-7784-37f9920c0a40" TargetMode="External"/><Relationship Id="rId437" Type="http://schemas.openxmlformats.org/officeDocument/2006/relationships/hyperlink" Target="https://app-web.statementrec.com/app#appuploadfiles/39fad4d1-616b-0bf7-6d39-ccdbe356d815" TargetMode="External"/><Relationship Id="rId438" Type="http://schemas.openxmlformats.org/officeDocument/2006/relationships/hyperlink" Target="https://app-web.statementrec.com/app#appuploadfiles/39fadd49-3cd5-610a-bdd8-a77e72d7493b" TargetMode="External"/><Relationship Id="rId439" Type="http://schemas.openxmlformats.org/officeDocument/2006/relationships/hyperlink" Target="https://app-web.statementrec.com/app#appuploadfiles/39fae595-2065-3850-ca6a-bb647b2b473a" TargetMode="External"/><Relationship Id="rId440" Type="http://schemas.openxmlformats.org/officeDocument/2006/relationships/hyperlink" Target="https://app-web.statementrec.com/app#appuploadfiles/39fae5af-4225-d7eb-4820-7e3a2a6a4cfe" TargetMode="External"/><Relationship Id="rId441" Type="http://schemas.openxmlformats.org/officeDocument/2006/relationships/hyperlink" Target="https://app-web.statementrec.com/app#appuploadfiles/39faf0fc-2cb0-107c-4d59-e85fbf3fd88b" TargetMode="External"/><Relationship Id="rId442" Type="http://schemas.openxmlformats.org/officeDocument/2006/relationships/hyperlink" Target="https://app-web.statementrec.com/app#appuploadfiles/39fb0098-d841-f2f9-e569-61f8238a8694" TargetMode="External"/><Relationship Id="rId443" Type="http://schemas.openxmlformats.org/officeDocument/2006/relationships/hyperlink" Target="https://app-web.statementrec.com/app#appuploadfiles/39fb0b0c-4d7e-e807-2c12-f5539a82e2d8" TargetMode="External"/><Relationship Id="rId444" Type="http://schemas.openxmlformats.org/officeDocument/2006/relationships/hyperlink" Target="https://app-web.statementrec.com/app#appuploadfiles/39fb1740-b3b5-0214-8417-334d841a22a7" TargetMode="External"/><Relationship Id="rId445" Type="http://schemas.openxmlformats.org/officeDocument/2006/relationships/hyperlink" Target="https://app-web.statementrec.com/app#appuploadfiles/39fb1742-42cc-0e79-7a59-302f9ff44db8" TargetMode="External"/><Relationship Id="rId446" Type="http://schemas.openxmlformats.org/officeDocument/2006/relationships/hyperlink" Target="https://app-web.statementrec.com/app#appuploadfiles/39fb28de-d7a6-1435-0e59-b6a89c950aa7" TargetMode="External"/><Relationship Id="rId447" Type="http://schemas.openxmlformats.org/officeDocument/2006/relationships/hyperlink" Target="https://app-web.statementrec.com/app#appuploadfiles/39fb2fb2-a5dd-5d9c-e648-c70ad2743d14" TargetMode="External"/><Relationship Id="rId448" Type="http://schemas.openxmlformats.org/officeDocument/2006/relationships/hyperlink" Target="https://app-web.statementrec.com/app#appuploadfiles/39fb3848-65cc-c875-b2a4-41e14025bffe" TargetMode="External"/><Relationship Id="rId449" Type="http://schemas.openxmlformats.org/officeDocument/2006/relationships/hyperlink" Target="https://app-web.statementrec.com/app#appuploadfiles/39fb3970-f320-bb63-034b-1c4f7618fbc1" TargetMode="External"/><Relationship Id="rId450" Type="http://schemas.openxmlformats.org/officeDocument/2006/relationships/hyperlink" Target="https://app-web.statementrec.com/app#appuploadfiles/39fb3e48-e360-8f87-a264-9a0ec79e0a0a" TargetMode="External"/><Relationship Id="rId451" Type="http://schemas.openxmlformats.org/officeDocument/2006/relationships/hyperlink" Target="https://app-web.statementrec.com/app#appuploadfiles/39fb48c0-bda4-ad03-4950-bc0bb7fbee84" TargetMode="External"/><Relationship Id="rId452" Type="http://schemas.openxmlformats.org/officeDocument/2006/relationships/hyperlink" Target="https://app-web.statementrec.com/app#appuploadfiles/39fb494b-d4b2-3fdb-1cb2-f351e5adf5fa" TargetMode="External"/><Relationship Id="rId453" Type="http://schemas.openxmlformats.org/officeDocument/2006/relationships/hyperlink" Target="https://app-web.statementrec.com/app#appuploadfiles/39fb4950-75db-acf5-39dc-573f637cd36b" TargetMode="External"/><Relationship Id="rId454" Type="http://schemas.openxmlformats.org/officeDocument/2006/relationships/hyperlink" Target="https://app-web.statementrec.com/app#appuploadfiles/39fb51de-2f87-122e-643a-b5762990f0db" TargetMode="External"/><Relationship Id="rId455" Type="http://schemas.openxmlformats.org/officeDocument/2006/relationships/hyperlink" Target="https://app-web.statementrec.com/app#appuploadfiles/39fb52e6-6439-d530-9e19-e871833ab7a7" TargetMode="External"/><Relationship Id="rId456" Type="http://schemas.openxmlformats.org/officeDocument/2006/relationships/hyperlink" Target="https://app-web.statementrec.com/app#appuploadfiles/39fb56cb-aad2-3940-2de5-349c60f3e85d" TargetMode="External"/><Relationship Id="rId457" Type="http://schemas.openxmlformats.org/officeDocument/2006/relationships/hyperlink" Target="https://app-web.statementrec.com/app#appuploadfiles/39fb5ca8-cbde-602a-8f2d-bab25464fb20" TargetMode="External"/><Relationship Id="rId458" Type="http://schemas.openxmlformats.org/officeDocument/2006/relationships/hyperlink" Target="https://app-web.statementrec.com/app#appuploadfiles/39fb6670-32b3-cc6d-d6ae-37cb2527ff8b" TargetMode="External"/><Relationship Id="rId459" Type="http://schemas.openxmlformats.org/officeDocument/2006/relationships/hyperlink" Target="https://app-web.statementrec.com/app#appuploadfiles/39fb6ba2-0ca2-e214-12f1-64ef1594eb36" TargetMode="External"/><Relationship Id="rId460" Type="http://schemas.openxmlformats.org/officeDocument/2006/relationships/hyperlink" Target="https://app-web.statementrec.com/app#appuploadfiles/39fb6c98-8c90-cc4e-781c-453029dee23f" TargetMode="External"/><Relationship Id="rId461" Type="http://schemas.openxmlformats.org/officeDocument/2006/relationships/hyperlink" Target="https://app-web.statementrec.com/app#appuploadfiles/39fb6d3e-befe-e740-a173-7d8c524ee5e8" TargetMode="External"/><Relationship Id="rId462" Type="http://schemas.openxmlformats.org/officeDocument/2006/relationships/hyperlink" Target="https://app-web.statementrec.com/app#appuploadfiles/39fb758d-4b8e-bb8f-8c40-ead35a8e3f83" TargetMode="External"/><Relationship Id="rId463" Type="http://schemas.openxmlformats.org/officeDocument/2006/relationships/hyperlink" Target="https://app-web.statementrec.com/app#appuploadfiles/39fb76c6-9644-0099-9a5f-ca84cb957b0c" TargetMode="External"/><Relationship Id="rId464" Type="http://schemas.openxmlformats.org/officeDocument/2006/relationships/hyperlink" Target="https://app-web.statementrec.com/app#appuploadfiles/39fb7ad5-f693-3c21-dd9c-36519ccdad02" TargetMode="External"/><Relationship Id="rId465" Type="http://schemas.openxmlformats.org/officeDocument/2006/relationships/hyperlink" Target="https://app-web.statementrec.com/app#appuploadfiles/39fb7b7e-0c0b-7ca7-43bb-186346271646" TargetMode="External"/><Relationship Id="rId466" Type="http://schemas.openxmlformats.org/officeDocument/2006/relationships/hyperlink" Target="https://app-web.statementrec.com/app#appuploadfiles/39fb814b-5b37-d369-7977-e0560953cbcf" TargetMode="External"/><Relationship Id="rId467" Type="http://schemas.openxmlformats.org/officeDocument/2006/relationships/hyperlink" Target="https://app-web.statementrec.com/app#appuploadfiles/39fb9420-1380-2d82-5660-a91c9a4d719a" TargetMode="External"/><Relationship Id="rId468" Type="http://schemas.openxmlformats.org/officeDocument/2006/relationships/hyperlink" Target="https://app-web.statementrec.com/app#appuploadfiles/39fb95b7-b21e-7b07-7c3d-633c5bfb64f4" TargetMode="External"/><Relationship Id="rId469" Type="http://schemas.openxmlformats.org/officeDocument/2006/relationships/hyperlink" Target="https://app-web.statementrec.com/app#appuploadfiles/39fb9a13-cd3b-d7fa-da9f-82152a7e9f67" TargetMode="External"/><Relationship Id="rId470" Type="http://schemas.openxmlformats.org/officeDocument/2006/relationships/hyperlink" Target="https://app-web.statementrec.com/app#appuploadfiles/39fb9b85-dcca-dbb7-ac94-1ab999e9bd13" TargetMode="External"/><Relationship Id="rId471" Type="http://schemas.openxmlformats.org/officeDocument/2006/relationships/hyperlink" Target="https://app-web.statementrec.com/app#appuploadfiles/39fb9e50-4d7a-ce67-802a-9b70f2379b2e" TargetMode="External"/><Relationship Id="rId472" Type="http://schemas.openxmlformats.org/officeDocument/2006/relationships/hyperlink" Target="https://app-web.statementrec.com/app#appuploadfiles/39fbc851-31ed-0232-6860-9fbfb3303f5f" TargetMode="External"/><Relationship Id="rId473" Type="http://schemas.openxmlformats.org/officeDocument/2006/relationships/hyperlink" Target="https://app-web.statementrec.com/app#appuploadfiles/39fbc948-4536-21a4-fc3f-a1880d63e2ab" TargetMode="External"/><Relationship Id="rId474" Type="http://schemas.openxmlformats.org/officeDocument/2006/relationships/hyperlink" Target="https://app-web.statementrec.com/app#appuploadfiles/39fbe23b-4fc8-1bcf-3b40-6cca868c26bf" TargetMode="External"/><Relationship Id="rId475" Type="http://schemas.openxmlformats.org/officeDocument/2006/relationships/hyperlink" Target="https://app-web.statementrec.com/app#appuploadfiles/39fbfb5b-0bcc-92a1-375f-24a13142600a" TargetMode="External"/><Relationship Id="rId476" Type="http://schemas.openxmlformats.org/officeDocument/2006/relationships/hyperlink" Target="https://app-web.statementrec.com/app#appuploadfiles/39fbfcdc-cad6-2921-3e73-9efe489d7f84" TargetMode="External"/><Relationship Id="rId477" Type="http://schemas.openxmlformats.org/officeDocument/2006/relationships/hyperlink" Target="https://app-web.statementrec.com/app#appuploadfiles/39fc071a-bdc3-c246-1e18-b78881c28520" TargetMode="External"/><Relationship Id="rId478" Type="http://schemas.openxmlformats.org/officeDocument/2006/relationships/hyperlink" Target="https://app-web.statementrec.com/app#appuploadfiles/39fc2771-83c3-4b88-15e4-57d7cc54325d" TargetMode="External"/><Relationship Id="rId479" Type="http://schemas.openxmlformats.org/officeDocument/2006/relationships/hyperlink" Target="https://app-web.statementrec.com/app#appuploadfiles/39fc2b0f-1e35-2fdc-3fc7-856ef8df137a" TargetMode="External"/><Relationship Id="rId480" Type="http://schemas.openxmlformats.org/officeDocument/2006/relationships/hyperlink" Target="https://app-web.statementrec.com/app#appuploadfiles/39fc2efc-4444-4c83-6c82-59a416fa19ab" TargetMode="External"/><Relationship Id="rId481" Type="http://schemas.openxmlformats.org/officeDocument/2006/relationships/hyperlink" Target="https://app-web.statementrec.com/app#appuploadfiles/39fc435a-b313-48d4-5664-b08868a55e87" TargetMode="External"/><Relationship Id="rId482" Type="http://schemas.openxmlformats.org/officeDocument/2006/relationships/hyperlink" Target="https://app-web.statementrec.com/app#appuploadfiles/39fc48d7-49ee-d496-f0ff-3ec63e0b3078" TargetMode="External"/><Relationship Id="rId483" Type="http://schemas.openxmlformats.org/officeDocument/2006/relationships/hyperlink" Target="https://app-web.statementrec.com/app#appuploadfiles/39fc4d5d-5b45-7051-a27a-82831c3dea77" TargetMode="External"/><Relationship Id="rId484" Type="http://schemas.openxmlformats.org/officeDocument/2006/relationships/hyperlink" Target="https://app-web.statementrec.com/app#appuploadfiles/39fc4fcb-5e0f-7b33-745c-c9850f9d7a57" TargetMode="External"/><Relationship Id="rId485" Type="http://schemas.openxmlformats.org/officeDocument/2006/relationships/hyperlink" Target="https://app-web.statementrec.com/app#appuploadfiles/39fc5389-7857-054a-4d33-d055a34028e1" TargetMode="External"/><Relationship Id="rId486" Type="http://schemas.openxmlformats.org/officeDocument/2006/relationships/hyperlink" Target="https://app-web.statementrec.com/app#appuploadfiles/39fc593c-9dec-45c5-65fa-61d3c6e5a13f" TargetMode="External"/><Relationship Id="rId487" Type="http://schemas.openxmlformats.org/officeDocument/2006/relationships/hyperlink" Target="https://app-web.statementrec.com/app#appuploadfiles/39fc6ccf-102e-59e7-6daf-0328b96c78e8" TargetMode="External"/><Relationship Id="rId488" Type="http://schemas.openxmlformats.org/officeDocument/2006/relationships/hyperlink" Target="https://app-web.statementrec.com/app#appuploadfiles/39fc6cd2-dfdb-44b0-611e-1b90e8a77147" TargetMode="External"/><Relationship Id="rId489" Type="http://schemas.openxmlformats.org/officeDocument/2006/relationships/hyperlink" Target="https://app-web.statementrec.com/app#appuploadfiles/39fc6e30-f9b1-4828-5d5f-20aedad7a430" TargetMode="External"/><Relationship Id="rId490" Type="http://schemas.openxmlformats.org/officeDocument/2006/relationships/hyperlink" Target="https://app-web.statementrec.com/app#appuploadfiles/39fc703e-c145-3a13-d646-5603bafb4380" TargetMode="External"/><Relationship Id="rId491" Type="http://schemas.openxmlformats.org/officeDocument/2006/relationships/hyperlink" Target="https://app-web.statementrec.com/app#appuploadfiles/39fc734d-0ac2-22fa-522a-25dbf72ddbe6" TargetMode="External"/><Relationship Id="rId492" Type="http://schemas.openxmlformats.org/officeDocument/2006/relationships/hyperlink" Target="https://app-web.statementrec.com/app#appuploadfiles/39fc7827-c940-7586-1cbe-dac68aaecbd2" TargetMode="External"/><Relationship Id="rId493" Type="http://schemas.openxmlformats.org/officeDocument/2006/relationships/hyperlink" Target="https://app-web.statementrec.com/app#appuploadfiles/39fc8bc3-6b74-81b6-7334-d61d2fa6d11f" TargetMode="External"/><Relationship Id="rId494" Type="http://schemas.openxmlformats.org/officeDocument/2006/relationships/hyperlink" Target="https://app-web.statementrec.com/app#appuploadfiles/39fc8c8a-fa32-5120-1259-68b66307c0d4" TargetMode="External"/><Relationship Id="rId495" Type="http://schemas.openxmlformats.org/officeDocument/2006/relationships/hyperlink" Target="https://app-web.statementrec.com/app#appuploadfiles/39fc8d1a-41a9-3b78-2375-e0a826dbf59f" TargetMode="External"/><Relationship Id="rId496" Type="http://schemas.openxmlformats.org/officeDocument/2006/relationships/hyperlink" Target="https://app-web.statementrec.com/app#appuploadfiles/39fc90b0-5406-1d75-3a2c-ebc5c096ef0c" TargetMode="External"/><Relationship Id="rId497" Type="http://schemas.openxmlformats.org/officeDocument/2006/relationships/hyperlink" Target="https://app-web.statementrec.com/app#appuploadfiles/39fc9254-d7d3-ef1d-4abb-12893bd3cf06" TargetMode="External"/><Relationship Id="rId498" Type="http://schemas.openxmlformats.org/officeDocument/2006/relationships/hyperlink" Target="https://app-web.statementrec.com/app#appuploadfiles/39fc9638-cfbe-d773-51f4-c8a03715847b" TargetMode="External"/><Relationship Id="rId499" Type="http://schemas.openxmlformats.org/officeDocument/2006/relationships/hyperlink" Target="https://app-web.statementrec.com/app#appuploadfiles/39fc99a1-f556-909a-5238-62c7d0456c7e" TargetMode="External"/><Relationship Id="rId500" Type="http://schemas.openxmlformats.org/officeDocument/2006/relationships/hyperlink" Target="https://app-web.statementrec.com/app#appuploadfiles/39fca702-8d82-8561-66ba-65bb07ba36a9" TargetMode="External"/><Relationship Id="rId501" Type="http://schemas.openxmlformats.org/officeDocument/2006/relationships/hyperlink" Target="https://app-web.statementrec.com/app#appuploadfiles/39fcb7a0-c65a-22ae-8c33-1b1776adea69" TargetMode="External"/><Relationship Id="rId502" Type="http://schemas.openxmlformats.org/officeDocument/2006/relationships/hyperlink" Target="https://app-web.statementrec.com/app#appuploadfiles/39fcc023-ab97-7212-8efc-efb23387663a" TargetMode="External"/><Relationship Id="rId503" Type="http://schemas.openxmlformats.org/officeDocument/2006/relationships/hyperlink" Target="https://app-web.statementrec.com/app#appuploadfiles/39fcc053-e65a-032c-dcf3-0fa7e68ee355" TargetMode="External"/><Relationship Id="rId504" Type="http://schemas.openxmlformats.org/officeDocument/2006/relationships/hyperlink" Target="https://app-web.statementrec.com/app#appuploadfiles/39fcd97e-bcda-6142-0fbf-d8990efd5e94" TargetMode="External"/><Relationship Id="rId505" Type="http://schemas.openxmlformats.org/officeDocument/2006/relationships/hyperlink" Target="https://app-web.statementrec.com/app#appuploadfiles/39fcda46-48cb-7d60-3592-530d9921fa32" TargetMode="External"/><Relationship Id="rId506" Type="http://schemas.openxmlformats.org/officeDocument/2006/relationships/hyperlink" Target="https://app-web.statementrec.com/app#appuploadfiles/39fcdefd-0327-3aa2-7838-83e989be5e3d" TargetMode="External"/><Relationship Id="rId507" Type="http://schemas.openxmlformats.org/officeDocument/2006/relationships/hyperlink" Target="https://app-web.statementrec.com/app#appuploadfiles/39fce505-0246-d294-49bd-48926008713f" TargetMode="External"/><Relationship Id="rId508" Type="http://schemas.openxmlformats.org/officeDocument/2006/relationships/hyperlink" Target="https://app-web.statementrec.com/app#appuploadfiles/39fce947-9e7c-2391-6c9b-7ddd98e213bb" TargetMode="External"/><Relationship Id="rId509" Type="http://schemas.openxmlformats.org/officeDocument/2006/relationships/hyperlink" Target="https://app-web.statementrec.com/app#appuploadfiles/39fcee6f-84d0-f8c5-9968-0e9c3640304b" TargetMode="External"/><Relationship Id="rId510" Type="http://schemas.openxmlformats.org/officeDocument/2006/relationships/hyperlink" Target="https://app-web.statementrec.com/app#appuploadfiles/39fcf7cf-d859-f0f2-2abe-730a2a029b7a" TargetMode="External"/><Relationship Id="rId511" Type="http://schemas.openxmlformats.org/officeDocument/2006/relationships/hyperlink" Target="https://app-web.statementrec.com/app#appuploadfiles/39fcf8ad-ee68-b461-b7f2-a8f7b91f50cc" TargetMode="External"/><Relationship Id="rId512" Type="http://schemas.openxmlformats.org/officeDocument/2006/relationships/hyperlink" Target="https://app-web.statementrec.com/app#appuploadfiles/39fd07b1-5d4f-60ea-6915-a80a4a4a4456" TargetMode="External"/><Relationship Id="rId513" Type="http://schemas.openxmlformats.org/officeDocument/2006/relationships/hyperlink" Target="https://app-web.statementrec.com/app#appuploadfiles/39fd08b0-a099-8464-27fb-3968fe4e9643" TargetMode="External"/><Relationship Id="rId514" Type="http://schemas.openxmlformats.org/officeDocument/2006/relationships/hyperlink" Target="https://app-web.statementrec.com/app#appuploadfiles/39fd0bff-c504-40d9-6897-9824b8413fc7" TargetMode="External"/><Relationship Id="rId515" Type="http://schemas.openxmlformats.org/officeDocument/2006/relationships/hyperlink" Target="https://app-web.statementrec.com/app#appuploadfiles/39fd0c96-9361-a336-9392-387237d29997" TargetMode="External"/><Relationship Id="rId516" Type="http://schemas.openxmlformats.org/officeDocument/2006/relationships/hyperlink" Target="https://app-web.statementrec.com/app#appuploadfiles/39fd1bf6-46a4-c0b4-66df-06f53fd8cc3f" TargetMode="External"/><Relationship Id="rId517" Type="http://schemas.openxmlformats.org/officeDocument/2006/relationships/hyperlink" Target="https://app-web.statementrec.com/app#appuploadfiles/39fd1c04-117d-0572-cf4a-f7ecefc1fb8b" TargetMode="External"/><Relationship Id="rId518" Type="http://schemas.openxmlformats.org/officeDocument/2006/relationships/hyperlink" Target="https://app-web.statementrec.com/app#appuploadfiles/39fd2179-1666-5e06-11da-ec822bec5dfc" TargetMode="External"/><Relationship Id="rId519" Type="http://schemas.openxmlformats.org/officeDocument/2006/relationships/hyperlink" Target="https://app-web.statementrec.com/app#appuploadfiles/39fd21b5-3c89-fac4-61f9-efce38bd4976" TargetMode="External"/><Relationship Id="rId520" Type="http://schemas.openxmlformats.org/officeDocument/2006/relationships/hyperlink" Target="https://app-web.statementrec.com/app#appuploadfiles/39fd2754-b751-14e7-0457-6bb2804a23eb" TargetMode="External"/><Relationship Id="rId521" Type="http://schemas.openxmlformats.org/officeDocument/2006/relationships/hyperlink" Target="https://app-web.statementrec.com/app#appuploadfiles/39fd2bbc-a76b-9917-6c4e-a94cd4216bf6" TargetMode="External"/><Relationship Id="rId522" Type="http://schemas.openxmlformats.org/officeDocument/2006/relationships/hyperlink" Target="https://app-web.statementrec.com/app#appuploadfiles/39fd2c2e-41c4-1433-0058-589c0ff0793c" TargetMode="External"/><Relationship Id="rId523" Type="http://schemas.openxmlformats.org/officeDocument/2006/relationships/hyperlink" Target="https://app-web.statementrec.com/app#appuploadfiles/39fd2cdc-8e2a-53c9-ba0a-518a82f2a242" TargetMode="External"/><Relationship Id="rId524" Type="http://schemas.openxmlformats.org/officeDocument/2006/relationships/hyperlink" Target="https://app-web.statementrec.com/app#appuploadfiles/39fd30c4-a8f6-8157-3aef-37daee5ecad7" TargetMode="External"/><Relationship Id="rId525" Type="http://schemas.openxmlformats.org/officeDocument/2006/relationships/hyperlink" Target="https://app-web.statementrec.com/app#appuploadfiles/39fd3108-537f-13cb-04ef-b9c0b8ac4637" TargetMode="External"/><Relationship Id="rId526" Type="http://schemas.openxmlformats.org/officeDocument/2006/relationships/hyperlink" Target="https://app-web.statementrec.com/app#appuploadfiles/39fd31c4-7f5f-c3df-acee-35c3b8c23823" TargetMode="External"/><Relationship Id="rId527" Type="http://schemas.openxmlformats.org/officeDocument/2006/relationships/hyperlink" Target="https://app-web.statementrec.com/app#appuploadfiles/39fd4056-461c-dc8e-57c9-bdbb6376bcce" TargetMode="External"/><Relationship Id="rId528" Type="http://schemas.openxmlformats.org/officeDocument/2006/relationships/hyperlink" Target="https://app-web.statementrec.com/app#appuploadfiles/39fd4061-98a1-1a74-6fc2-fe28acbd15eb" TargetMode="External"/><Relationship Id="rId529" Type="http://schemas.openxmlformats.org/officeDocument/2006/relationships/hyperlink" Target="https://app-web.statementrec.com/app#appuploadfiles/39fd4a7e-5b8b-fb95-a8de-88b0f8d9563f" TargetMode="External"/><Relationship Id="rId530" Type="http://schemas.openxmlformats.org/officeDocument/2006/relationships/hyperlink" Target="https://app-web.statementrec.com/app#appuploadfiles/39fd4fd4-e706-11d8-2ab8-a679ee658977" TargetMode="External"/><Relationship Id="rId531" Type="http://schemas.openxmlformats.org/officeDocument/2006/relationships/hyperlink" Target="https://app-web.statementrec.com/app#appuploadfiles/39fd4fd5-7ebe-176f-f449-b03271a24e71" TargetMode="External"/><Relationship Id="rId532" Type="http://schemas.openxmlformats.org/officeDocument/2006/relationships/hyperlink" Target="https://app-web.statementrec.com/app#appuploadfiles/39fd63f5-0005-459b-a568-0a0f9109f5e4" TargetMode="External"/><Relationship Id="rId533" Type="http://schemas.openxmlformats.org/officeDocument/2006/relationships/hyperlink" Target="https://app-web.statementrec.com/app#appuploadfiles/39fd68b1-5a8a-4c13-9db8-5bc64bf8013d" TargetMode="External"/><Relationship Id="rId534" Type="http://schemas.openxmlformats.org/officeDocument/2006/relationships/hyperlink" Target="https://app-web.statementrec.com/app#appuploadfiles/39fd6fa4-d97f-51d4-a565-1fad286a7259" TargetMode="External"/><Relationship Id="rId535" Type="http://schemas.openxmlformats.org/officeDocument/2006/relationships/hyperlink" Target="https://app-web.statementrec.com/app#appuploadfiles/39fd87b8-f02b-2401-250e-51c8d6a76ba9" TargetMode="External"/><Relationship Id="rId536" Type="http://schemas.openxmlformats.org/officeDocument/2006/relationships/hyperlink" Target="https://app-web.statementrec.com/app#appuploadfiles/39fd897e-1969-b693-df2a-6c2b0255af04" TargetMode="External"/><Relationship Id="rId537" Type="http://schemas.openxmlformats.org/officeDocument/2006/relationships/hyperlink" Target="https://app-web.statementrec.com/app#appuploadfiles/39fd8d3f-142b-d550-b737-83dc979e0ed4" TargetMode="External"/><Relationship Id="rId538" Type="http://schemas.openxmlformats.org/officeDocument/2006/relationships/hyperlink" Target="https://app-web.statementrec.com/app#appuploadfiles/39fd8e71-f4e2-f337-c492-b71611b3e64e" TargetMode="External"/><Relationship Id="rId539" Type="http://schemas.openxmlformats.org/officeDocument/2006/relationships/hyperlink" Target="https://app-web.statementrec.com/app#appuploadfiles/39fd9b89-b785-12e5-f338-f9277f1dc569" TargetMode="External"/><Relationship Id="rId540" Type="http://schemas.openxmlformats.org/officeDocument/2006/relationships/hyperlink" Target="https://app-web.statementrec.com/app#appuploadfiles/39fd9ce9-4640-7333-df9d-d37558b253f5" TargetMode="External"/><Relationship Id="rId541" Type="http://schemas.openxmlformats.org/officeDocument/2006/relationships/hyperlink" Target="https://app-web.statementrec.com/app#appuploadfiles/39fda99d-00d9-0279-8a9e-577f5b83ff5a" TargetMode="External"/><Relationship Id="rId542" Type="http://schemas.openxmlformats.org/officeDocument/2006/relationships/hyperlink" Target="https://app-web.statementrec.com/app#appuploadfiles/39fdac50-acd5-1253-f7f0-f8516aa78d61" TargetMode="External"/><Relationship Id="rId543" Type="http://schemas.openxmlformats.org/officeDocument/2006/relationships/hyperlink" Target="https://app-web.statementrec.com/app#appuploadfiles/39fdac5f-a935-5835-877c-63a611c72e96" TargetMode="External"/><Relationship Id="rId544" Type="http://schemas.openxmlformats.org/officeDocument/2006/relationships/hyperlink" Target="https://app-web.statementrec.com/app#appuploadfiles/39fdac7f-fab6-0e7a-542a-c2bbbabf15aa" TargetMode="External"/><Relationship Id="rId545" Type="http://schemas.openxmlformats.org/officeDocument/2006/relationships/hyperlink" Target="https://app-web.statementrec.com/app#appuploadfiles/39fdb126-5193-fdec-ec2e-0ff442ceee4d" TargetMode="External"/><Relationship Id="rId546" Type="http://schemas.openxmlformats.org/officeDocument/2006/relationships/hyperlink" Target="https://app-web.statementrec.com/app#appuploadfiles/39fdb138-97b7-f5f4-4d66-2141dea82bff" TargetMode="External"/><Relationship Id="rId547" Type="http://schemas.openxmlformats.org/officeDocument/2006/relationships/hyperlink" Target="https://app-web.statementrec.com/app#appuploadfiles/39fdb290-6d87-50de-7ba9-a72093fcb04c" TargetMode="External"/><Relationship Id="rId548" Type="http://schemas.openxmlformats.org/officeDocument/2006/relationships/hyperlink" Target="https://app-web.statementrec.com/app#appuploadfiles/39fdb36c-d913-baeb-c4a5-b26323069006" TargetMode="External"/><Relationship Id="rId549" Type="http://schemas.openxmlformats.org/officeDocument/2006/relationships/hyperlink" Target="https://app-web.statementrec.com/app#appuploadfiles/39fdb631-ea63-56ec-6a2a-e54e702de75b" TargetMode="External"/><Relationship Id="rId550" Type="http://schemas.openxmlformats.org/officeDocument/2006/relationships/hyperlink" Target="https://app-web.statementrec.com/app#appuploadfiles/39fdb736-afb2-788f-2483-f717db3984f4" TargetMode="External"/><Relationship Id="rId551" Type="http://schemas.openxmlformats.org/officeDocument/2006/relationships/hyperlink" Target="https://app-web.statementrec.com/app#appuploadfiles/39fdc08a-3405-3199-4704-6fdf4aae4e1a" TargetMode="External"/><Relationship Id="rId552" Type="http://schemas.openxmlformats.org/officeDocument/2006/relationships/hyperlink" Target="https://app-web.statementrec.com/app#appuploadfiles/39fdc0c2-8cbf-b617-c66a-e7de03b92e5d" TargetMode="External"/><Relationship Id="rId553" Type="http://schemas.openxmlformats.org/officeDocument/2006/relationships/hyperlink" Target="https://app-web.statementrec.com/app#appuploadfiles/39fdc102-8b54-f387-e6c5-893e4c13a116" TargetMode="External"/><Relationship Id="rId554" Type="http://schemas.openxmlformats.org/officeDocument/2006/relationships/hyperlink" Target="https://app-web.statementrec.com/app#appuploadfiles/39fdd58c-8a01-da8e-7218-11afab47eec1" TargetMode="External"/><Relationship Id="rId555" Type="http://schemas.openxmlformats.org/officeDocument/2006/relationships/hyperlink" Target="https://app-web.statementrec.com/app#appuploadfiles/39fdd643-f6b6-c80d-5571-f08786deec37" TargetMode="External"/><Relationship Id="rId556" Type="http://schemas.openxmlformats.org/officeDocument/2006/relationships/hyperlink" Target="https://app-web.statementrec.com/app#appuploadfiles/39fdd685-a9a7-feab-82a9-05c7ce8fe1e6" TargetMode="External"/><Relationship Id="rId557" Type="http://schemas.openxmlformats.org/officeDocument/2006/relationships/hyperlink" Target="https://app-web.statementrec.com/app#appuploadfiles/39fddb65-f60d-d2aa-dde0-bd7a1b8c3e39" TargetMode="External"/><Relationship Id="rId558" Type="http://schemas.openxmlformats.org/officeDocument/2006/relationships/hyperlink" Target="https://app-web.statementrec.com/app#appuploadfiles/39fdf406-7087-5704-4b52-931a3cd42c12" TargetMode="External"/><Relationship Id="rId559" Type="http://schemas.openxmlformats.org/officeDocument/2006/relationships/hyperlink" Target="https://app-web.statementrec.com/app#appuploadfiles/39fdf580-4772-d4b3-a881-1dac24bd5586" TargetMode="External"/><Relationship Id="rId560" Type="http://schemas.openxmlformats.org/officeDocument/2006/relationships/hyperlink" Target="https://app-web.statementrec.com/app#appuploadfiles/39fdf642-26e1-a429-6dc6-7ad1b3a7fb10" TargetMode="External"/><Relationship Id="rId561" Type="http://schemas.openxmlformats.org/officeDocument/2006/relationships/hyperlink" Target="https://app-web.statementrec.com/app#appuploadfiles/39fdf977-feaa-96e3-5261-260143488130" TargetMode="External"/><Relationship Id="rId562" Type="http://schemas.openxmlformats.org/officeDocument/2006/relationships/hyperlink" Target="https://app-web.statementrec.com/app#appuploadfiles/39fdf9ed-4dc0-8788-f5e2-a8ef69a8867b" TargetMode="External"/><Relationship Id="rId563" Type="http://schemas.openxmlformats.org/officeDocument/2006/relationships/hyperlink" Target="https://app-web.statementrec.com/app#appuploadfiles/39fdffec-3a74-e482-a745-d4fea90f585a" TargetMode="External"/><Relationship Id="rId564" Type="http://schemas.openxmlformats.org/officeDocument/2006/relationships/hyperlink" Target="https://app-web.statementrec.com/app#appuploadfiles/39fe1dbe-c65a-b8db-efcd-0e9f5c65e508" TargetMode="External"/><Relationship Id="rId565" Type="http://schemas.openxmlformats.org/officeDocument/2006/relationships/hyperlink" Target="https://app-web.statementrec.com/app#appuploadfiles/39fe2310-5cc7-c029-957c-8858905bdf44" TargetMode="External"/><Relationship Id="rId566" Type="http://schemas.openxmlformats.org/officeDocument/2006/relationships/hyperlink" Target="https://app-web.statementrec.com/app#appuploadfiles/39fe27cb-2efc-1a1d-140d-a96e6632c106" TargetMode="External"/><Relationship Id="rId567" Type="http://schemas.openxmlformats.org/officeDocument/2006/relationships/hyperlink" Target="https://app-web.statementrec.com/app#appuploadfiles/39fe2cca-f7d2-1f6e-94db-e19c6ae9b7fb" TargetMode="External"/><Relationship Id="rId568" Type="http://schemas.openxmlformats.org/officeDocument/2006/relationships/hyperlink" Target="https://app-web.statementrec.com/app#appuploadfiles/39fe2d59-032a-8a3f-0bc9-b0f6fa38136e" TargetMode="External"/><Relationship Id="rId569" Type="http://schemas.openxmlformats.org/officeDocument/2006/relationships/hyperlink" Target="https://app-web.statementrec.com/app#appuploadfiles/39fe4795-f4cc-a150-962b-be1637f53785" TargetMode="External"/><Relationship Id="rId570" Type="http://schemas.openxmlformats.org/officeDocument/2006/relationships/hyperlink" Target="https://app-web.statementrec.com/app#appuploadfiles/39fe4b99-510c-152d-1ec3-ef9b81df3bfe" TargetMode="External"/><Relationship Id="rId571" Type="http://schemas.openxmlformats.org/officeDocument/2006/relationships/hyperlink" Target="https://app-web.statementrec.com/app#appuploadfiles/39fe511c-5de9-9a58-08bc-94fee4342a46" TargetMode="External"/><Relationship Id="rId572" Type="http://schemas.openxmlformats.org/officeDocument/2006/relationships/hyperlink" Target="https://app-web.statementrec.com/app#appuploadfiles/39fe6088-ae5e-d1e9-fcbd-5a923c44d29b" TargetMode="External"/><Relationship Id="rId573" Type="http://schemas.openxmlformats.org/officeDocument/2006/relationships/hyperlink" Target="https://app-web.statementrec.com/app#appuploadfiles/39fe6099-277f-01fa-48fa-c7c5081ce4f3" TargetMode="External"/><Relationship Id="rId574" Type="http://schemas.openxmlformats.org/officeDocument/2006/relationships/hyperlink" Target="https://app-web.statementrec.com/app#appuploadfiles/39fe6aa7-1baa-90ec-2cb7-c11d31d045f0" TargetMode="External"/><Relationship Id="rId575" Type="http://schemas.openxmlformats.org/officeDocument/2006/relationships/hyperlink" Target="https://app-web.statementrec.com/app#appuploadfiles/39fe6fb4-39aa-b3b8-b623-4dad92550894" TargetMode="External"/><Relationship Id="rId576" Type="http://schemas.openxmlformats.org/officeDocument/2006/relationships/hyperlink" Target="https://app-web.statementrec.com/app#appuploadfiles/39fe7213-d806-6d18-217a-556efecca066" TargetMode="External"/><Relationship Id="rId577" Type="http://schemas.openxmlformats.org/officeDocument/2006/relationships/hyperlink" Target="https://app-web.statementrec.com/app#appuploadfiles/39fe760a-59a0-69e9-179f-101878bc4674" TargetMode="External"/><Relationship Id="rId578" Type="http://schemas.openxmlformats.org/officeDocument/2006/relationships/hyperlink" Target="https://app-web.statementrec.com/app#appuploadfiles/39fe856f-7e2a-d872-8a90-26790b6efc1b" TargetMode="External"/><Relationship Id="rId579" Type="http://schemas.openxmlformats.org/officeDocument/2006/relationships/hyperlink" Target="https://app-web.statementrec.com/app#appuploadfiles/39fe85ce-ebd5-3c82-314a-378ca7d714d7" TargetMode="External"/><Relationship Id="rId580" Type="http://schemas.openxmlformats.org/officeDocument/2006/relationships/hyperlink" Target="https://app-web.statementrec.com/app#appuploadfiles/39fe8dae-2f35-fe8f-bb41-da0a5d17f7c5" TargetMode="External"/><Relationship Id="rId581" Type="http://schemas.openxmlformats.org/officeDocument/2006/relationships/hyperlink" Target="https://app-web.statementrec.com/app#appuploadfiles/39fe8f39-a207-c126-adbf-088d621387ae" TargetMode="External"/><Relationship Id="rId582" Type="http://schemas.openxmlformats.org/officeDocument/2006/relationships/hyperlink" Target="https://app-web.statementrec.com/app#appuploadfiles/39fead50-2851-c2b4-7118-2ea9e60e59bb" TargetMode="External"/><Relationship Id="rId583" Type="http://schemas.openxmlformats.org/officeDocument/2006/relationships/hyperlink" Target="https://app-web.statementrec.com/app#appuploadfiles/39fecd17-c339-3549-8168-b2f836b8ecef" TargetMode="External"/><Relationship Id="rId584" Type="http://schemas.openxmlformats.org/officeDocument/2006/relationships/hyperlink" Target="https://app-web.statementrec.com/app#appuploadfiles/39fed17a-a0b5-e8a3-b526-d43165df44f8" TargetMode="External"/><Relationship Id="rId585" Type="http://schemas.openxmlformats.org/officeDocument/2006/relationships/hyperlink" Target="https://app-web.statementrec.com/app#appuploadfiles/39fed2df-f502-a0d7-b9d1-eaafbca6aa08" TargetMode="External"/><Relationship Id="rId586" Type="http://schemas.openxmlformats.org/officeDocument/2006/relationships/hyperlink" Target="https://app-web.statementrec.com/app#appuploadfiles/39fedc58-dc92-77c7-832f-7990cc7c88db" TargetMode="External"/><Relationship Id="rId587" Type="http://schemas.openxmlformats.org/officeDocument/2006/relationships/hyperlink" Target="https://app-web.statementrec.com/app#appuploadfiles/39fee255-daba-36f7-51a1-9576983521db" TargetMode="External"/><Relationship Id="rId588" Type="http://schemas.openxmlformats.org/officeDocument/2006/relationships/hyperlink" Target="https://app-web.statementrec.com/app#appuploadfiles/39fef34c-c5e4-d88d-a657-72a877018d67" TargetMode="External"/><Relationship Id="rId589" Type="http://schemas.openxmlformats.org/officeDocument/2006/relationships/hyperlink" Target="https://app-web.statementrec.com/app#appuploadfiles/39fefc20-0d96-4323-c0ae-ca3d650cfa76" TargetMode="External"/><Relationship Id="rId590" Type="http://schemas.openxmlformats.org/officeDocument/2006/relationships/hyperlink" Target="https://app-web.statementrec.com/app#appuploadfiles/39ff0129-1d62-5285-7bca-9da47766bd7b" TargetMode="External"/><Relationship Id="rId591" Type="http://schemas.openxmlformats.org/officeDocument/2006/relationships/hyperlink" Target="https://app-web.statementrec.com/app#appuploadfiles/39ff01a9-9704-66d5-2611-76de8c7fb745" TargetMode="External"/><Relationship Id="rId592" Type="http://schemas.openxmlformats.org/officeDocument/2006/relationships/hyperlink" Target="https://app-web.statementrec.com/app#appuploadfiles/39ff051b-0283-d7f5-7cde-d0c4b3ebc626" TargetMode="External"/><Relationship Id="rId593" Type="http://schemas.openxmlformats.org/officeDocument/2006/relationships/hyperlink" Target="https://app-web.statementrec.com/app#appuploadfiles/39ff2203-5b9b-4b49-3619-7793a34b948e" TargetMode="External"/><Relationship Id="rId594" Type="http://schemas.openxmlformats.org/officeDocument/2006/relationships/hyperlink" Target="https://app-web.statementrec.com/app#appuploadfiles/39ff33d6-6f48-3425-e9ba-b8984eef027e" TargetMode="External"/><Relationship Id="rId595" Type="http://schemas.openxmlformats.org/officeDocument/2006/relationships/hyperlink" Target="https://app-web.statementrec.com/app#appuploadfiles/39ff388c-1c5f-4fac-4726-39b136bb8b8d" TargetMode="External"/><Relationship Id="rId596" Type="http://schemas.openxmlformats.org/officeDocument/2006/relationships/hyperlink" Target="https://app-web.statementrec.com/app#appuploadfiles/39ff38ca-f10d-e238-5959-19f1fdbcc861" TargetMode="External"/><Relationship Id="rId597" Type="http://schemas.openxmlformats.org/officeDocument/2006/relationships/hyperlink" Target="https://app-web.statementrec.com/app#appuploadfiles/39ff39ab-fd57-ff8f-a2e6-ed7a48955d78" TargetMode="External"/><Relationship Id="rId598" Type="http://schemas.openxmlformats.org/officeDocument/2006/relationships/hyperlink" Target="https://app-web.statementrec.com/app#appuploadfiles/39ff3d8a-4500-1b87-3e06-5f0bf65c7c11" TargetMode="External"/><Relationship Id="rId599" Type="http://schemas.openxmlformats.org/officeDocument/2006/relationships/hyperlink" Target="https://app-web.statementrec.com/app#appuploadfiles/39ff48d1-3b50-4999-3c55-9d7625e7bbf0" TargetMode="External"/><Relationship Id="rId600" Type="http://schemas.openxmlformats.org/officeDocument/2006/relationships/hyperlink" Target="https://app-web.statementrec.com/app#appuploadfiles/39ff49a5-5cb7-431f-bac9-b9af23eed6bc" TargetMode="External"/><Relationship Id="rId601" Type="http://schemas.openxmlformats.org/officeDocument/2006/relationships/hyperlink" Target="https://app-web.statementrec.com/app#appuploadfiles/39ff4dc6-8a95-4c0e-9d1e-8d8fc0fc6fd7" TargetMode="External"/><Relationship Id="rId602" Type="http://schemas.openxmlformats.org/officeDocument/2006/relationships/hyperlink" Target="https://app-web.statementrec.com/app#appuploadfiles/39ff4e26-e948-195b-5f7a-1334aa1b8e2f" TargetMode="External"/><Relationship Id="rId603" Type="http://schemas.openxmlformats.org/officeDocument/2006/relationships/hyperlink" Target="https://app-web.statementrec.com/app#appuploadfiles/39ff5cda-b7d0-b250-fdb4-4d308ecc832e" TargetMode="External"/><Relationship Id="rId604" Type="http://schemas.openxmlformats.org/officeDocument/2006/relationships/hyperlink" Target="https://app-web.statementrec.com/app#appuploadfiles/39ff631f-dd8f-1f18-ca4b-ad9c9668df05" TargetMode="External"/><Relationship Id="rId605" Type="http://schemas.openxmlformats.org/officeDocument/2006/relationships/hyperlink" Target="https://app-web.statementrec.com/app#appuploadfiles/39ff643f-cb89-1cca-2646-269ce7f0adcb" TargetMode="External"/><Relationship Id="rId606" Type="http://schemas.openxmlformats.org/officeDocument/2006/relationships/hyperlink" Target="https://app-web.statementrec.com/app#appuploadfiles/39ff71e5-d277-eec2-82d4-a164b3c6b900" TargetMode="External"/><Relationship Id="rId607" Type="http://schemas.openxmlformats.org/officeDocument/2006/relationships/hyperlink" Target="https://app-web.statementrec.com/app#appuploadfiles/39ff71ea-183f-9e2e-79b3-3b96167eee86" TargetMode="External"/><Relationship Id="rId608" Type="http://schemas.openxmlformats.org/officeDocument/2006/relationships/hyperlink" Target="https://app-web.statementrec.com/app#appuploadfiles/39ff8547-fd4d-3169-89e3-010ca79f9420" TargetMode="External"/><Relationship Id="rId609" Type="http://schemas.openxmlformats.org/officeDocument/2006/relationships/hyperlink" Target="https://app-web.statementrec.com/app#appuploadfiles/39ff8bad-3a48-c074-43e8-b7ac4ee153d9" TargetMode="External"/><Relationship Id="rId610" Type="http://schemas.openxmlformats.org/officeDocument/2006/relationships/hyperlink" Target="https://app-web.statementrec.com/app#appuploadfiles/39ff913f-23a5-9ccb-5acc-5cb60067b21a" TargetMode="External"/><Relationship Id="rId611" Type="http://schemas.openxmlformats.org/officeDocument/2006/relationships/hyperlink" Target="https://app-web.statementrec.com/app#appuploadfiles/39ff9164-f2fc-8353-77f8-161af070be0d" TargetMode="External"/><Relationship Id="rId612" Type="http://schemas.openxmlformats.org/officeDocument/2006/relationships/hyperlink" Target="https://app-web.statementrec.com/app#appuploadfiles/39ffaeed-59b9-c547-01d5-f3656b7b86db" TargetMode="External"/><Relationship Id="rId613" Type="http://schemas.openxmlformats.org/officeDocument/2006/relationships/hyperlink" Target="https://app-web.statementrec.com/app#appuploadfiles/39ffaef3-e416-e37e-6d64-f5e12c18af0c" TargetMode="External"/><Relationship Id="rId614" Type="http://schemas.openxmlformats.org/officeDocument/2006/relationships/hyperlink" Target="https://app-web.statementrec.com/app#appuploadfiles/39ffb4a8-788c-24fd-81fc-6bce07d56de5" TargetMode="External"/><Relationship Id="rId615" Type="http://schemas.openxmlformats.org/officeDocument/2006/relationships/hyperlink" Target="https://app-web.statementrec.com/app#appuploadfiles/39ffb981-655f-2976-f3a1-32539b03919e" TargetMode="External"/><Relationship Id="rId616" Type="http://schemas.openxmlformats.org/officeDocument/2006/relationships/hyperlink" Target="https://app-web.statementrec.com/app#appuploadfiles/39ffbaa3-16c8-1a17-a006-536bc91f6ba4" TargetMode="External"/><Relationship Id="rId617" Type="http://schemas.openxmlformats.org/officeDocument/2006/relationships/hyperlink" Target="https://app-web.statementrec.com/app#appuploadfiles/39ffce7a-9f6c-19b2-1472-01e978e150c6" TargetMode="External"/><Relationship Id="rId618" Type="http://schemas.openxmlformats.org/officeDocument/2006/relationships/hyperlink" Target="https://app-web.statementrec.com/app#appuploadfiles/39ffd3f3-1619-98b5-07d8-6c230bd25f74" TargetMode="External"/><Relationship Id="rId619" Type="http://schemas.openxmlformats.org/officeDocument/2006/relationships/hyperlink" Target="https://app-web.statementrec.com/app#appuploadfiles/39ffd44e-72f8-eafb-c76c-196e86d8b535" TargetMode="External"/><Relationship Id="rId620" Type="http://schemas.openxmlformats.org/officeDocument/2006/relationships/hyperlink" Target="https://app-web.statementrec.com/app#appuploadfiles/39ffd460-906d-7a4c-9d21-1799e4b7134f" TargetMode="External"/><Relationship Id="rId621" Type="http://schemas.openxmlformats.org/officeDocument/2006/relationships/hyperlink" Target="https://app-web.statementrec.com/app#appuploadfiles/39ffd474-4172-973e-6ef2-aa50cb67f1a6" TargetMode="External"/><Relationship Id="rId622" Type="http://schemas.openxmlformats.org/officeDocument/2006/relationships/hyperlink" Target="https://app-web.statementrec.com/app#appuploadfiles/39ffd477-f981-0e17-7b27-01eb613f3c5b" TargetMode="External"/><Relationship Id="rId623" Type="http://schemas.openxmlformats.org/officeDocument/2006/relationships/hyperlink" Target="https://app-web.statementrec.com/app#appuploadfiles/39ffdeaa-3f89-5fa7-5c55-e57696772432" TargetMode="External"/><Relationship Id="rId624" Type="http://schemas.openxmlformats.org/officeDocument/2006/relationships/hyperlink" Target="https://app-web.statementrec.com/app#appuploadfiles/39fff854-b89b-bc43-e0c9-5bc8d4711d25" TargetMode="External"/><Relationship Id="rId625" Type="http://schemas.openxmlformats.org/officeDocument/2006/relationships/hyperlink" Target="https://app-web.statementrec.com/app#appuploadfiles/39fffe52-69e0-e926-dbf0-60f055cbbe5c" TargetMode="External"/><Relationship Id="rId626" Type="http://schemas.openxmlformats.org/officeDocument/2006/relationships/hyperlink" Target="https://app-web.statementrec.com/app#appuploadfiles/3a0011ec-3cfb-53f6-08bc-088ee4c325c7" TargetMode="External"/><Relationship Id="rId627" Type="http://schemas.openxmlformats.org/officeDocument/2006/relationships/hyperlink" Target="https://app-web.statementrec.com/app#appuploadfiles/3a0020a5-7a84-b3f7-2562-f40b41c0a4d6" TargetMode="External"/><Relationship Id="rId628" Type="http://schemas.openxmlformats.org/officeDocument/2006/relationships/hyperlink" Target="https://app-web.statementrec.com/app#appuploadfiles/3a003539-d7de-2b06-1dbf-a611b065d22e" TargetMode="External"/><Relationship Id="rId629" Type="http://schemas.openxmlformats.org/officeDocument/2006/relationships/hyperlink" Target="https://app-web.statementrec.com/app#appuploadfiles/3a003582-d3ae-1bd1-1a71-fd9392eba56b" TargetMode="External"/><Relationship Id="rId630" Type="http://schemas.openxmlformats.org/officeDocument/2006/relationships/hyperlink" Target="https://app-web.statementrec.com/app#appuploadfiles/3a0035f5-8bb7-2bd0-be97-f3470aad5830" TargetMode="External"/><Relationship Id="rId631" Type="http://schemas.openxmlformats.org/officeDocument/2006/relationships/hyperlink" Target="https://app-web.statementrec.com/app#appuploadfiles/3a003637-60f1-9ee4-8af1-b07b4a379f72" TargetMode="External"/><Relationship Id="rId632" Type="http://schemas.openxmlformats.org/officeDocument/2006/relationships/hyperlink" Target="https://app-web.statementrec.com/app#appuploadfiles/3a003fbb-a993-b856-0d9a-8214aa9d7ac9" TargetMode="External"/><Relationship Id="rId633" Type="http://schemas.openxmlformats.org/officeDocument/2006/relationships/hyperlink" Target="https://app-web.statementrec.com/app#appuploadfiles/3a0040a9-27a1-6955-1d1c-9975d6d5ae5d" TargetMode="External"/><Relationship Id="rId634" Type="http://schemas.openxmlformats.org/officeDocument/2006/relationships/hyperlink" Target="https://app-web.statementrec.com/app#appuploadfiles/3a004289-69be-16d8-1d55-a24734cd8444" TargetMode="External"/><Relationship Id="rId635" Type="http://schemas.openxmlformats.org/officeDocument/2006/relationships/hyperlink" Target="https://app-web.statementrec.com/app#appuploadfiles/3a0059b7-7dfc-c381-bc83-1b6db42ee8e5" TargetMode="External"/><Relationship Id="rId636" Type="http://schemas.openxmlformats.org/officeDocument/2006/relationships/hyperlink" Target="https://app-web.statementrec.com/app#appuploadfiles/3a005a56-d1ed-89f7-8945-5b725f0d5c94" TargetMode="External"/><Relationship Id="rId637" Type="http://schemas.openxmlformats.org/officeDocument/2006/relationships/hyperlink" Target="https://app-web.statementrec.com/app#appuploadfiles/3a0060fa-c348-0a6a-23e0-4e4c64b3d3a6" TargetMode="External"/><Relationship Id="rId638" Type="http://schemas.openxmlformats.org/officeDocument/2006/relationships/hyperlink" Target="https://app-web.statementrec.com/app#appuploadfiles/3a0069cf-de6b-3ab2-224f-98c7146394c1" TargetMode="External"/><Relationship Id="rId639" Type="http://schemas.openxmlformats.org/officeDocument/2006/relationships/hyperlink" Target="https://app-web.statementrec.com/app#appuploadfiles/3a0069e1-1447-3840-1b78-95983c1e03d9" TargetMode="External"/><Relationship Id="rId640" Type="http://schemas.openxmlformats.org/officeDocument/2006/relationships/hyperlink" Target="https://app-web.statementrec.com/app#appuploadfiles/3a006a37-4524-fc17-ba7e-6a7a5b0efd9e" TargetMode="External"/><Relationship Id="rId641" Type="http://schemas.openxmlformats.org/officeDocument/2006/relationships/hyperlink" Target="https://app-web.statementrec.com/app#appuploadfiles/3a007ea4-4eab-9182-d9ac-1fc420ee9401" TargetMode="External"/><Relationship Id="rId642" Type="http://schemas.openxmlformats.org/officeDocument/2006/relationships/hyperlink" Target="https://app-web.statementrec.com/app#appuploadfiles/3a00835a-6749-c87c-3391-822f5ea09fbd" TargetMode="External"/><Relationship Id="rId643" Type="http://schemas.openxmlformats.org/officeDocument/2006/relationships/hyperlink" Target="https://app-web.statementrec.com/app#appuploadfiles/3a00ae31-749a-b1e6-951c-601c9fbeacbe" TargetMode="External"/><Relationship Id="rId644" Type="http://schemas.openxmlformats.org/officeDocument/2006/relationships/hyperlink" Target="https://app-web.statementrec.com/app#appuploadfiles/3a00b6dc-6518-80a3-36ae-cade8364ccdb" TargetMode="External"/><Relationship Id="rId645" Type="http://schemas.openxmlformats.org/officeDocument/2006/relationships/hyperlink" Target="https://app-web.statementrec.com/app#appuploadfiles/3a00bd25-fef8-d1ae-92e5-a33fc3df71b3" TargetMode="External"/><Relationship Id="rId646" Type="http://schemas.openxmlformats.org/officeDocument/2006/relationships/hyperlink" Target="https://app-web.statementrec.com/app#appuploadfiles/3a00ca5f-ab5e-c8e1-9246-12afa8bea231" TargetMode="External"/><Relationship Id="rId647" Type="http://schemas.openxmlformats.org/officeDocument/2006/relationships/hyperlink" Target="https://app-web.statementrec.com/app#appuploadfiles/3a00cae3-bfac-e0bb-4876-f3057a1f64b8" TargetMode="External"/><Relationship Id="rId648" Type="http://schemas.openxmlformats.org/officeDocument/2006/relationships/hyperlink" Target="https://app-web.statementrec.com/app#appuploadfiles/3a00f42b-5a90-7a75-8279-a12ad5265bc9" TargetMode="External"/><Relationship Id="rId649" Type="http://schemas.openxmlformats.org/officeDocument/2006/relationships/hyperlink" Target="https://app-web.statementrec.com/app#appuploadfiles/3a013756-eb83-2534-63ec-e4f7b5de56ec" TargetMode="External"/><Relationship Id="rId650" Type="http://schemas.openxmlformats.org/officeDocument/2006/relationships/hyperlink" Target="https://app-web.statementrec.com/app#appuploadfiles/3a014652-db44-f8db-12af-e36c684f833f" TargetMode="External"/><Relationship Id="rId651" Type="http://schemas.openxmlformats.org/officeDocument/2006/relationships/hyperlink" Target="https://app-web.statementrec.com/app#appuploadfiles/3a014ccb-64d1-83e0-64b7-ede35f9b157a" TargetMode="External"/><Relationship Id="rId652" Type="http://schemas.openxmlformats.org/officeDocument/2006/relationships/hyperlink" Target="https://app-web.statementrec.com/app#appuploadfiles/3a015651-8fb2-aec1-3108-7715df560e67" TargetMode="External"/><Relationship Id="rId653" Type="http://schemas.openxmlformats.org/officeDocument/2006/relationships/hyperlink" Target="https://app-web.statementrec.com/app#appuploadfiles/3a016042-0eab-3510-1fee-f491350ee043" TargetMode="External"/><Relationship Id="rId654" Type="http://schemas.openxmlformats.org/officeDocument/2006/relationships/hyperlink" Target="https://app-web.statementrec.com/app#appuploadfiles/3a01616d-c8d5-9d2f-a917-2a3f55818ed5" TargetMode="External"/><Relationship Id="rId655" Type="http://schemas.openxmlformats.org/officeDocument/2006/relationships/hyperlink" Target="https://app-web.statementrec.com/app#appuploadfiles/3a0161b5-1e7c-d7c5-23c1-adaa9134ed6d" TargetMode="External"/><Relationship Id="rId656" Type="http://schemas.openxmlformats.org/officeDocument/2006/relationships/hyperlink" Target="https://app-web.statementrec.com/app#appuploadfiles/3a01663b-47df-d3b6-e474-d4be6eeed70b" TargetMode="External"/><Relationship Id="rId657" Type="http://schemas.openxmlformats.org/officeDocument/2006/relationships/hyperlink" Target="https://app-web.statementrec.com/app#appuploadfiles/3a0179ed-1397-0dbf-90dc-d38198ed3548" TargetMode="External"/><Relationship Id="rId658" Type="http://schemas.openxmlformats.org/officeDocument/2006/relationships/hyperlink" Target="https://app-web.statementrec.com/app#appuploadfiles/3a017e4b-63b2-5de1-2446-9ecd465e22b1" TargetMode="External"/><Relationship Id="rId659" Type="http://schemas.openxmlformats.org/officeDocument/2006/relationships/hyperlink" Target="https://app-web.statementrec.com/app#appuploadfiles/3a01801b-8c77-d30c-429e-ed337a8606de" TargetMode="External"/><Relationship Id="rId660" Type="http://schemas.openxmlformats.org/officeDocument/2006/relationships/hyperlink" Target="https://app-web.statementrec.com/app#appuploadfiles/3a0183e7-9027-f46a-512b-ec2bc61b13a3" TargetMode="External"/><Relationship Id="rId661" Type="http://schemas.openxmlformats.org/officeDocument/2006/relationships/hyperlink" Target="https://app-web.statementrec.com/app#appuploadfiles/3a018b31-52f8-a507-5b21-b488834aaa63" TargetMode="External"/><Relationship Id="rId662" Type="http://schemas.openxmlformats.org/officeDocument/2006/relationships/hyperlink" Target="https://app-web.statementrec.com/app#appuploadfiles/3a0190bb-d6a5-7b36-687f-7185270eb524" TargetMode="External"/><Relationship Id="rId663" Type="http://schemas.openxmlformats.org/officeDocument/2006/relationships/hyperlink" Target="https://app-web.statementrec.com/app#appuploadfiles/3a01a9b9-886f-ffb2-23c7-550457763c7b" TargetMode="External"/><Relationship Id="rId664" Type="http://schemas.openxmlformats.org/officeDocument/2006/relationships/hyperlink" Target="https://app-web.statementrec.com/app#appuploadfiles/3a01adcd-2595-f746-a62e-fdb1a1df2934" TargetMode="External"/><Relationship Id="rId665" Type="http://schemas.openxmlformats.org/officeDocument/2006/relationships/hyperlink" Target="https://app-web.statementrec.com/app#appuploadfiles/3a01ae21-4c56-ddcc-2ddd-f0ebc951457b" TargetMode="External"/><Relationship Id="rId666" Type="http://schemas.openxmlformats.org/officeDocument/2006/relationships/hyperlink" Target="https://app-web.statementrec.com/app#appuploadfiles/3a01aebe-402b-3729-6e03-1fdb41a93570" TargetMode="External"/><Relationship Id="rId667" Type="http://schemas.openxmlformats.org/officeDocument/2006/relationships/hyperlink" Target="https://app-web.statementrec.com/app#appuploadfiles/3a01b833-9f2a-42f5-da08-f2bde91ad7db" TargetMode="External"/><Relationship Id="rId668" Type="http://schemas.openxmlformats.org/officeDocument/2006/relationships/hyperlink" Target="https://app-web.statementrec.com/app#appuploadfiles/3a01c77e-72ea-6946-55cf-1ddf0be6bf7a" TargetMode="External"/><Relationship Id="rId669" Type="http://schemas.openxmlformats.org/officeDocument/2006/relationships/hyperlink" Target="https://app-web.statementrec.com/app#appuploadfiles/3a01c81e-58a0-6163-c38a-2efd473f05a0" TargetMode="External"/><Relationship Id="rId670" Type="http://schemas.openxmlformats.org/officeDocument/2006/relationships/hyperlink" Target="https://app-web.statementrec.com/app#appuploadfiles/3a01e224-685a-50db-9ef0-927e8727c0e0" TargetMode="External"/><Relationship Id="rId671" Type="http://schemas.openxmlformats.org/officeDocument/2006/relationships/hyperlink" Target="https://app-web.statementrec.com/app#appuploadfiles/3a01e5b4-87c2-f9bb-a7f2-73c2e1e7a3f9" TargetMode="External"/><Relationship Id="rId672" Type="http://schemas.openxmlformats.org/officeDocument/2006/relationships/hyperlink" Target="https://app-web.statementrec.com/app#appuploadfiles/3a01e6ac-1b41-43dc-6cbf-f169c97738e1" TargetMode="External"/><Relationship Id="rId673" Type="http://schemas.openxmlformats.org/officeDocument/2006/relationships/hyperlink" Target="https://app-web.statementrec.com/app#appuploadfiles/3a01e789-26b0-664c-24e2-986e08568163" TargetMode="External"/><Relationship Id="rId674" Type="http://schemas.openxmlformats.org/officeDocument/2006/relationships/hyperlink" Target="https://app-web.statementrec.com/app#appuploadfiles/3a01eb0e-7105-f5c5-6249-9345f311ab95" TargetMode="External"/><Relationship Id="rId675" Type="http://schemas.openxmlformats.org/officeDocument/2006/relationships/hyperlink" Target="https://app-web.statementrec.com/app#appuploadfiles/3a01ebb6-d265-53ac-202b-fa911c2730b4" TargetMode="External"/><Relationship Id="rId676" Type="http://schemas.openxmlformats.org/officeDocument/2006/relationships/hyperlink" Target="https://app-web.statementrec.com/app#appuploadfiles/3a01ebdc-abf4-0cf3-8402-9bba11c24c37" TargetMode="External"/><Relationship Id="rId677" Type="http://schemas.openxmlformats.org/officeDocument/2006/relationships/hyperlink" Target="https://app-web.statementrec.com/app#appuploadfiles/3a01ec1a-ed40-8af0-1d2f-51af2f9a30bb" TargetMode="External"/><Relationship Id="rId678" Type="http://schemas.openxmlformats.org/officeDocument/2006/relationships/hyperlink" Target="https://app-web.statementrec.com/app#appuploadfiles/3a01ed59-20e1-dfa1-3af6-3e44cb9387e9" TargetMode="External"/><Relationship Id="rId679" Type="http://schemas.openxmlformats.org/officeDocument/2006/relationships/hyperlink" Target="https://app-web.statementrec.com/app#appuploadfiles/3a01f735-76bb-03b8-1c7e-ddfd12a2697f" TargetMode="External"/><Relationship Id="rId680" Type="http://schemas.openxmlformats.org/officeDocument/2006/relationships/hyperlink" Target="https://app-web.statementrec.com/app#appuploadfiles/3a01faaa-b885-95fb-ae75-c07fdb7b2989" TargetMode="External"/><Relationship Id="rId681" Type="http://schemas.openxmlformats.org/officeDocument/2006/relationships/hyperlink" Target="https://app-web.statementrec.com/app#appuploadfiles/3a020921-417e-9b4b-e20e-7b5b3aba6665" TargetMode="External"/><Relationship Id="rId682" Type="http://schemas.openxmlformats.org/officeDocument/2006/relationships/hyperlink" Target="https://app-web.statementrec.com/app#appuploadfiles/3a020e70-8c31-83d2-34ae-be10016e0d73" TargetMode="External"/><Relationship Id="rId683" Type="http://schemas.openxmlformats.org/officeDocument/2006/relationships/hyperlink" Target="https://app-web.statementrec.com/app#appuploadfiles/3a020f2f-0e2c-b0de-ec25-3c02400c48ab" TargetMode="External"/><Relationship Id="rId684" Type="http://schemas.openxmlformats.org/officeDocument/2006/relationships/hyperlink" Target="https://app-web.statementrec.com/app#appuploadfiles/3a021520-77f8-19d2-cbac-929cdb07fab2" TargetMode="External"/><Relationship Id="rId685" Type="http://schemas.openxmlformats.org/officeDocument/2006/relationships/hyperlink" Target="https://app-web.statementrec.com/app#appuploadfiles/3a0216f3-af62-1dc9-ccca-5cd583695572" TargetMode="External"/><Relationship Id="rId686" Type="http://schemas.openxmlformats.org/officeDocument/2006/relationships/hyperlink" Target="https://app-web.statementrec.com/app#appuploadfiles/3a021aa1-514c-e52c-0608-419aeeaefd82" TargetMode="External"/><Relationship Id="rId687" Type="http://schemas.openxmlformats.org/officeDocument/2006/relationships/hyperlink" Target="https://app-web.statementrec.com/app#appuploadfiles/3a021dfb-6991-3224-2c4a-6cb87249fb43" TargetMode="External"/><Relationship Id="rId688" Type="http://schemas.openxmlformats.org/officeDocument/2006/relationships/hyperlink" Target="https://app-web.statementrec.com/app#appuploadfiles/3a021f0d-7d8b-84c9-ee2c-2259e4a2452b" TargetMode="External"/><Relationship Id="rId689" Type="http://schemas.openxmlformats.org/officeDocument/2006/relationships/hyperlink" Target="https://app-web.statementrec.com/app#appuploadfiles/3a022dc2-0ec1-533e-c7e0-356a9c3b4d7d" TargetMode="External"/><Relationship Id="rId690" Type="http://schemas.openxmlformats.org/officeDocument/2006/relationships/hyperlink" Target="https://app-web.statementrec.com/app#appuploadfiles/3a0233f5-d413-27c9-c408-37b2819fbbeb" TargetMode="External"/><Relationship Id="rId691" Type="http://schemas.openxmlformats.org/officeDocument/2006/relationships/hyperlink" Target="https://app-web.statementrec.com/app#appuploadfiles/3a024374-ba07-3e11-bb61-fb6321820e0c" TargetMode="External"/><Relationship Id="rId692" Type="http://schemas.openxmlformats.org/officeDocument/2006/relationships/hyperlink" Target="https://app-web.statementrec.com/app#appuploadfiles/3a025a80-5067-0c2a-5f8e-00ba59201709" TargetMode="External"/><Relationship Id="rId693" Type="http://schemas.openxmlformats.org/officeDocument/2006/relationships/hyperlink" Target="https://app-web.statementrec.com/app#appuploadfiles/3a025bfa-c991-978c-d637-fc13a630f17a" TargetMode="External"/><Relationship Id="rId694" Type="http://schemas.openxmlformats.org/officeDocument/2006/relationships/hyperlink" Target="https://app-web.statementrec.com/app#appuploadfiles/3a026941-5c4e-9395-b2a0-25d957ac0ff5" TargetMode="External"/><Relationship Id="rId695" Type="http://schemas.openxmlformats.org/officeDocument/2006/relationships/hyperlink" Target="https://app-web.statementrec.com/app#appuploadfiles/3a027582-b93e-a8d9-622e-9f0005c8d8a6" TargetMode="External"/><Relationship Id="rId696" Type="http://schemas.openxmlformats.org/officeDocument/2006/relationships/hyperlink" Target="https://app-web.statementrec.com/app#appuploadfiles/3a02774b-646d-4f86-f8c4-30f671c0d368" TargetMode="External"/><Relationship Id="rId697" Type="http://schemas.openxmlformats.org/officeDocument/2006/relationships/hyperlink" Target="https://app-web.statementrec.com/app#appuploadfiles/3a027a42-47bd-8144-c4c1-3db7b2f0a6a4" TargetMode="External"/><Relationship Id="rId698" Type="http://schemas.openxmlformats.org/officeDocument/2006/relationships/hyperlink" Target="https://app-web.statementrec.com/app#appuploadfiles/3a027acf-18b6-7c23-47aa-e05059cb64b3" TargetMode="External"/><Relationship Id="rId699" Type="http://schemas.openxmlformats.org/officeDocument/2006/relationships/hyperlink" Target="https://app-web.statementrec.com/app#appuploadfiles/3a027afb-d050-91d7-d7ec-bd8863d72652" TargetMode="External"/><Relationship Id="rId700" Type="http://schemas.openxmlformats.org/officeDocument/2006/relationships/hyperlink" Target="https://app-web.statementrec.com/app#appuploadfiles/3a027c02-35eb-ca1c-8c41-ba0f8d952c3b" TargetMode="External"/><Relationship Id="rId701" Type="http://schemas.openxmlformats.org/officeDocument/2006/relationships/hyperlink" Target="https://app-web.statementrec.com/app#appuploadfiles/3a028586-25b6-750c-ac8d-134ea54a38bd" TargetMode="External"/><Relationship Id="rId702" Type="http://schemas.openxmlformats.org/officeDocument/2006/relationships/hyperlink" Target="https://app-web.statementrec.com/app#appuploadfiles/3a028b7a-442c-1e0a-1a38-2f3073d407fb" TargetMode="External"/><Relationship Id="rId703" Type="http://schemas.openxmlformats.org/officeDocument/2006/relationships/hyperlink" Target="https://app-web.statementrec.com/app#appuploadfiles/3a028bb7-f06c-5d11-318b-1414f1fca81f" TargetMode="External"/><Relationship Id="rId704" Type="http://schemas.openxmlformats.org/officeDocument/2006/relationships/hyperlink" Target="https://app-web.statementrec.com/app#appuploadfiles/3a028c89-474b-cfa8-1ab2-ba45c14391cc" TargetMode="External"/><Relationship Id="rId705" Type="http://schemas.openxmlformats.org/officeDocument/2006/relationships/hyperlink" Target="https://app-web.statementrec.com/app#appuploadfiles/3a0299d2-9b0f-5454-46c8-07e4620a0832" TargetMode="External"/><Relationship Id="rId706" Type="http://schemas.openxmlformats.org/officeDocument/2006/relationships/hyperlink" Target="https://app-web.statementrec.com/app#appuploadfiles/3a02aaab-e718-4d54-c178-74f55073ab25" TargetMode="External"/><Relationship Id="rId707" Type="http://schemas.openxmlformats.org/officeDocument/2006/relationships/hyperlink" Target="https://app-web.statementrec.com/app#appuploadfiles/3a02afe7-7687-889f-dcd7-c964d4641aea" TargetMode="External"/><Relationship Id="rId708" Type="http://schemas.openxmlformats.org/officeDocument/2006/relationships/hyperlink" Target="https://app-web.statementrec.com/app#appuploadfiles/3a02c389-dbd0-c4f0-3b6a-b15155425c10" TargetMode="External"/><Relationship Id="rId709" Type="http://schemas.openxmlformats.org/officeDocument/2006/relationships/hyperlink" Target="https://app-web.statementrec.com/app#appuploadfiles/3a02d27a-d788-a484-0956-f78b8666984c" TargetMode="External"/><Relationship Id="rId710" Type="http://schemas.openxmlformats.org/officeDocument/2006/relationships/hyperlink" Target="https://app-web.statementrec.com/app#appuploadfiles/3a02d2ab-bb9b-1c8c-2131-5bdd1b08dfb3" TargetMode="External"/><Relationship Id="rId711" Type="http://schemas.openxmlformats.org/officeDocument/2006/relationships/hyperlink" Target="https://app-web.statementrec.com/app#appuploadfiles/3a02d2f8-3068-6236-adbc-1b59f0a8d471" TargetMode="External"/><Relationship Id="rId712" Type="http://schemas.openxmlformats.org/officeDocument/2006/relationships/hyperlink" Target="https://app-web.statementrec.com/app#appuploadfiles/3a02d3ca-5746-971a-f642-bd575c811368" TargetMode="External"/><Relationship Id="rId713" Type="http://schemas.openxmlformats.org/officeDocument/2006/relationships/hyperlink" Target="https://app-web.statementrec.com/app#appuploadfiles/3a02e21b-30f5-0697-36b2-ebc68ef736c4" TargetMode="External"/><Relationship Id="rId714" Type="http://schemas.openxmlformats.org/officeDocument/2006/relationships/hyperlink" Target="https://app-web.statementrec.com/app#appuploadfiles/3a02e2dd-5831-c326-13a3-176061540559" TargetMode="External"/><Relationship Id="rId715" Type="http://schemas.openxmlformats.org/officeDocument/2006/relationships/hyperlink" Target="https://app-web.statementrec.com/app#appuploadfiles/3a02e32b-3345-b16b-3859-2188afbc09ab" TargetMode="External"/><Relationship Id="rId716" Type="http://schemas.openxmlformats.org/officeDocument/2006/relationships/hyperlink" Target="https://app-web.statementrec.com/app#appuploadfiles/3a02e5d1-43d5-2330-3a00-936726788b53" TargetMode="External"/><Relationship Id="rId717" Type="http://schemas.openxmlformats.org/officeDocument/2006/relationships/hyperlink" Target="https://app-web.statementrec.com/app#appuploadfiles/3a02ea8b-11a6-c860-f95a-ddcb2d6cd1d5" TargetMode="External"/><Relationship Id="rId718" Type="http://schemas.openxmlformats.org/officeDocument/2006/relationships/hyperlink" Target="https://app-web.statementrec.com/app#appuploadfiles/3a02fc75-6371-69ef-9f80-b63677ffa9e7" TargetMode="External"/><Relationship Id="rId719" Type="http://schemas.openxmlformats.org/officeDocument/2006/relationships/hyperlink" Target="https://app-web.statementrec.com/app#appuploadfiles/3a031093-02ce-6f81-8643-e1fa64339a4a" TargetMode="External"/><Relationship Id="rId720" Type="http://schemas.openxmlformats.org/officeDocument/2006/relationships/hyperlink" Target="https://app-web.statementrec.com/app#appuploadfiles/3a031bcf-7bd6-94fe-6e43-15ea32824626" TargetMode="External"/><Relationship Id="rId721" Type="http://schemas.openxmlformats.org/officeDocument/2006/relationships/hyperlink" Target="https://app-web.statementrec.com/app#appuploadfiles/3a03262b-8666-f3da-e5a1-c184113dcdea" TargetMode="External"/><Relationship Id="rId722" Type="http://schemas.openxmlformats.org/officeDocument/2006/relationships/hyperlink" Target="https://app-web.statementrec.com/app#appuploadfiles/3a032f1d-f4d5-906a-7296-3f3d21cd1426" TargetMode="External"/><Relationship Id="rId723" Type="http://schemas.openxmlformats.org/officeDocument/2006/relationships/hyperlink" Target="https://app-web.statementrec.com/app#appuploadfiles/3a0334f1-89e1-2fe3-11d1-12ae3fc6efac" TargetMode="External"/><Relationship Id="rId724" Type="http://schemas.openxmlformats.org/officeDocument/2006/relationships/hyperlink" Target="https://app-web.statementrec.com/app#appuploadfiles/3a033547-3cd6-6faf-3c36-8886d4ca04b2" TargetMode="External"/><Relationship Id="rId725" Type="http://schemas.openxmlformats.org/officeDocument/2006/relationships/hyperlink" Target="https://app-web.statementrec.com/app#appuploadfiles/3a033611-1ce3-1562-1719-b006f649fe4f" TargetMode="External"/><Relationship Id="rId726" Type="http://schemas.openxmlformats.org/officeDocument/2006/relationships/hyperlink" Target="https://app-web.statementrec.com/app#appuploadfiles/3a033933-317c-0812-15ab-75b3d295ec56" TargetMode="External"/><Relationship Id="rId727" Type="http://schemas.openxmlformats.org/officeDocument/2006/relationships/hyperlink" Target="https://app-web.statementrec.com/app#appuploadfiles/3a033939-b80a-daa5-a731-6d5f12cfa6e6" TargetMode="External"/><Relationship Id="rId728" Type="http://schemas.openxmlformats.org/officeDocument/2006/relationships/hyperlink" Target="https://app-web.statementrec.com/app#appuploadfiles/3a0353a8-6b93-418a-fab1-1d2045644c36" TargetMode="External"/><Relationship Id="rId729" Type="http://schemas.openxmlformats.org/officeDocument/2006/relationships/hyperlink" Target="https://app-web.statementrec.com/app#appuploadfiles/3a03789e-91ac-0ec6-069d-1c17a5411ee8" TargetMode="External"/><Relationship Id="rId730" Type="http://schemas.openxmlformats.org/officeDocument/2006/relationships/hyperlink" Target="https://app-web.statementrec.com/app#appuploadfiles/3a0378b9-1eae-eea5-b2a9-290eb30ec1fb" TargetMode="External"/><Relationship Id="rId731" Type="http://schemas.openxmlformats.org/officeDocument/2006/relationships/hyperlink" Target="https://app-web.statementrec.com/app#appuploadfiles/3a037bcf-cb1f-ae8f-5536-8077c3a0d31d" TargetMode="External"/><Relationship Id="rId732" Type="http://schemas.openxmlformats.org/officeDocument/2006/relationships/hyperlink" Target="https://app-web.statementrec.com/app#appuploadfiles/3a037c76-a913-e445-1683-f3aace20fe7d" TargetMode="External"/><Relationship Id="rId733" Type="http://schemas.openxmlformats.org/officeDocument/2006/relationships/hyperlink" Target="https://app-web.statementrec.com/app#appuploadfiles/3a037d02-b221-8fc2-0df1-0b2af388cf16" TargetMode="External"/><Relationship Id="rId734" Type="http://schemas.openxmlformats.org/officeDocument/2006/relationships/hyperlink" Target="https://app-web.statementrec.com/app#appuploadfiles/3a037e03-237c-9a76-e53e-4246d2461cb5" TargetMode="External"/><Relationship Id="rId735" Type="http://schemas.openxmlformats.org/officeDocument/2006/relationships/hyperlink" Target="https://app-web.statementrec.com/app#appuploadfiles/3a037e09-cfcd-9281-c9c4-8a62d390cb86" TargetMode="External"/><Relationship Id="rId736" Type="http://schemas.openxmlformats.org/officeDocument/2006/relationships/hyperlink" Target="https://app-web.statementrec.com/app#appuploadfiles/3a037e0d-3b56-734e-ea47-e4d0997f7d85" TargetMode="External"/><Relationship Id="rId737" Type="http://schemas.openxmlformats.org/officeDocument/2006/relationships/hyperlink" Target="https://app-web.statementrec.com/app#appuploadfiles/3a037e0e-9c5f-7542-8500-f445fadf2710" TargetMode="External"/><Relationship Id="rId738" Type="http://schemas.openxmlformats.org/officeDocument/2006/relationships/hyperlink" Target="https://app-web.statementrec.com/app#appuploadfiles/3a0382b4-e90a-ebb1-1bba-0785dcbb2206" TargetMode="External"/><Relationship Id="rId739" Type="http://schemas.openxmlformats.org/officeDocument/2006/relationships/hyperlink" Target="https://app-web.statementrec.com/app#appuploadfiles/3a0382fd-4a03-5697-c41a-dcc667d339ac" TargetMode="External"/><Relationship Id="rId740" Type="http://schemas.openxmlformats.org/officeDocument/2006/relationships/hyperlink" Target="https://app-web.statementrec.com/app#appuploadfiles/3a038811-157e-f581-40f5-ceed359bb7c0" TargetMode="External"/><Relationship Id="rId741" Type="http://schemas.openxmlformats.org/officeDocument/2006/relationships/hyperlink" Target="https://app-web.statementrec.com/app#appuploadfiles/3a039c05-6f2c-edd2-4144-0c4175816e0b" TargetMode="External"/><Relationship Id="rId742" Type="http://schemas.openxmlformats.org/officeDocument/2006/relationships/hyperlink" Target="https://app-web.statementrec.com/app#appuploadfiles/3a039c49-b6d5-9746-2417-2c4e53b62c8b" TargetMode="External"/><Relationship Id="rId743" Type="http://schemas.openxmlformats.org/officeDocument/2006/relationships/hyperlink" Target="https://app-web.statementrec.com/app#appuploadfiles/3a03a048-57d2-7c36-0a94-bffdc5ef40de" TargetMode="External"/><Relationship Id="rId744" Type="http://schemas.openxmlformats.org/officeDocument/2006/relationships/hyperlink" Target="https://app-web.statementrec.com/app#appuploadfiles/3a03a127-d49d-857e-86fd-7ce5bf08b93d" TargetMode="External"/><Relationship Id="rId745" Type="http://schemas.openxmlformats.org/officeDocument/2006/relationships/hyperlink" Target="https://app-web.statementrec.com/app#appuploadfiles/3a03a188-6308-f56c-810b-0aa116ae7b8f" TargetMode="External"/><Relationship Id="rId746" Type="http://schemas.openxmlformats.org/officeDocument/2006/relationships/hyperlink" Target="https://app-web.statementrec.com/app#appuploadfiles/3a03a1db-82a1-7d2e-9783-1ecebc80ad30" TargetMode="External"/><Relationship Id="rId747" Type="http://schemas.openxmlformats.org/officeDocument/2006/relationships/hyperlink" Target="https://app-web.statementrec.com/app#appuploadfiles/3a03b4e6-5845-cdd3-3605-14512676b5e2" TargetMode="External"/><Relationship Id="rId748" Type="http://schemas.openxmlformats.org/officeDocument/2006/relationships/hyperlink" Target="https://app-web.statementrec.com/app#appuploadfiles/3a03bfa8-dc99-14e5-26c9-b323e3aa98dc" TargetMode="External"/><Relationship Id="rId749" Type="http://schemas.openxmlformats.org/officeDocument/2006/relationships/hyperlink" Target="https://app-web.statementrec.com/app#appuploadfiles/3a03bfaa-7f93-b3c0-02e1-e58dcac70038" TargetMode="External"/><Relationship Id="rId750" Type="http://schemas.openxmlformats.org/officeDocument/2006/relationships/hyperlink" Target="https://app-web.statementrec.com/app#appuploadfiles/3a03c0b6-592a-5c99-c1bd-da8f73eb0dd1" TargetMode="External"/><Relationship Id="rId751" Type="http://schemas.openxmlformats.org/officeDocument/2006/relationships/hyperlink" Target="https://app-web.statementrec.com/app#appuploadfiles/3a03c402-80ef-f74e-0469-e8cc13928647" TargetMode="External"/><Relationship Id="rId752" Type="http://schemas.openxmlformats.org/officeDocument/2006/relationships/hyperlink" Target="https://app-web.statementrec.com/app#appuploadfiles/3a03c557-5915-0e6f-ed49-f564e04e6426" TargetMode="External"/><Relationship Id="rId753" Type="http://schemas.openxmlformats.org/officeDocument/2006/relationships/hyperlink" Target="https://app-web.statementrec.com/app#appuploadfiles/3a03c594-236b-e1d0-c42e-c2c208252ad9" TargetMode="External"/><Relationship Id="rId754" Type="http://schemas.openxmlformats.org/officeDocument/2006/relationships/hyperlink" Target="https://app-web.statementrec.com/app#appuploadfiles/3a03c5b9-b872-5dfa-e0f0-62432a5a1e65" TargetMode="External"/><Relationship Id="rId755" Type="http://schemas.openxmlformats.org/officeDocument/2006/relationships/hyperlink" Target="https://app-web.statementrec.com/app#appuploadfiles/3a03c9ea-2c71-de2b-bd9f-ec7958099a41" TargetMode="External"/><Relationship Id="rId756" Type="http://schemas.openxmlformats.org/officeDocument/2006/relationships/hyperlink" Target="https://app-web.statementrec.com/app#appuploadfiles/3a03cf34-b15b-6fff-a62d-d79b3db647f9" TargetMode="External"/><Relationship Id="rId757" Type="http://schemas.openxmlformats.org/officeDocument/2006/relationships/hyperlink" Target="https://app-web.statementrec.com/app#appuploadfiles/3a03d052-f714-22ab-9045-b40a8782ae87" TargetMode="External"/><Relationship Id="rId758" Type="http://schemas.openxmlformats.org/officeDocument/2006/relationships/hyperlink" Target="https://app-web.statementrec.com/app#appuploadfiles/3a03d878-db40-b362-e2f1-b9ade678a4a5" TargetMode="External"/><Relationship Id="rId759" Type="http://schemas.openxmlformats.org/officeDocument/2006/relationships/hyperlink" Target="https://app-web.statementrec.com/app#appuploadfiles/3a03df2b-dee5-b2cc-320e-dfa7123b7bfb" TargetMode="External"/><Relationship Id="rId760" Type="http://schemas.openxmlformats.org/officeDocument/2006/relationships/hyperlink" Target="https://app-web.statementrec.com/app#appuploadfiles/3a03df9d-3705-9890-87a0-b06121268120" TargetMode="External"/><Relationship Id="rId761" Type="http://schemas.openxmlformats.org/officeDocument/2006/relationships/hyperlink" Target="https://app-web.statementrec.com/app#appuploadfiles/3a03e092-400a-0592-5cd8-727e6e0a901a" TargetMode="External"/><Relationship Id="rId762" Type="http://schemas.openxmlformats.org/officeDocument/2006/relationships/hyperlink" Target="https://app-web.statementrec.com/app#appuploadfiles/3a03e486-d472-9776-5b16-0204afafeb27" TargetMode="External"/><Relationship Id="rId763" Type="http://schemas.openxmlformats.org/officeDocument/2006/relationships/hyperlink" Target="https://app-web.statementrec.com/app#appuploadfiles/3a03e493-167c-1d90-922b-61b1e2df33e0" TargetMode="External"/><Relationship Id="rId764" Type="http://schemas.openxmlformats.org/officeDocument/2006/relationships/hyperlink" Target="https://app-web.statementrec.com/app#appuploadfiles/3a03e772-6e74-4879-6ca9-a16e8a7a9b6d" TargetMode="External"/><Relationship Id="rId765" Type="http://schemas.openxmlformats.org/officeDocument/2006/relationships/hyperlink" Target="https://app-web.statementrec.com/app#appuploadfiles/3a03e890-1391-9321-b777-3a4c03b87132" TargetMode="External"/><Relationship Id="rId766" Type="http://schemas.openxmlformats.org/officeDocument/2006/relationships/hyperlink" Target="https://app-web.statementrec.com/app#appuploadfiles/3a03e979-35e9-983e-678d-2f67b17b1916" TargetMode="External"/><Relationship Id="rId767" Type="http://schemas.openxmlformats.org/officeDocument/2006/relationships/hyperlink" Target="https://app-web.statementrec.com/app#appuploadfiles/3a03ef25-02d6-bbb7-5314-262c7e43e02e" TargetMode="External"/><Relationship Id="rId768" Type="http://schemas.openxmlformats.org/officeDocument/2006/relationships/hyperlink" Target="https://app-web.statementrec.com/app#appuploadfiles/3a03eff3-2289-4534-fbb1-d5c60eef9c72" TargetMode="External"/><Relationship Id="rId769" Type="http://schemas.openxmlformats.org/officeDocument/2006/relationships/hyperlink" Target="https://app-web.statementrec.com/app#appuploadfiles/3a040072-a57e-bced-691d-f009f444bdcf" TargetMode="External"/><Relationship Id="rId770" Type="http://schemas.openxmlformats.org/officeDocument/2006/relationships/hyperlink" Target="https://app-web.statementrec.com/app#appuploadfiles/3a04029b-346e-fd99-8f46-3a85ddb089a1" TargetMode="External"/><Relationship Id="rId771" Type="http://schemas.openxmlformats.org/officeDocument/2006/relationships/hyperlink" Target="https://app-web.statementrec.com/app#appuploadfiles/3a0402a1-e196-9fef-b1f5-1103f2943dcd" TargetMode="External"/><Relationship Id="rId772" Type="http://schemas.openxmlformats.org/officeDocument/2006/relationships/hyperlink" Target="https://app-web.statementrec.com/app#appuploadfiles/3a04038d-f38d-fec2-9f99-74bfe4546fb9" TargetMode="External"/><Relationship Id="rId773" Type="http://schemas.openxmlformats.org/officeDocument/2006/relationships/hyperlink" Target="https://app-web.statementrec.com/app#appuploadfiles/3a040cbe-8183-6ae8-ca56-3c49f935334b" TargetMode="External"/><Relationship Id="rId774" Type="http://schemas.openxmlformats.org/officeDocument/2006/relationships/hyperlink" Target="https://app-web.statementrec.com/app#appuploadfiles/3a040dc5-9af3-dfd8-e649-6e6280212625" TargetMode="External"/><Relationship Id="rId775" Type="http://schemas.openxmlformats.org/officeDocument/2006/relationships/hyperlink" Target="https://app-web.statementrec.com/app#appuploadfiles/3a040e1b-5a0f-901f-f6b2-87f6c61af79a" TargetMode="External"/><Relationship Id="rId776" Type="http://schemas.openxmlformats.org/officeDocument/2006/relationships/hyperlink" Target="https://app-web.statementrec.com/app#appuploadfiles/3a04132a-3694-5567-fd8f-acbaab43e802" TargetMode="External"/><Relationship Id="rId777" Type="http://schemas.openxmlformats.org/officeDocument/2006/relationships/hyperlink" Target="https://app-web.statementrec.com/app#appuploadfiles/3a0416fa-2b3d-6a59-0354-0c300fed731e" TargetMode="External"/><Relationship Id="rId778" Type="http://schemas.openxmlformats.org/officeDocument/2006/relationships/hyperlink" Target="https://app-web.statementrec.com/app#appuploadfiles/3a04170d-b9c9-1552-b5b4-dbf8262ae2e8" TargetMode="External"/><Relationship Id="rId779" Type="http://schemas.openxmlformats.org/officeDocument/2006/relationships/hyperlink" Target="https://app-web.statementrec.com/app#appuploadfiles/3a041735-7058-6dba-3499-a9769826c2b1" TargetMode="External"/><Relationship Id="rId780" Type="http://schemas.openxmlformats.org/officeDocument/2006/relationships/hyperlink" Target="https://app-web.statementrec.com/app#appuploadfiles/3a041766-8347-dbb7-27a6-0a864a537067" TargetMode="External"/><Relationship Id="rId781" Type="http://schemas.openxmlformats.org/officeDocument/2006/relationships/hyperlink" Target="https://app-web.statementrec.com/app#appuploadfiles/3a041768-a457-f6eb-70c2-b9f627a26fea" TargetMode="External"/><Relationship Id="rId782" Type="http://schemas.openxmlformats.org/officeDocument/2006/relationships/hyperlink" Target="https://app-web.statementrec.com/app#appuploadfiles/3a04180c-2b44-238a-c5c0-3af04c77e473" TargetMode="External"/><Relationship Id="rId783" Type="http://schemas.openxmlformats.org/officeDocument/2006/relationships/hyperlink" Target="https://app-web.statementrec.com/app#appuploadfiles/3a041940-f271-ae54-0c32-f544676315de" TargetMode="External"/><Relationship Id="rId784" Type="http://schemas.openxmlformats.org/officeDocument/2006/relationships/hyperlink" Target="https://app-web.statementrec.com/app#appuploadfiles/3a04227c-4615-9047-f94c-30c8c21cc62a" TargetMode="External"/><Relationship Id="rId785" Type="http://schemas.openxmlformats.org/officeDocument/2006/relationships/hyperlink" Target="https://app-web.statementrec.com/app#appuploadfiles/3a0422a9-40a1-56a6-d7fd-961f439a082d" TargetMode="External"/><Relationship Id="rId786" Type="http://schemas.openxmlformats.org/officeDocument/2006/relationships/hyperlink" Target="https://app-web.statementrec.com/app#appuploadfiles/3a042560-6d9f-f051-f348-d55229eb9d3b" TargetMode="External"/><Relationship Id="rId787" Type="http://schemas.openxmlformats.org/officeDocument/2006/relationships/hyperlink" Target="https://app-web.statementrec.com/app#appuploadfiles/3a0426da-0a7d-dc33-e015-175713b9c809" TargetMode="External"/><Relationship Id="rId788" Type="http://schemas.openxmlformats.org/officeDocument/2006/relationships/hyperlink" Target="https://app-web.statementrec.com/app#appuploadfiles/3a0427cf-801d-e10f-23e8-b9ad50c5bd1c" TargetMode="External"/><Relationship Id="rId789" Type="http://schemas.openxmlformats.org/officeDocument/2006/relationships/hyperlink" Target="https://app-web.statementrec.com/app#appuploadfiles/3a042b80-27f7-2eae-e774-89f107e7bd5d" TargetMode="External"/><Relationship Id="rId790" Type="http://schemas.openxmlformats.org/officeDocument/2006/relationships/hyperlink" Target="https://app-web.statementrec.com/app#appuploadfiles/3a042bd3-b978-8f3a-0c49-5dac048b9e1e" TargetMode="External"/><Relationship Id="rId791" Type="http://schemas.openxmlformats.org/officeDocument/2006/relationships/hyperlink" Target="https://app-web.statementrec.com/app#appuploadfiles/3a042cf0-fd04-2d32-1a8f-044b6c299753" TargetMode="External"/><Relationship Id="rId792" Type="http://schemas.openxmlformats.org/officeDocument/2006/relationships/hyperlink" Target="https://app-web.statementrec.com/app#appuploadfiles/3a043aa0-d2a4-f0ae-5874-80619e288381" TargetMode="External"/><Relationship Id="rId793" Type="http://schemas.openxmlformats.org/officeDocument/2006/relationships/hyperlink" Target="https://app-web.statementrec.com/app#appuploadfiles/3a043b89-6237-8b05-b40f-ccabb87a55cb" TargetMode="External"/><Relationship Id="rId794" Type="http://schemas.openxmlformats.org/officeDocument/2006/relationships/hyperlink" Target="https://app-web.statementrec.com/app#appuploadfiles/3a043bdc-d90c-43f3-4d5f-5db6aedf8d09" TargetMode="External"/><Relationship Id="rId795" Type="http://schemas.openxmlformats.org/officeDocument/2006/relationships/hyperlink" Target="https://app-web.statementrec.com/app#appuploadfiles/3a044a8f-dee2-dec9-faaa-af67ef9a5dfb" TargetMode="External"/><Relationship Id="rId796" Type="http://schemas.openxmlformats.org/officeDocument/2006/relationships/hyperlink" Target="https://app-web.statementrec.com/app#appuploadfiles/3a044a9b-dbb5-1c00-7dc8-154816d6476b" TargetMode="External"/><Relationship Id="rId797" Type="http://schemas.openxmlformats.org/officeDocument/2006/relationships/hyperlink" Target="https://app-web.statementrec.com/app#appuploadfiles/3a044b41-b340-2dbe-8ec7-c371efb0b6ec" TargetMode="External"/><Relationship Id="rId798" Type="http://schemas.openxmlformats.org/officeDocument/2006/relationships/hyperlink" Target="https://app-web.statementrec.com/app#appuploadfiles/3a044d96-3ebf-f11b-43d3-6bcc11ff52ff" TargetMode="External"/><Relationship Id="rId799" Type="http://schemas.openxmlformats.org/officeDocument/2006/relationships/hyperlink" Target="https://app-web.statementrec.com/app#appuploadfiles/3a044f6e-d91f-a920-c44e-57fd16710f55" TargetMode="External"/><Relationship Id="rId800" Type="http://schemas.openxmlformats.org/officeDocument/2006/relationships/hyperlink" Target="https://app-web.statementrec.com/app#appuploadfiles/3a0455be-b3b4-348f-ecb2-97ce0a5b31bc" TargetMode="External"/><Relationship Id="rId801" Type="http://schemas.openxmlformats.org/officeDocument/2006/relationships/hyperlink" Target="https://app-web.statementrec.com/app#appuploadfiles/3a0456b1-bdd6-dab4-d947-9d8a353f4cc0" TargetMode="External"/><Relationship Id="rId802" Type="http://schemas.openxmlformats.org/officeDocument/2006/relationships/hyperlink" Target="https://app-web.statementrec.com/app#appuploadfiles/3a045a66-34e4-ddc8-8155-149bc79a1116" TargetMode="External"/><Relationship Id="rId803" Type="http://schemas.openxmlformats.org/officeDocument/2006/relationships/hyperlink" Target="https://app-web.statementrec.com/app#appuploadfiles/3a045b20-92a1-3171-c209-0b091703bef0" TargetMode="External"/><Relationship Id="rId804" Type="http://schemas.openxmlformats.org/officeDocument/2006/relationships/hyperlink" Target="https://app-web.statementrec.com/app#appuploadfiles/3a046e6f-45bb-879d-f72c-e306076d77f9" TargetMode="External"/><Relationship Id="rId805" Type="http://schemas.openxmlformats.org/officeDocument/2006/relationships/hyperlink" Target="https://app-web.statementrec.com/app#appuploadfiles/3a0478c5-c2b1-5940-1af4-818c48a8b698" TargetMode="External"/><Relationship Id="rId806" Type="http://schemas.openxmlformats.org/officeDocument/2006/relationships/hyperlink" Target="https://app-web.statementrec.com/app#appuploadfiles/3a047dd0-eef3-9069-77f7-aac31231c819" TargetMode="External"/><Relationship Id="rId807" Type="http://schemas.openxmlformats.org/officeDocument/2006/relationships/hyperlink" Target="https://app-web.statementrec.com/app#appuploadfiles/3a049280-1479-8ed2-d412-08d84c718f84" TargetMode="External"/><Relationship Id="rId808" Type="http://schemas.openxmlformats.org/officeDocument/2006/relationships/hyperlink" Target="https://app-web.statementrec.com/app#appuploadfiles/3a0495e4-c37d-2078-d2af-2bfc5baee957" TargetMode="External"/><Relationship Id="rId809" Type="http://schemas.openxmlformats.org/officeDocument/2006/relationships/hyperlink" Target="https://app-web.statementrec.com/app#appuploadfiles/3a04a1a1-2eb2-58cb-330c-92ad31ff01e8" TargetMode="External"/><Relationship Id="rId810" Type="http://schemas.openxmlformats.org/officeDocument/2006/relationships/hyperlink" Target="https://app-web.statementrec.com/app#appuploadfiles/3a04a1a9-3748-6d8e-b0f2-4fa70720d847" TargetMode="External"/><Relationship Id="rId811" Type="http://schemas.openxmlformats.org/officeDocument/2006/relationships/hyperlink" Target="https://app-web.statementrec.com/app#appuploadfiles/3a04a299-4ab2-de08-c760-20b2348b5a30" TargetMode="External"/><Relationship Id="rId812" Type="http://schemas.openxmlformats.org/officeDocument/2006/relationships/hyperlink" Target="https://app-web.statementrec.com/app#appuploadfiles/3a04a7ab-2468-9fac-94c7-c148d9947052" TargetMode="External"/><Relationship Id="rId813" Type="http://schemas.openxmlformats.org/officeDocument/2006/relationships/hyperlink" Target="https://app-web.statementrec.com/app#appuploadfiles/3a04c5fe-d70d-b9e0-6727-4c5f04348df0" TargetMode="External"/><Relationship Id="rId814" Type="http://schemas.openxmlformats.org/officeDocument/2006/relationships/hyperlink" Target="https://app-web.statementrec.com/app#appuploadfiles/3a04cc61-f6bb-4a94-5fe7-7d5e6f190b51" TargetMode="External"/><Relationship Id="rId815" Type="http://schemas.openxmlformats.org/officeDocument/2006/relationships/hyperlink" Target="https://app-web.statementrec.com/app#appuploadfiles/3a04cc8c-341f-dce5-4a7e-a7942a984a28" TargetMode="External"/><Relationship Id="rId816" Type="http://schemas.openxmlformats.org/officeDocument/2006/relationships/hyperlink" Target="https://app-web.statementrec.com/app#appuploadfiles/3a04d77a-febf-b22e-46a4-78671e5ea4f9" TargetMode="External"/><Relationship Id="rId817" Type="http://schemas.openxmlformats.org/officeDocument/2006/relationships/hyperlink" Target="https://app-web.statementrec.com/app#appuploadfiles/3a04e02b-211b-48b6-9126-211dd115b0a4" TargetMode="External"/><Relationship Id="rId818" Type="http://schemas.openxmlformats.org/officeDocument/2006/relationships/hyperlink" Target="https://app-web.statementrec.com/app#appuploadfiles/3a04eee8-f104-b51c-fdeb-44ee431fb256" TargetMode="External"/><Relationship Id="rId819" Type="http://schemas.openxmlformats.org/officeDocument/2006/relationships/hyperlink" Target="https://app-web.statementrec.com/app#appuploadfiles/3a04fe79-aa2c-0607-876f-5d3cb87f522c" TargetMode="External"/><Relationship Id="rId820" Type="http://schemas.openxmlformats.org/officeDocument/2006/relationships/hyperlink" Target="https://app-web.statementrec.com/app#appuploadfiles/3a0503a1-4672-d271-726a-a9b841f6e82e" TargetMode="External"/><Relationship Id="rId821" Type="http://schemas.openxmlformats.org/officeDocument/2006/relationships/hyperlink" Target="https://app-web.statementrec.com/app#appuploadfiles/3a050922-fe09-3fbf-cd5a-838845130704" TargetMode="External"/><Relationship Id="rId822" Type="http://schemas.openxmlformats.org/officeDocument/2006/relationships/hyperlink" Target="https://app-web.statementrec.com/app#appuploadfiles/3a050a05-ea87-c802-1651-f6cd5d2abc6e" TargetMode="External"/><Relationship Id="rId823" Type="http://schemas.openxmlformats.org/officeDocument/2006/relationships/hyperlink" Target="https://app-web.statementrec.com/app#appuploadfiles/3a050a5e-5427-17ca-b380-7595eba83609" TargetMode="External"/><Relationship Id="rId824" Type="http://schemas.openxmlformats.org/officeDocument/2006/relationships/hyperlink" Target="https://app-web.statementrec.com/app#appuploadfiles/3a0527c3-466b-765b-668f-54cec4b7992e" TargetMode="External"/><Relationship Id="rId825" Type="http://schemas.openxmlformats.org/officeDocument/2006/relationships/hyperlink" Target="https://app-web.statementrec.com/app#appuploadfiles/3a053274-3ad7-3e21-4400-78a2f83cfb29" TargetMode="External"/><Relationship Id="rId826" Type="http://schemas.openxmlformats.org/officeDocument/2006/relationships/hyperlink" Target="https://app-web.statementrec.com/app#appuploadfiles/3a053742-7bf4-3bfa-4a4d-eddbce9c2f75" TargetMode="External"/><Relationship Id="rId827" Type="http://schemas.openxmlformats.org/officeDocument/2006/relationships/hyperlink" Target="https://app-web.statementrec.com/app#appuploadfiles/3a0546e8-f517-11d4-f11f-349ed4cb74a8" TargetMode="External"/><Relationship Id="rId828" Type="http://schemas.openxmlformats.org/officeDocument/2006/relationships/hyperlink" Target="https://app-web.statementrec.com/app#appuploadfiles/3a0552d6-16e2-8f75-870a-5471ada6099c" TargetMode="External"/><Relationship Id="rId829" Type="http://schemas.openxmlformats.org/officeDocument/2006/relationships/hyperlink" Target="https://app-web.statementrec.com/app#appuploadfiles/3a055a8b-95ac-9c3a-f4ad-6a81eff9a2a3" TargetMode="External"/><Relationship Id="rId830" Type="http://schemas.openxmlformats.org/officeDocument/2006/relationships/hyperlink" Target="https://app-web.statementrec.com/app#appuploadfiles/3a055c8e-41df-fc87-ab21-61411c66e745" TargetMode="External"/><Relationship Id="rId831" Type="http://schemas.openxmlformats.org/officeDocument/2006/relationships/hyperlink" Target="https://app-web.statementrec.com/app#appuploadfiles/3a055c8f-44e7-a899-d73d-4048b98a3378" TargetMode="External"/><Relationship Id="rId832" Type="http://schemas.openxmlformats.org/officeDocument/2006/relationships/hyperlink" Target="https://app-web.statementrec.com/app#appuploadfiles/3a055f40-e8c3-f4a0-ac7c-cb2182a7de37" TargetMode="External"/><Relationship Id="rId833" Type="http://schemas.openxmlformats.org/officeDocument/2006/relationships/hyperlink" Target="https://app-web.statementrec.com/app#appuploadfiles/3a056d17-5231-7290-cc87-b775448ce95a" TargetMode="External"/><Relationship Id="rId834" Type="http://schemas.openxmlformats.org/officeDocument/2006/relationships/hyperlink" Target="https://app-web.statementrec.com/app#appuploadfiles/3a0570c3-3ac2-2888-25b1-1380e7af1475" TargetMode="External"/><Relationship Id="rId835" Type="http://schemas.openxmlformats.org/officeDocument/2006/relationships/hyperlink" Target="https://app-web.statementrec.com/app#appuploadfiles/3a0574fa-9cb0-6ea4-a28a-3356e2779445" TargetMode="External"/><Relationship Id="rId836" Type="http://schemas.openxmlformats.org/officeDocument/2006/relationships/hyperlink" Target="https://app-web.statementrec.com/app#appuploadfiles/3a05762a-5509-5eb8-c8fd-d85f19d70f35" TargetMode="External"/><Relationship Id="rId837" Type="http://schemas.openxmlformats.org/officeDocument/2006/relationships/hyperlink" Target="https://app-web.statementrec.com/app#appuploadfiles/3a057b2f-beb6-f440-c85c-d2ab929da287" TargetMode="External"/><Relationship Id="rId838" Type="http://schemas.openxmlformats.org/officeDocument/2006/relationships/hyperlink" Target="https://app-web.statementrec.com/app#appuploadfiles/3a057c71-6f3a-712d-6f0a-7f1df1495ede" TargetMode="External"/><Relationship Id="rId839" Type="http://schemas.openxmlformats.org/officeDocument/2006/relationships/hyperlink" Target="https://app-web.statementrec.com/app#appuploadfiles/3a057fa9-ca13-6405-adc5-d7828921d2d4" TargetMode="External"/><Relationship Id="rId840" Type="http://schemas.openxmlformats.org/officeDocument/2006/relationships/hyperlink" Target="https://app-web.statementrec.com/app#appuploadfiles/3a05877e-497b-66c0-e4e6-86adf27182e4" TargetMode="External"/><Relationship Id="rId841" Type="http://schemas.openxmlformats.org/officeDocument/2006/relationships/hyperlink" Target="https://app-web.statementrec.com/app#appuploadfiles/3a058f11-6a9e-3bc9-9348-7f55a6c34a0d" TargetMode="External"/><Relationship Id="rId842" Type="http://schemas.openxmlformats.org/officeDocument/2006/relationships/hyperlink" Target="https://app-web.statementrec.com/app#appuploadfiles/3a059498-44ec-82a6-d1e3-3dd2b913b920" TargetMode="External"/><Relationship Id="rId843" Type="http://schemas.openxmlformats.org/officeDocument/2006/relationships/hyperlink" Target="https://app-web.statementrec.com/app#appuploadfiles/3a05954a-e21d-5239-a031-7095d1f9b8b7" TargetMode="External"/><Relationship Id="rId844" Type="http://schemas.openxmlformats.org/officeDocument/2006/relationships/hyperlink" Target="https://app-web.statementrec.com/app#appuploadfiles/3a05b2d8-3c56-68a9-8d7f-8e6051637103" TargetMode="External"/><Relationship Id="rId845" Type="http://schemas.openxmlformats.org/officeDocument/2006/relationships/hyperlink" Target="https://app-web.statementrec.com/app#appuploadfiles/3a05b378-5049-96f5-ac7f-be0cf989c384" TargetMode="External"/><Relationship Id="rId846" Type="http://schemas.openxmlformats.org/officeDocument/2006/relationships/hyperlink" Target="https://app-web.statementrec.com/app#appuploadfiles/3a05b39a-45b0-5a4e-929f-494a3f675e0a" TargetMode="External"/><Relationship Id="rId847" Type="http://schemas.openxmlformats.org/officeDocument/2006/relationships/hyperlink" Target="https://app-web.statementrec.com/app#appuploadfiles/3a05b3a1-df7a-a01a-d0d6-b04ebfa20059" TargetMode="External"/><Relationship Id="rId848" Type="http://schemas.openxmlformats.org/officeDocument/2006/relationships/hyperlink" Target="https://app-web.statementrec.com/app#appuploadfiles/3a05b675-3aa8-9a55-3142-7c6a0d5e2de2" TargetMode="External"/><Relationship Id="rId849" Type="http://schemas.openxmlformats.org/officeDocument/2006/relationships/hyperlink" Target="https://app-web.statementrec.com/app#appuploadfiles/3a05c23d-ba40-65a3-6eec-ed9cd0874731" TargetMode="External"/><Relationship Id="rId850" Type="http://schemas.openxmlformats.org/officeDocument/2006/relationships/hyperlink" Target="https://app-web.statementrec.com/app#appuploadfiles/3a05c7dc-946a-0e60-d194-794d5fb27732" TargetMode="External"/><Relationship Id="rId851" Type="http://schemas.openxmlformats.org/officeDocument/2006/relationships/hyperlink" Target="https://app-web.statementrec.com/app#appuploadfiles/3a05c8ac-7114-8d48-1489-ee79a1e5c7be" TargetMode="External"/><Relationship Id="rId852" Type="http://schemas.openxmlformats.org/officeDocument/2006/relationships/hyperlink" Target="https://app-web.statementrec.com/app#appuploadfiles/3a05c938-092c-3bb8-28d5-59357b9921b0" TargetMode="External"/><Relationship Id="rId853" Type="http://schemas.openxmlformats.org/officeDocument/2006/relationships/hyperlink" Target="https://app-web.statementrec.com/app#appuploadfiles/3a05ca8f-90bc-274d-175a-3705479adbc1" TargetMode="External"/><Relationship Id="rId854" Type="http://schemas.openxmlformats.org/officeDocument/2006/relationships/hyperlink" Target="https://app-web.statementrec.com/app#appuploadfiles/3a05d7c8-4d2c-ce97-3636-a8d0f56c7ec1" TargetMode="External"/><Relationship Id="rId855" Type="http://schemas.openxmlformats.org/officeDocument/2006/relationships/hyperlink" Target="https://app-web.statementrec.com/app#appuploadfiles/3a05dc68-4de2-68c9-a93b-90f1c2181480" TargetMode="External"/><Relationship Id="rId856" Type="http://schemas.openxmlformats.org/officeDocument/2006/relationships/hyperlink" Target="https://app-web.statementrec.com/app#appuploadfiles/3a05dd65-4174-dd23-7227-e61a8e6ec1dd" TargetMode="External"/><Relationship Id="rId857" Type="http://schemas.openxmlformats.org/officeDocument/2006/relationships/hyperlink" Target="https://app-web.statementrec.com/app#appuploadfiles/3a05e717-35ab-78c2-d55b-8bcbda024a2d" TargetMode="External"/><Relationship Id="rId858" Type="http://schemas.openxmlformats.org/officeDocument/2006/relationships/hyperlink" Target="https://app-web.statementrec.com/app#appuploadfiles/3a0606c1-c663-4404-3751-e65d007c3286" TargetMode="External"/><Relationship Id="rId859" Type="http://schemas.openxmlformats.org/officeDocument/2006/relationships/hyperlink" Target="https://app-web.statementrec.com/app#appuploadfiles/3a060a73-3ed6-52f3-0acc-eb6b84944b28" TargetMode="External"/><Relationship Id="rId860" Type="http://schemas.openxmlformats.org/officeDocument/2006/relationships/hyperlink" Target="https://app-web.statementrec.com/app#appuploadfiles/3a060bdb-358f-5a35-404e-1577a146c853" TargetMode="External"/><Relationship Id="rId861" Type="http://schemas.openxmlformats.org/officeDocument/2006/relationships/hyperlink" Target="https://app-web.statementrec.com/app#appuploadfiles/3a060e00-001a-6311-0f90-daa1da1d27dc" TargetMode="External"/><Relationship Id="rId862" Type="http://schemas.openxmlformats.org/officeDocument/2006/relationships/hyperlink" Target="https://app-web.statementrec.com/app#appuploadfiles/3a0610e7-06a3-6b9e-bcbb-51fe96a6e5a6" TargetMode="External"/><Relationship Id="rId863" Type="http://schemas.openxmlformats.org/officeDocument/2006/relationships/hyperlink" Target="https://app-web.statementrec.com/app#appuploadfiles/3a06161e-9942-a747-8d53-3401a5a4ed73" TargetMode="External"/><Relationship Id="rId864" Type="http://schemas.openxmlformats.org/officeDocument/2006/relationships/hyperlink" Target="https://app-web.statementrec.com/app#appuploadfiles/3a0624b3-2748-6735-4611-886271696e2f" TargetMode="External"/><Relationship Id="rId865" Type="http://schemas.openxmlformats.org/officeDocument/2006/relationships/hyperlink" Target="https://app-web.statementrec.com/app#appuploadfiles/3a062638-3cfc-9610-05db-2dbc672868b5" TargetMode="External"/><Relationship Id="rId866" Type="http://schemas.openxmlformats.org/officeDocument/2006/relationships/hyperlink" Target="https://app-web.statementrec.com/app#appuploadfiles/3a06343e-d12e-9235-b72e-42438257d5bd" TargetMode="External"/><Relationship Id="rId867" Type="http://schemas.openxmlformats.org/officeDocument/2006/relationships/hyperlink" Target="https://app-web.statementrec.com/app#appuploadfiles/3a064318-d4f3-7c1a-75f1-59a3a5299f9d" TargetMode="External"/><Relationship Id="rId868" Type="http://schemas.openxmlformats.org/officeDocument/2006/relationships/hyperlink" Target="https://app-web.statementrec.com/app#appuploadfiles/3a06532d-47fc-7572-37e4-1184e5cd93dd" TargetMode="External"/><Relationship Id="rId869" Type="http://schemas.openxmlformats.org/officeDocument/2006/relationships/hyperlink" Target="https://app-web.statementrec.com/app#appuploadfiles/3a065790-f646-0421-ceb9-ac1e061312e0" TargetMode="External"/><Relationship Id="rId870" Type="http://schemas.openxmlformats.org/officeDocument/2006/relationships/hyperlink" Target="https://app-web.statementrec.com/app#appuploadfiles/3a0657b0-8fa4-076e-8d5f-5957ff39a005" TargetMode="External"/><Relationship Id="rId871" Type="http://schemas.openxmlformats.org/officeDocument/2006/relationships/hyperlink" Target="https://app-web.statementrec.com/app#appuploadfiles/3a065911-7878-db89-10b2-899a02c8844b" TargetMode="External"/><Relationship Id="rId872" Type="http://schemas.openxmlformats.org/officeDocument/2006/relationships/hyperlink" Target="https://app-web.statementrec.com/app#appuploadfiles/3a066bd9-63f7-d126-8502-ea7e21853d1e" TargetMode="External"/><Relationship Id="rId873" Type="http://schemas.openxmlformats.org/officeDocument/2006/relationships/hyperlink" Target="https://app-web.statementrec.com/app#appuploadfiles/3a067709-376b-1e5b-fb1f-c0a03d0fd2ea" TargetMode="External"/><Relationship Id="rId874" Type="http://schemas.openxmlformats.org/officeDocument/2006/relationships/hyperlink" Target="https://app-web.statementrec.com/app#appuploadfiles/3a067cfc-952e-1928-bcf2-bf9b27bb5ef8" TargetMode="External"/><Relationship Id="rId875" Type="http://schemas.openxmlformats.org/officeDocument/2006/relationships/hyperlink" Target="https://app-web.statementrec.com/app#appuploadfiles/3a068b2c-d470-a714-0129-c265958c7717" TargetMode="External"/><Relationship Id="rId876" Type="http://schemas.openxmlformats.org/officeDocument/2006/relationships/hyperlink" Target="https://app-web.statementrec.com/app#appuploadfiles/3a068b58-e943-c4fe-299c-e81ef904a18a" TargetMode="External"/><Relationship Id="rId877" Type="http://schemas.openxmlformats.org/officeDocument/2006/relationships/hyperlink" Target="https://app-web.statementrec.com/app#appuploadfiles/3a068b6c-94a8-98fe-346d-0614055987cd" TargetMode="External"/><Relationship Id="rId878" Type="http://schemas.openxmlformats.org/officeDocument/2006/relationships/hyperlink" Target="https://app-web.statementrec.com/app#appuploadfiles/3a068c35-6f2e-3dfd-a369-f529721cef7c" TargetMode="External"/><Relationship Id="rId879" Type="http://schemas.openxmlformats.org/officeDocument/2006/relationships/hyperlink" Target="https://app-web.statementrec.com/app#appuploadfiles/3a068cec-de43-5939-7015-91b30cb953a7" TargetMode="External"/><Relationship Id="rId880" Type="http://schemas.openxmlformats.org/officeDocument/2006/relationships/hyperlink" Target="https://app-web.statementrec.com/app#appuploadfiles/3a068e09-5b57-9b94-d625-2cde94129a6c" TargetMode="External"/><Relationship Id="rId881" Type="http://schemas.openxmlformats.org/officeDocument/2006/relationships/hyperlink" Target="https://app-web.statementrec.com/app#appuploadfiles/3a06907a-f6da-83f8-59e4-2b585f14354b" TargetMode="External"/><Relationship Id="rId882" Type="http://schemas.openxmlformats.org/officeDocument/2006/relationships/hyperlink" Target="https://app-web.statementrec.com/app#appuploadfiles/3a069194-26c1-cb08-6dd4-935cb463c020" TargetMode="External"/><Relationship Id="rId883" Type="http://schemas.openxmlformats.org/officeDocument/2006/relationships/hyperlink" Target="https://app-web.statementrec.com/app#appuploadfiles/3a06a040-49e8-2c64-4f9b-7282a2d3f662" TargetMode="External"/><Relationship Id="rId884" Type="http://schemas.openxmlformats.org/officeDocument/2006/relationships/hyperlink" Target="https://app-web.statementrec.com/app#appuploadfiles/3a06a04a-4b21-46d2-dbb8-7445652b9e65" TargetMode="External"/><Relationship Id="rId885" Type="http://schemas.openxmlformats.org/officeDocument/2006/relationships/hyperlink" Target="https://app-web.statementrec.com/app#appuploadfiles/3a06a121-090c-c2e5-b882-780ecaa0e383" TargetMode="External"/><Relationship Id="rId886" Type="http://schemas.openxmlformats.org/officeDocument/2006/relationships/hyperlink" Target="https://app-web.statementrec.com/app#appuploadfiles/3a06b9f1-d672-b760-101d-199396a76ac3" TargetMode="External"/><Relationship Id="rId887" Type="http://schemas.openxmlformats.org/officeDocument/2006/relationships/hyperlink" Target="https://app-web.statementrec.com/app#appuploadfiles/3a06c186-b186-98ec-dc8c-5caf091fb1bb" TargetMode="External"/><Relationship Id="rId888" Type="http://schemas.openxmlformats.org/officeDocument/2006/relationships/hyperlink" Target="https://app-web.statementrec.com/app#appuploadfiles/3a06c3b7-d698-3a33-197f-521d337e4def" TargetMode="External"/><Relationship Id="rId889" Type="http://schemas.openxmlformats.org/officeDocument/2006/relationships/hyperlink" Target="https://app-web.statementrec.com/app#appuploadfiles/3a06d321-ed43-d691-e624-c9673465a3df" TargetMode="External"/><Relationship Id="rId890" Type="http://schemas.openxmlformats.org/officeDocument/2006/relationships/hyperlink" Target="https://app-web.statementrec.com/app#appuploadfiles/3a06df90-6137-aa39-fa91-702eb82b5a89" TargetMode="External"/><Relationship Id="rId891" Type="http://schemas.openxmlformats.org/officeDocument/2006/relationships/hyperlink" Target="https://app-web.statementrec.com/app#appuploadfiles/3a06dfdc-3cfd-43f8-46c0-22a65a8e85bc" TargetMode="External"/><Relationship Id="rId892" Type="http://schemas.openxmlformats.org/officeDocument/2006/relationships/hyperlink" Target="https://app-web.statementrec.com/app#appuploadfiles/3a06e2f1-8876-90bd-9b32-4f323c9cc7eb" TargetMode="External"/><Relationship Id="rId893" Type="http://schemas.openxmlformats.org/officeDocument/2006/relationships/hyperlink" Target="https://app-web.statementrec.com/app#appuploadfiles/3a06e8e4-4ee7-fcb7-9e04-05956675bb4e" TargetMode="External"/><Relationship Id="rId894" Type="http://schemas.openxmlformats.org/officeDocument/2006/relationships/hyperlink" Target="https://app-web.statementrec.com/app#appuploadfiles/3a06f715-f347-523d-79c4-a86ea2dda0f7" TargetMode="External"/><Relationship Id="rId895" Type="http://schemas.openxmlformats.org/officeDocument/2006/relationships/hyperlink" Target="https://app-web.statementrec.com/app#appuploadfiles/3a06f763-6e80-b072-c792-8f55d8cc8a66" TargetMode="External"/><Relationship Id="rId896" Type="http://schemas.openxmlformats.org/officeDocument/2006/relationships/hyperlink" Target="https://app-web.statementrec.com/app#appuploadfiles/3a06f76d-c5a2-e8b6-0299-cfc44c0e6914" TargetMode="External"/><Relationship Id="rId897" Type="http://schemas.openxmlformats.org/officeDocument/2006/relationships/hyperlink" Target="https://app-web.statementrec.com/app#appuploadfiles/3a070165-01b2-e26c-35f6-a4510634174e" TargetMode="External"/><Relationship Id="rId898" Type="http://schemas.openxmlformats.org/officeDocument/2006/relationships/hyperlink" Target="https://app-web.statementrec.com/app#appuploadfiles/3a070c3d-d4af-7d73-d12e-f59036bb454b" TargetMode="External"/><Relationship Id="rId899" Type="http://schemas.openxmlformats.org/officeDocument/2006/relationships/hyperlink" Target="https://app-web.statementrec.com/app#appuploadfiles/3a070d2c-a217-d669-f425-824d438cc817" TargetMode="External"/><Relationship Id="rId900" Type="http://schemas.openxmlformats.org/officeDocument/2006/relationships/hyperlink" Target="https://app-web.statementrec.com/app#appuploadfiles/3a07112f-dcb4-0ecf-27ae-540e20a8690e" TargetMode="External"/><Relationship Id="rId901" Type="http://schemas.openxmlformats.org/officeDocument/2006/relationships/hyperlink" Target="https://app-web.statementrec.com/app#appuploadfiles/3a071fde-70c7-41f5-ba3c-c2724e03081c" TargetMode="External"/><Relationship Id="rId902" Type="http://schemas.openxmlformats.org/officeDocument/2006/relationships/hyperlink" Target="https://app-web.statementrec.com/app#appuploadfiles/3a0721df-2c2a-6c90-ab1e-320349fbf1ad" TargetMode="External"/><Relationship Id="rId903" Type="http://schemas.openxmlformats.org/officeDocument/2006/relationships/hyperlink" Target="https://app-web.statementrec.com/app#appuploadfiles/3a072b0d-9f1f-2690-3b72-07cd1d4c2cf7" TargetMode="External"/><Relationship Id="rId904" Type="http://schemas.openxmlformats.org/officeDocument/2006/relationships/hyperlink" Target="https://app-web.statementrec.com/app#appuploadfiles/3a072c04-9dfc-1578-c1ca-32ea2d470f84" TargetMode="External"/><Relationship Id="rId905" Type="http://schemas.openxmlformats.org/officeDocument/2006/relationships/hyperlink" Target="https://app-web.statementrec.com/app#appuploadfiles/3a07309b-d2fd-dd73-b987-8f39c87e22d1" TargetMode="External"/><Relationship Id="rId906" Type="http://schemas.openxmlformats.org/officeDocument/2006/relationships/hyperlink" Target="https://app-web.statementrec.com/app#appuploadfiles/3a074127-1db5-4038-204e-1a37041392db" TargetMode="External"/><Relationship Id="rId907" Type="http://schemas.openxmlformats.org/officeDocument/2006/relationships/hyperlink" Target="https://app-web.statementrec.com/app#appuploadfiles/3a074b48-de80-6218-9c24-087b53d61751" TargetMode="External"/><Relationship Id="rId908" Type="http://schemas.openxmlformats.org/officeDocument/2006/relationships/hyperlink" Target="https://app-web.statementrec.com/app#appuploadfiles/3a0756e2-2130-6dca-a802-ffd2fb24351e" TargetMode="External"/><Relationship Id="rId909" Type="http://schemas.openxmlformats.org/officeDocument/2006/relationships/hyperlink" Target="https://app-web.statementrec.com/app#appuploadfiles/3a0763c7-26ef-1a21-3900-27dabb32e0f6" TargetMode="External"/><Relationship Id="rId910" Type="http://schemas.openxmlformats.org/officeDocument/2006/relationships/hyperlink" Target="https://app-web.statementrec.com/app#appuploadfiles/3a0768d8-508f-48c4-ce11-9fc05b6fa442" TargetMode="External"/><Relationship Id="rId911" Type="http://schemas.openxmlformats.org/officeDocument/2006/relationships/hyperlink" Target="https://app-web.statementrec.com/app#appuploadfiles/3a0768f0-2242-936d-8e85-2aa52b6c069b" TargetMode="External"/><Relationship Id="rId912" Type="http://schemas.openxmlformats.org/officeDocument/2006/relationships/hyperlink" Target="https://app-web.statementrec.com/app#appuploadfiles/3a076e17-e0ab-25ce-ff19-5f42f635780b" TargetMode="External"/><Relationship Id="rId913" Type="http://schemas.openxmlformats.org/officeDocument/2006/relationships/hyperlink" Target="https://app-web.statementrec.com/app#appuploadfiles/3a077346-92ce-3e77-7013-6e3ad66c65c6" TargetMode="External"/><Relationship Id="rId914" Type="http://schemas.openxmlformats.org/officeDocument/2006/relationships/hyperlink" Target="https://app-web.statementrec.com/app#appuploadfiles/3a077360-883e-5f56-b730-5a6aba98f985" TargetMode="External"/><Relationship Id="rId915" Type="http://schemas.openxmlformats.org/officeDocument/2006/relationships/hyperlink" Target="https://app-web.statementrec.com/app#appuploadfiles/3a078840-bc41-3ad8-89c4-e0b112931d60" TargetMode="External"/><Relationship Id="rId916" Type="http://schemas.openxmlformats.org/officeDocument/2006/relationships/hyperlink" Target="https://app-web.statementrec.com/app#appuploadfiles/3a078a66-001b-ba18-be9c-9defd9254b00" TargetMode="External"/><Relationship Id="rId917" Type="http://schemas.openxmlformats.org/officeDocument/2006/relationships/hyperlink" Target="https://app-web.statementrec.com/app#appuploadfiles/3a078cfc-b43e-cad5-54e7-09fa65087cb5" TargetMode="External"/><Relationship Id="rId918" Type="http://schemas.openxmlformats.org/officeDocument/2006/relationships/hyperlink" Target="https://app-web.statementrec.com/app#appuploadfiles/3a078e38-9321-dbb1-819d-2d2710781ebb" TargetMode="External"/><Relationship Id="rId919" Type="http://schemas.openxmlformats.org/officeDocument/2006/relationships/hyperlink" Target="https://app-web.statementrec.com/app#appuploadfiles/3a07913c-ac64-0520-b501-c2b7407cbf94" TargetMode="External"/><Relationship Id="rId920" Type="http://schemas.openxmlformats.org/officeDocument/2006/relationships/hyperlink" Target="https://app-web.statementrec.com/app#appuploadfiles/3a07983c-35ef-1add-6bc8-195baa8ea3f2" TargetMode="External"/><Relationship Id="rId921" Type="http://schemas.openxmlformats.org/officeDocument/2006/relationships/hyperlink" Target="https://app-web.statementrec.com/app#appuploadfiles/3a0798fb-fed9-03e0-64fe-a29a60c8bc21" TargetMode="External"/><Relationship Id="rId922" Type="http://schemas.openxmlformats.org/officeDocument/2006/relationships/hyperlink" Target="https://app-web.statementrec.com/app#appuploadfiles/3a079bf1-91d5-8fba-1567-5f308a9c8bd8" TargetMode="External"/><Relationship Id="rId923" Type="http://schemas.openxmlformats.org/officeDocument/2006/relationships/hyperlink" Target="https://app-web.statementrec.com/app#appuploadfiles/3a079d5c-1388-3942-536c-b340836f78ea" TargetMode="External"/><Relationship Id="rId924" Type="http://schemas.openxmlformats.org/officeDocument/2006/relationships/hyperlink" Target="https://app-web.statementrec.com/app#appuploadfiles/3a07ac51-a0bb-840a-8169-91dfe8611306" TargetMode="External"/><Relationship Id="rId925" Type="http://schemas.openxmlformats.org/officeDocument/2006/relationships/hyperlink" Target="https://app-web.statementrec.com/app#appuploadfiles/3a07b0ac-0531-68d3-707a-abe4e3fef4e0" TargetMode="External"/><Relationship Id="rId926" Type="http://schemas.openxmlformats.org/officeDocument/2006/relationships/hyperlink" Target="https://app-web.statementrec.com/app#appuploadfiles/3a07b0e4-c6fd-a636-41ed-5a5de6a75b9a" TargetMode="External"/><Relationship Id="rId927" Type="http://schemas.openxmlformats.org/officeDocument/2006/relationships/hyperlink" Target="https://app-web.statementrec.com/app#appuploadfiles/3a07b17f-475a-67fe-33ed-b1f6d042d298" TargetMode="External"/><Relationship Id="rId928" Type="http://schemas.openxmlformats.org/officeDocument/2006/relationships/hyperlink" Target="https://app-web.statementrec.com/app#appuploadfiles/3a07cf54-b3bb-c947-994e-e726db1071af" TargetMode="External"/><Relationship Id="rId929" Type="http://schemas.openxmlformats.org/officeDocument/2006/relationships/hyperlink" Target="https://app-web.statementrec.com/app#appuploadfiles/3a07d032-b5db-584f-85e1-609051bf0df7" TargetMode="External"/><Relationship Id="rId930" Type="http://schemas.openxmlformats.org/officeDocument/2006/relationships/hyperlink" Target="https://app-web.statementrec.com/app#appuploadfiles/3a07db3b-49de-7209-bb6a-994ce6a5fe7f" TargetMode="External"/><Relationship Id="rId931" Type="http://schemas.openxmlformats.org/officeDocument/2006/relationships/hyperlink" Target="https://app-web.statementrec.com/app#appuploadfiles/3a07db7f-e588-a94f-f9e3-885deea6c302" TargetMode="External"/><Relationship Id="rId932" Type="http://schemas.openxmlformats.org/officeDocument/2006/relationships/hyperlink" Target="https://app-web.statementrec.com/app#appuploadfiles/3a07df51-ea10-dc4f-7fee-f3afacb73d2d" TargetMode="External"/><Relationship Id="rId933" Type="http://schemas.openxmlformats.org/officeDocument/2006/relationships/hyperlink" Target="https://app-web.statementrec.com/app#appuploadfiles/3a07dff5-6f01-e1c2-fc4f-6da07aa5e497" TargetMode="External"/><Relationship Id="rId934" Type="http://schemas.openxmlformats.org/officeDocument/2006/relationships/hyperlink" Target="https://app-web.statementrec.com/app#appuploadfiles/3a07e03e-405c-ed34-6bb7-b97c13d37cda" TargetMode="External"/><Relationship Id="rId935" Type="http://schemas.openxmlformats.org/officeDocument/2006/relationships/hyperlink" Target="https://app-web.statementrec.com/app#appuploadfiles/3a07e50c-c89a-64d3-132f-f3b8f23cbb34" TargetMode="External"/><Relationship Id="rId936" Type="http://schemas.openxmlformats.org/officeDocument/2006/relationships/hyperlink" Target="https://app-web.statementrec.com/app#appuploadfiles/3a07eb64-67ab-0655-5361-d8ba016e9b34" TargetMode="External"/><Relationship Id="rId937" Type="http://schemas.openxmlformats.org/officeDocument/2006/relationships/hyperlink" Target="https://app-web.statementrec.com/app#appuploadfiles/3a07f688-e67a-67e9-9e0e-41bc87ee9095" TargetMode="External"/><Relationship Id="rId938" Type="http://schemas.openxmlformats.org/officeDocument/2006/relationships/hyperlink" Target="https://app-web.statementrec.com/app#appuploadfiles/3a07f876-7747-796d-6156-b949ffe68836" TargetMode="External"/><Relationship Id="rId939" Type="http://schemas.openxmlformats.org/officeDocument/2006/relationships/hyperlink" Target="https://app-web.statementrec.com/app#appuploadfiles/3a07f8d3-0833-7d16-1202-15692417f77b" TargetMode="External"/><Relationship Id="rId940" Type="http://schemas.openxmlformats.org/officeDocument/2006/relationships/hyperlink" Target="https://app-web.statementrec.com/app#appuploadfiles/3a07fddb-8fb9-31a0-8e9f-4badd9227433" TargetMode="External"/><Relationship Id="rId941" Type="http://schemas.openxmlformats.org/officeDocument/2006/relationships/hyperlink" Target="https://app-web.statementrec.com/app#appuploadfiles/3a0817fc-0eb8-7c68-2a6d-7a7fa97022a2" TargetMode="External"/><Relationship Id="rId942" Type="http://schemas.openxmlformats.org/officeDocument/2006/relationships/hyperlink" Target="https://app-web.statementrec.com/app#appuploadfiles/3a081861-f40c-9997-8fa8-99e69358c69b" TargetMode="External"/><Relationship Id="rId943" Type="http://schemas.openxmlformats.org/officeDocument/2006/relationships/hyperlink" Target="https://app-web.statementrec.com/app#appuploadfiles/3a082269-29a4-4cfc-9f71-c0b6ecc425f4" TargetMode="External"/><Relationship Id="rId944" Type="http://schemas.openxmlformats.org/officeDocument/2006/relationships/hyperlink" Target="https://app-web.statementrec.com/app#appuploadfiles/3a0822fd-f90f-6e4d-702a-104a86d2772c" TargetMode="External"/><Relationship Id="rId945" Type="http://schemas.openxmlformats.org/officeDocument/2006/relationships/hyperlink" Target="https://app-web.statementrec.com/app#appuploadfiles/3a0828c6-1640-5e89-61e5-aed8dc91f91a" TargetMode="External"/><Relationship Id="rId946" Type="http://schemas.openxmlformats.org/officeDocument/2006/relationships/hyperlink" Target="https://app-web.statementrec.com/app#appuploadfiles/3a082c45-f179-adb8-1383-1b26d366fc4b" TargetMode="External"/><Relationship Id="rId947" Type="http://schemas.openxmlformats.org/officeDocument/2006/relationships/hyperlink" Target="https://app-web.statementrec.com/app#appuploadfiles/3a08896c-480e-64d7-d618-0529cae8f887" TargetMode="External"/><Relationship Id="rId948" Type="http://schemas.openxmlformats.org/officeDocument/2006/relationships/hyperlink" Target="https://app-web.statementrec.com/app#appuploadfiles/3a0889de-4854-de0e-7da1-c64bae89c843" TargetMode="External"/><Relationship Id="rId949" Type="http://schemas.openxmlformats.org/officeDocument/2006/relationships/hyperlink" Target="https://app-web.statementrec.com/app#appuploadfiles/3a088a30-4a35-e14a-3c6f-ce74a7122bd2" TargetMode="External"/><Relationship Id="rId950" Type="http://schemas.openxmlformats.org/officeDocument/2006/relationships/hyperlink" Target="https://app-web.statementrec.com/app#appuploadfiles/3a0894a6-0993-a045-9a0c-835b69f3517e" TargetMode="External"/><Relationship Id="rId951" Type="http://schemas.openxmlformats.org/officeDocument/2006/relationships/hyperlink" Target="https://app-web.statementrec.com/app#appuploadfiles/3a08a7f8-3e4f-5e19-e2d1-253bf9b2e9e5" TargetMode="External"/><Relationship Id="rId952" Type="http://schemas.openxmlformats.org/officeDocument/2006/relationships/hyperlink" Target="https://app-web.statementrec.com/app#appuploadfiles/3a08a8c4-9846-f3f2-4613-32d76d0086c2" TargetMode="External"/><Relationship Id="rId953" Type="http://schemas.openxmlformats.org/officeDocument/2006/relationships/hyperlink" Target="https://app-web.statementrec.com/app#appuploadfiles/3a08ad8c-874f-317f-84e0-cdb8bf347f06" TargetMode="External"/><Relationship Id="rId954" Type="http://schemas.openxmlformats.org/officeDocument/2006/relationships/hyperlink" Target="https://app-web.statementrec.com/app#appuploadfiles/3a08adf6-403f-bf29-7794-20efc526811f" TargetMode="External"/><Relationship Id="rId955" Type="http://schemas.openxmlformats.org/officeDocument/2006/relationships/hyperlink" Target="https://app-web.statementrec.com/app#appuploadfiles/3a08ae2d-9346-c4b6-923b-d6093787e622" TargetMode="External"/><Relationship Id="rId956" Type="http://schemas.openxmlformats.org/officeDocument/2006/relationships/hyperlink" Target="https://app-web.statementrec.com/app#appuploadfiles/3a08b883-e57c-57e1-fb2c-2a88f6e306ed" TargetMode="External"/><Relationship Id="rId957" Type="http://schemas.openxmlformats.org/officeDocument/2006/relationships/hyperlink" Target="https://app-web.statementrec.com/app#appuploadfiles/3a08d165-d587-3762-f156-573c1fba71d8" TargetMode="External"/><Relationship Id="rId958" Type="http://schemas.openxmlformats.org/officeDocument/2006/relationships/hyperlink" Target="https://app-web.statementrec.com/app#appuploadfiles/3a08dbd8-a84a-f4e5-fd94-6f9c5fbaaf0d" TargetMode="External"/><Relationship Id="rId959" Type="http://schemas.openxmlformats.org/officeDocument/2006/relationships/hyperlink" Target="https://app-web.statementrec.com/app#appuploadfiles/3a08e154-0d2f-086c-2b30-adda2590970c" TargetMode="External"/><Relationship Id="rId960" Type="http://schemas.openxmlformats.org/officeDocument/2006/relationships/hyperlink" Target="https://app-web.statementrec.com/app#appuploadfiles/3a08e37b-5f03-6715-d6db-4e385755246f" TargetMode="External"/><Relationship Id="rId961" Type="http://schemas.openxmlformats.org/officeDocument/2006/relationships/hyperlink" Target="https://app-web.statementrec.com/app#appuploadfiles/3a08f271-a6cc-5970-c0f7-3dfcd22c142a" TargetMode="External"/><Relationship Id="rId962" Type="http://schemas.openxmlformats.org/officeDocument/2006/relationships/hyperlink" Target="https://app-web.statementrec.com/app#appuploadfiles/3a08f52f-4801-62c8-ec37-4fdf26e381bf" TargetMode="External"/><Relationship Id="rId963" Type="http://schemas.openxmlformats.org/officeDocument/2006/relationships/hyperlink" Target="https://app-web.statementrec.com/app#appuploadfiles/3a08f614-1802-cc39-2e87-fa60959f9c22" TargetMode="External"/><Relationship Id="rId964" Type="http://schemas.openxmlformats.org/officeDocument/2006/relationships/hyperlink" Target="https://app-web.statementrec.com/app#appuploadfiles/3a08f6be-1fc1-2420-71c6-c38f7035d723" TargetMode="External"/><Relationship Id="rId965" Type="http://schemas.openxmlformats.org/officeDocument/2006/relationships/hyperlink" Target="https://app-web.statementrec.com/app#appuploadfiles/3a09048a-c933-f369-8dea-40e0f389699c" TargetMode="External"/><Relationship Id="rId966" Type="http://schemas.openxmlformats.org/officeDocument/2006/relationships/hyperlink" Target="https://app-web.statementrec.com/app#appuploadfiles/3a091580-aba3-2672-6335-ac83e205fc45" TargetMode="External"/><Relationship Id="rId967" Type="http://schemas.openxmlformats.org/officeDocument/2006/relationships/hyperlink" Target="https://app-web.statementrec.com/app#appuploadfiles/3a091f00-a484-8f4f-199b-6baefc4f2bfe" TargetMode="External"/><Relationship Id="rId968" Type="http://schemas.openxmlformats.org/officeDocument/2006/relationships/hyperlink" Target="https://app-web.statementrec.com/app#appuploadfiles/3a091f08-c712-1868-257e-b655341eb46d" TargetMode="External"/><Relationship Id="rId969" Type="http://schemas.openxmlformats.org/officeDocument/2006/relationships/hyperlink" Target="https://app-web.statementrec.com/app#appuploadfiles/3a091f9e-80b0-ddf1-d2bb-28c07114ac3a" TargetMode="External"/><Relationship Id="rId970" Type="http://schemas.openxmlformats.org/officeDocument/2006/relationships/hyperlink" Target="https://app-web.statementrec.com/app#appuploadfiles/3a0923c5-8f0c-541d-5166-2c5e132ae32c" TargetMode="External"/><Relationship Id="rId971" Type="http://schemas.openxmlformats.org/officeDocument/2006/relationships/hyperlink" Target="https://app-web.statementrec.com/app#appuploadfiles/3a0928d8-0c19-3a1f-025c-d27229d73da1" TargetMode="External"/><Relationship Id="rId972" Type="http://schemas.openxmlformats.org/officeDocument/2006/relationships/hyperlink" Target="https://app-web.statementrec.com/app#appuploadfiles/3a093dbc-e4c7-316b-8ee3-80cc4b6c83d2" TargetMode="External"/><Relationship Id="rId973" Type="http://schemas.openxmlformats.org/officeDocument/2006/relationships/hyperlink" Target="https://app-web.statementrec.com/app#appuploadfiles/3a0947be-ffef-2e0c-238e-4fe7cad4b02f" TargetMode="External"/><Relationship Id="rId974" Type="http://schemas.openxmlformats.org/officeDocument/2006/relationships/hyperlink" Target="https://app-web.statementrec.com/app#appuploadfiles/3a094c6c-a447-c6b1-3e17-70ffec851fe2" TargetMode="External"/><Relationship Id="rId975" Type="http://schemas.openxmlformats.org/officeDocument/2006/relationships/hyperlink" Target="https://app-web.statementrec.com/app#appuploadfiles/3a094ce6-9cd1-efe8-b406-449ba6f0ae25" TargetMode="External"/><Relationship Id="rId976" Type="http://schemas.openxmlformats.org/officeDocument/2006/relationships/hyperlink" Target="https://app-web.statementrec.com/app#appuploadfiles/3a09619b-8126-c60d-72b8-450144b39776" TargetMode="External"/><Relationship Id="rId977" Type="http://schemas.openxmlformats.org/officeDocument/2006/relationships/hyperlink" Target="https://app-web.statementrec.com/app#appuploadfiles/3a09672c-157a-5db3-7eb0-3bd44869b8f3" TargetMode="External"/><Relationship Id="rId978" Type="http://schemas.openxmlformats.org/officeDocument/2006/relationships/hyperlink" Target="https://app-web.statementrec.com/app#appuploadfiles/3a096bf6-6791-6211-708f-478d3542f627" TargetMode="External"/><Relationship Id="rId979" Type="http://schemas.openxmlformats.org/officeDocument/2006/relationships/hyperlink" Target="https://app-web.statementrec.com/app#appuploadfiles/3a096e5f-890b-8f26-5171-af8b0fd463e7" TargetMode="External"/><Relationship Id="rId980" Type="http://schemas.openxmlformats.org/officeDocument/2006/relationships/hyperlink" Target="https://app-web.statementrec.com/app#appuploadfiles/3a0971d7-ac58-d652-d352-de0996afd3ae" TargetMode="External"/><Relationship Id="rId981" Type="http://schemas.openxmlformats.org/officeDocument/2006/relationships/hyperlink" Target="https://app-web.statementrec.com/app#appuploadfiles/3a0971e3-c825-1efc-8310-99c102e792a8" TargetMode="External"/><Relationship Id="rId982" Type="http://schemas.openxmlformats.org/officeDocument/2006/relationships/hyperlink" Target="https://app-web.statementrec.com/app#appuploadfiles/3a097f96-2559-01aa-6837-79d8c1762d0a" TargetMode="External"/><Relationship Id="rId983" Type="http://schemas.openxmlformats.org/officeDocument/2006/relationships/hyperlink" Target="https://app-web.statementrec.com/app#appuploadfiles/3a098617-7fdd-99a1-813e-c4e5a9bb41d3" TargetMode="External"/><Relationship Id="rId984" Type="http://schemas.openxmlformats.org/officeDocument/2006/relationships/hyperlink" Target="https://app-web.statementrec.com/app#appuploadfiles/3a098b86-b485-7798-592c-5a1042d34bae" TargetMode="External"/><Relationship Id="rId985" Type="http://schemas.openxmlformats.org/officeDocument/2006/relationships/hyperlink" Target="https://app-web.statementrec.com/app#appuploadfiles/3a099156-2cfc-62e2-3838-b44652321118" TargetMode="External"/><Relationship Id="rId986" Type="http://schemas.openxmlformats.org/officeDocument/2006/relationships/hyperlink" Target="https://app-web.statementrec.com/app#appuploadfiles/3a099515-541a-8bed-4fc9-4594de83aeb4" TargetMode="External"/><Relationship Id="rId987" Type="http://schemas.openxmlformats.org/officeDocument/2006/relationships/hyperlink" Target="https://app-web.statementrec.com/app#appuploadfiles/3a09a1f4-9775-e4d7-6340-129e0b1c6c93" TargetMode="External"/><Relationship Id="rId988" Type="http://schemas.openxmlformats.org/officeDocument/2006/relationships/hyperlink" Target="https://app-web.statementrec.com/app#appuploadfiles/3a09a475-183b-d93f-2446-1cc3c032cbf7" TargetMode="External"/><Relationship Id="rId989" Type="http://schemas.openxmlformats.org/officeDocument/2006/relationships/hyperlink" Target="https://app-web.statementrec.com/app#appuploadfiles/3a09a600-cfa3-4ae4-a9d6-d031e13e3b07" TargetMode="External"/><Relationship Id="rId990" Type="http://schemas.openxmlformats.org/officeDocument/2006/relationships/hyperlink" Target="https://app-web.statementrec.com/app#appuploadfiles/3a09a9a1-9981-bf55-33b0-08875d2428aa" TargetMode="External"/><Relationship Id="rId991" Type="http://schemas.openxmlformats.org/officeDocument/2006/relationships/hyperlink" Target="https://app-web.statementrec.com/app#appuploadfiles/3a09aafd-d3cc-7d33-362c-645a4f8e9b5b" TargetMode="External"/><Relationship Id="rId992" Type="http://schemas.openxmlformats.org/officeDocument/2006/relationships/hyperlink" Target="https://app-web.statementrec.com/app#appuploadfiles/3a09aeeb-037c-b93f-c3e9-42518ce2c934" TargetMode="External"/><Relationship Id="rId993" Type="http://schemas.openxmlformats.org/officeDocument/2006/relationships/hyperlink" Target="https://app-web.statementrec.com/app#appuploadfiles/3a09b05b-c527-51bc-0b1d-7df0b56ab1a4" TargetMode="External"/><Relationship Id="rId994" Type="http://schemas.openxmlformats.org/officeDocument/2006/relationships/hyperlink" Target="https://app-web.statementrec.com/app#appuploadfiles/3a09b3d9-aa14-3abf-934d-a2e4a4517bdd" TargetMode="External"/><Relationship Id="rId995" Type="http://schemas.openxmlformats.org/officeDocument/2006/relationships/hyperlink" Target="https://app-web.statementrec.com/app#appuploadfiles/3a09cdbd-9658-6d49-1a1c-0de52ac85b60" TargetMode="External"/><Relationship Id="rId996" Type="http://schemas.openxmlformats.org/officeDocument/2006/relationships/hyperlink" Target="https://app-web.statementrec.com/app#appuploadfiles/3a09d5dc-cebc-addc-145c-ea01a937564a" TargetMode="External"/><Relationship Id="rId997" Type="http://schemas.openxmlformats.org/officeDocument/2006/relationships/hyperlink" Target="https://app-web.statementrec.com/app#appuploadfiles/3a09d949-4541-dc0e-70d5-28b21e5ff899" TargetMode="External"/><Relationship Id="rId998" Type="http://schemas.openxmlformats.org/officeDocument/2006/relationships/hyperlink" Target="https://app-web.statementrec.com/app#appuploadfiles/3a09dd2a-3f83-1b55-1191-0f3b51d440b1" TargetMode="External"/><Relationship Id="rId999" Type="http://schemas.openxmlformats.org/officeDocument/2006/relationships/hyperlink" Target="https://app-web.statementrec.com/app#appuploadfiles/3a09dd36-9bda-78b6-8e5c-be9a4d187762" TargetMode="External"/><Relationship Id="rId1000" Type="http://schemas.openxmlformats.org/officeDocument/2006/relationships/hyperlink" Target="https://app-web.statementrec.com/app#appuploadfiles/3a09e815-e642-828c-f12a-794e7382b6dc" TargetMode="External"/><Relationship Id="rId1001" Type="http://schemas.openxmlformats.org/officeDocument/2006/relationships/hyperlink" Target="https://app-web.statementrec.com/app#appuploadfiles/3a09ebcb-1a7a-9777-a601-fd09b3bbca0b" TargetMode="External"/><Relationship Id="rId1002" Type="http://schemas.openxmlformats.org/officeDocument/2006/relationships/hyperlink" Target="https://app-web.statementrec.com/app#appuploadfiles/3a09f15d-87f7-83fe-704f-01c279bed3cf" TargetMode="External"/><Relationship Id="rId1003" Type="http://schemas.openxmlformats.org/officeDocument/2006/relationships/hyperlink" Target="https://app-web.statementrec.com/app#appuploadfiles/3a09f275-0335-d2ec-3450-6e3f459fbd16" TargetMode="External"/><Relationship Id="rId1004" Type="http://schemas.openxmlformats.org/officeDocument/2006/relationships/hyperlink" Target="https://app-web.statementrec.com/app#appuploadfiles/3a09f365-6bd1-b576-7b3d-dc42476513e0" TargetMode="External"/><Relationship Id="rId1005" Type="http://schemas.openxmlformats.org/officeDocument/2006/relationships/hyperlink" Target="https://app-web.statementrec.com/app#appuploadfiles/3a09f7f8-5e62-913b-a249-65d007564a9a" TargetMode="External"/><Relationship Id="rId1006" Type="http://schemas.openxmlformats.org/officeDocument/2006/relationships/hyperlink" Target="https://app-web.statementrec.com/app#appuploadfiles/3a09fbdd-4a71-d6cf-e2f6-519e5a19784c" TargetMode="External"/><Relationship Id="rId1007" Type="http://schemas.openxmlformats.org/officeDocument/2006/relationships/hyperlink" Target="https://app-web.statementrec.com/app#appuploadfiles/3a0a013d-8fbb-ac5e-58ca-66bb7cee66c1" TargetMode="External"/><Relationship Id="rId1008" Type="http://schemas.openxmlformats.org/officeDocument/2006/relationships/hyperlink" Target="https://app-web.statementrec.com/app#appuploadfiles/3a0a0157-aaf2-6ede-98f0-7310c2bca8af" TargetMode="External"/><Relationship Id="rId1009" Type="http://schemas.openxmlformats.org/officeDocument/2006/relationships/hyperlink" Target="https://app-web.statementrec.com/app#appuploadfiles/3a0a0211-3296-7674-799b-52866d19c8cd" TargetMode="External"/><Relationship Id="rId1010" Type="http://schemas.openxmlformats.org/officeDocument/2006/relationships/hyperlink" Target="https://app-web.statementrec.com/app#appuploadfiles/3a0a1095-6977-986f-129f-c1a0af2662ba" TargetMode="External"/><Relationship Id="rId1011" Type="http://schemas.openxmlformats.org/officeDocument/2006/relationships/hyperlink" Target="https://app-web.statementrec.com/app#appuploadfiles/3a0a1ab1-1e13-7187-d75e-f9bbe0cc8b8c" TargetMode="External"/><Relationship Id="rId1012" Type="http://schemas.openxmlformats.org/officeDocument/2006/relationships/hyperlink" Target="https://app-web.statementrec.com/app#appuploadfiles/3a0a1fad-b86b-d8cf-a349-584257e2581d" TargetMode="External"/><Relationship Id="rId1013" Type="http://schemas.openxmlformats.org/officeDocument/2006/relationships/hyperlink" Target="https://app-web.statementrec.com/app#appuploadfiles/3a0a2040-73e7-397a-c1c9-54e76c6e774b" TargetMode="External"/><Relationship Id="rId1014" Type="http://schemas.openxmlformats.org/officeDocument/2006/relationships/hyperlink" Target="https://app-web.statementrec.com/app#appuploadfiles/3a0a2d6e-8d5f-7073-3366-71675262750d" TargetMode="External"/><Relationship Id="rId1015" Type="http://schemas.openxmlformats.org/officeDocument/2006/relationships/hyperlink" Target="https://app-web.statementrec.com/app#appuploadfiles/3a0a3442-3f7a-7edc-94d8-822353059afe" TargetMode="External"/><Relationship Id="rId1016" Type="http://schemas.openxmlformats.org/officeDocument/2006/relationships/hyperlink" Target="https://app-web.statementrec.com/app#appuploadfiles/3a0a38fa-7349-696d-4b73-7032ac192722" TargetMode="External"/><Relationship Id="rId1017" Type="http://schemas.openxmlformats.org/officeDocument/2006/relationships/hyperlink" Target="https://app-web.statementrec.com/app#appuploadfiles/3a0a396f-c5e8-231c-aba6-fcf663ce13d6" TargetMode="External"/><Relationship Id="rId1018" Type="http://schemas.openxmlformats.org/officeDocument/2006/relationships/hyperlink" Target="https://app-web.statementrec.com/app#appuploadfiles/3a0a3ff0-7a09-8bce-392e-87e61d62ddff" TargetMode="External"/><Relationship Id="rId1019" Type="http://schemas.openxmlformats.org/officeDocument/2006/relationships/hyperlink" Target="https://app-web.statementrec.com/app#appuploadfiles/3a0a43f7-2078-a75c-4277-73f6d2bcc97c" TargetMode="External"/><Relationship Id="rId1020" Type="http://schemas.openxmlformats.org/officeDocument/2006/relationships/hyperlink" Target="https://app-web.statementrec.com/app#appuploadfiles/3a0a4539-ced7-a4c0-ec97-82cc9215a203" TargetMode="External"/><Relationship Id="rId1021" Type="http://schemas.openxmlformats.org/officeDocument/2006/relationships/hyperlink" Target="https://app-web.statementrec.com/app#appuploadfiles/3a0a4612-90e9-e5b4-0bd4-689b717e3a49" TargetMode="External"/><Relationship Id="rId1022" Type="http://schemas.openxmlformats.org/officeDocument/2006/relationships/hyperlink" Target="https://app-web.statementrec.com/app#appuploadfiles/3a0a4977-d75e-cb93-ced9-375ad999dc44" TargetMode="External"/><Relationship Id="rId1023" Type="http://schemas.openxmlformats.org/officeDocument/2006/relationships/hyperlink" Target="https://app-web.statementrec.com/app#appuploadfiles/3a0a584d-d612-a654-001a-823d88f2cb4c" TargetMode="External"/><Relationship Id="rId1024" Type="http://schemas.openxmlformats.org/officeDocument/2006/relationships/hyperlink" Target="https://app-web.statementrec.com/app#appuploadfiles/3a0a59b6-0633-1eea-b08f-2fcaeee0c242" TargetMode="External"/><Relationship Id="rId1025" Type="http://schemas.openxmlformats.org/officeDocument/2006/relationships/hyperlink" Target="https://app-web.statementrec.com/app#appuploadfiles/3a0a6323-f6af-9e5d-d900-061b36118e48" TargetMode="External"/><Relationship Id="rId1026" Type="http://schemas.openxmlformats.org/officeDocument/2006/relationships/hyperlink" Target="https://app-web.statementrec.com/app#appuploadfiles/3a0a7e40-0346-7ae9-ceea-679c94e5f2e7" TargetMode="External"/><Relationship Id="rId1027" Type="http://schemas.openxmlformats.org/officeDocument/2006/relationships/hyperlink" Target="https://app-web.statementrec.com/app#appuploadfiles/3a0a876c-7065-7d8e-8673-c656a9fe2855" TargetMode="External"/><Relationship Id="rId1028" Type="http://schemas.openxmlformats.org/officeDocument/2006/relationships/hyperlink" Target="https://app-web.statementrec.com/app#appuploadfiles/3a0a8d70-96bd-c1a4-8e6c-5e6dbc838e84" TargetMode="External"/><Relationship Id="rId1029" Type="http://schemas.openxmlformats.org/officeDocument/2006/relationships/hyperlink" Target="https://app-web.statementrec.com/app#appuploadfiles/3a0a922e-fca4-b2ff-f7e4-2d9027a120a4" TargetMode="External"/><Relationship Id="rId1030" Type="http://schemas.openxmlformats.org/officeDocument/2006/relationships/hyperlink" Target="https://app-web.statementrec.com/app#appuploadfiles/3a0a9ac7-2a07-8537-e9b7-0312f763a21e" TargetMode="External"/><Relationship Id="rId1031" Type="http://schemas.openxmlformats.org/officeDocument/2006/relationships/hyperlink" Target="https://app-web.statementrec.com/app#appuploadfiles/3a0a9cda-1b90-3ff0-cc98-f2136568407a" TargetMode="External"/><Relationship Id="rId1032" Type="http://schemas.openxmlformats.org/officeDocument/2006/relationships/hyperlink" Target="https://app-web.statementrec.com/app#appuploadfiles/3a0a9cda-cc7b-bc6b-fdc1-dd1ef013b719" TargetMode="External"/><Relationship Id="rId1033" Type="http://schemas.openxmlformats.org/officeDocument/2006/relationships/hyperlink" Target="https://app-web.statementrec.com/app#appuploadfiles/3a0aa220-9ff4-9654-a549-0140564c5ca1" TargetMode="External"/><Relationship Id="rId1034" Type="http://schemas.openxmlformats.org/officeDocument/2006/relationships/hyperlink" Target="https://app-web.statementrec.com/app#appuploadfiles/3a0ab01d-f581-9db9-1a73-1192d5027093" TargetMode="External"/><Relationship Id="rId1035" Type="http://schemas.openxmlformats.org/officeDocument/2006/relationships/hyperlink" Target="https://app-web.statementrec.com/app#appuploadfiles/3a0ab2be-3024-5b60-fc59-6125ce245cfb" TargetMode="External"/><Relationship Id="rId1036" Type="http://schemas.openxmlformats.org/officeDocument/2006/relationships/hyperlink" Target="https://app-web.statementrec.com/app#appuploadfiles/3a0ac493-5baf-f357-2981-08b932985051" TargetMode="External"/><Relationship Id="rId1037" Type="http://schemas.openxmlformats.org/officeDocument/2006/relationships/hyperlink" Target="https://app-web.statementrec.com/app#appuploadfiles/3a0acb2c-b066-dda6-033e-fceb909bfadb" TargetMode="External"/><Relationship Id="rId1038" Type="http://schemas.openxmlformats.org/officeDocument/2006/relationships/hyperlink" Target="https://app-web.statementrec.com/app#appuploadfiles/3a0ace5d-fd9a-ea07-2dc3-d3f07ad2c950" TargetMode="External"/><Relationship Id="rId1039" Type="http://schemas.openxmlformats.org/officeDocument/2006/relationships/hyperlink" Target="https://app-web.statementrec.com/app#appuploadfiles/3a0ace5e-dfdc-dfe1-70eb-1ef2181f5d9f" TargetMode="External"/><Relationship Id="rId1040" Type="http://schemas.openxmlformats.org/officeDocument/2006/relationships/hyperlink" Target="https://app-web.statementrec.com/app#appuploadfiles/3a0ad2ed-2618-1e05-27ca-98971da502f9" TargetMode="External"/><Relationship Id="rId1041" Type="http://schemas.openxmlformats.org/officeDocument/2006/relationships/hyperlink" Target="https://app-web.statementrec.com/app#appuploadfiles/3a0ad55a-9395-be76-03b0-f68755990c8d" TargetMode="External"/><Relationship Id="rId1042" Type="http://schemas.openxmlformats.org/officeDocument/2006/relationships/hyperlink" Target="https://app-web.statementrec.com/app#appuploadfiles/3a0ad629-0704-c5f4-36d0-81e409200e76" TargetMode="External"/><Relationship Id="rId1043" Type="http://schemas.openxmlformats.org/officeDocument/2006/relationships/hyperlink" Target="https://app-web.statementrec.com/app#appuploadfiles/3a0adf62-3937-196e-a20a-9f7ce440ae77" TargetMode="External"/><Relationship Id="rId1044" Type="http://schemas.openxmlformats.org/officeDocument/2006/relationships/hyperlink" Target="https://app-web.statementrec.com/app#appuploadfiles/3a0aea15-cc2f-50b2-940e-aa6a0749d794" TargetMode="External"/><Relationship Id="rId1045" Type="http://schemas.openxmlformats.org/officeDocument/2006/relationships/hyperlink" Target="https://app-web.statementrec.com/app#appuploadfiles/3a0aea71-cb06-e737-1205-3ca242587053" TargetMode="External"/><Relationship Id="rId1046" Type="http://schemas.openxmlformats.org/officeDocument/2006/relationships/hyperlink" Target="https://app-web.statementrec.com/app#appuploadfiles/3a0aeac0-cad6-0db4-1abc-2728bde8be0a" TargetMode="External"/><Relationship Id="rId1047" Type="http://schemas.openxmlformats.org/officeDocument/2006/relationships/hyperlink" Target="https://app-web.statementrec.com/app#appuploadfiles/3a0aee3d-3dbb-a5c2-be18-8cb4e719b1f0" TargetMode="External"/><Relationship Id="rId1048" Type="http://schemas.openxmlformats.org/officeDocument/2006/relationships/hyperlink" Target="https://app-web.statementrec.com/app#appuploadfiles/3a0aef53-c4ff-b41e-ef31-cf7ffd486b5c" TargetMode="External"/><Relationship Id="rId1049" Type="http://schemas.openxmlformats.org/officeDocument/2006/relationships/hyperlink" Target="https://app-web.statementrec.com/app#appuploadfiles/3a0af47f-2b9b-e2ef-0ece-d63e8ac6ede8" TargetMode="External"/><Relationship Id="rId1050" Type="http://schemas.openxmlformats.org/officeDocument/2006/relationships/hyperlink" Target="https://app-web.statementrec.com/app#appuploadfiles/3a0af871-f421-25a0-bb1c-74b13c187879" TargetMode="External"/><Relationship Id="rId1051" Type="http://schemas.openxmlformats.org/officeDocument/2006/relationships/hyperlink" Target="https://app-web.statementrec.com/app#appuploadfiles/3a0af90f-35f6-f93e-eb1a-2acd635a5c8c" TargetMode="External"/><Relationship Id="rId1052" Type="http://schemas.openxmlformats.org/officeDocument/2006/relationships/hyperlink" Target="https://app-web.statementrec.com/app#appuploadfiles/3a0afd36-c451-9722-cd2e-55c37140792a" TargetMode="External"/><Relationship Id="rId1053" Type="http://schemas.openxmlformats.org/officeDocument/2006/relationships/hyperlink" Target="https://app-web.statementrec.com/app#appuploadfiles/3a0b03b2-ee66-7ec3-fc48-4a9ff842a5a0" TargetMode="External"/><Relationship Id="rId1054" Type="http://schemas.openxmlformats.org/officeDocument/2006/relationships/hyperlink" Target="https://app-web.statementrec.com/app#appuploadfiles/3a0b0bde-c9d0-608c-77fe-f03cac87e53e" TargetMode="External"/><Relationship Id="rId1055" Type="http://schemas.openxmlformats.org/officeDocument/2006/relationships/hyperlink" Target="https://app-web.statementrec.com/app#appuploadfiles/3a0b169c-65db-4677-e852-b234be80260f" TargetMode="External"/><Relationship Id="rId1056" Type="http://schemas.openxmlformats.org/officeDocument/2006/relationships/hyperlink" Target="https://app-web.statementrec.com/app#appuploadfiles/3a0b178d-5ceb-155e-01ee-d1d976661986" TargetMode="External"/><Relationship Id="rId1057" Type="http://schemas.openxmlformats.org/officeDocument/2006/relationships/hyperlink" Target="https://app-web.statementrec.com/app#appuploadfiles/3a0b1797-fca9-873a-4f5a-89b2569f51b0" TargetMode="External"/><Relationship Id="rId1058" Type="http://schemas.openxmlformats.org/officeDocument/2006/relationships/hyperlink" Target="https://app-web.statementrec.com/app#appuploadfiles/3a0b1a0c-2812-d9c7-6926-74adde05a36d" TargetMode="External"/><Relationship Id="rId1059" Type="http://schemas.openxmlformats.org/officeDocument/2006/relationships/hyperlink" Target="https://app-web.statementrec.com/app#appuploadfiles/3a0b1c9b-f882-a81f-b4f8-7078d2e118ef" TargetMode="External"/><Relationship Id="rId1060" Type="http://schemas.openxmlformats.org/officeDocument/2006/relationships/hyperlink" Target="https://app-web.statementrec.com/app#appuploadfiles/3a0b22d6-50bf-1f44-07a6-82be4b02fca4" TargetMode="External"/><Relationship Id="rId1061" Type="http://schemas.openxmlformats.org/officeDocument/2006/relationships/hyperlink" Target="https://app-web.statementrec.com/app#appuploadfiles/3a0b3098-5aff-3318-d848-1c0ec8f4a32e" TargetMode="External"/><Relationship Id="rId1062" Type="http://schemas.openxmlformats.org/officeDocument/2006/relationships/hyperlink" Target="https://app-web.statementrec.com/app#appuploadfiles/3a0b3174-daab-2af9-2320-1cf2081eab11" TargetMode="External"/><Relationship Id="rId1063" Type="http://schemas.openxmlformats.org/officeDocument/2006/relationships/hyperlink" Target="https://app-web.statementrec.com/app#appuploadfiles/3a0b31cc-44df-0906-68ce-a2210e908f08" TargetMode="External"/><Relationship Id="rId1064" Type="http://schemas.openxmlformats.org/officeDocument/2006/relationships/hyperlink" Target="https://app-web.statementrec.com/app#appuploadfiles/3a0b31fe-a9a2-37d1-240c-96d8dfd14fd0" TargetMode="External"/><Relationship Id="rId1065" Type="http://schemas.openxmlformats.org/officeDocument/2006/relationships/hyperlink" Target="https://app-web.statementrec.com/app#appuploadfiles/3a0b32c9-01e2-e1a6-03c9-61878f5ca07b" TargetMode="External"/><Relationship Id="rId1066" Type="http://schemas.openxmlformats.org/officeDocument/2006/relationships/hyperlink" Target="https://app-web.statementrec.com/app#appuploadfiles/3a0b3629-3c31-e836-9588-9a37476459bb" TargetMode="External"/><Relationship Id="rId1067" Type="http://schemas.openxmlformats.org/officeDocument/2006/relationships/hyperlink" Target="https://app-web.statementrec.com/app#appuploadfiles/3a0b3767-7c41-6de0-59f4-b252513f6452" TargetMode="External"/><Relationship Id="rId1068" Type="http://schemas.openxmlformats.org/officeDocument/2006/relationships/hyperlink" Target="https://app-web.statementrec.com/app#appuploadfiles/3a0b3b13-0509-01f0-9215-fedb7d48f3ae" TargetMode="External"/><Relationship Id="rId1069" Type="http://schemas.openxmlformats.org/officeDocument/2006/relationships/hyperlink" Target="https://app-web.statementrec.com/app#appuploadfiles/3a0b401a-8755-17d9-2dc8-c310b54a051e" TargetMode="External"/><Relationship Id="rId1070" Type="http://schemas.openxmlformats.org/officeDocument/2006/relationships/hyperlink" Target="https://app-web.statementrec.com/app#appuploadfiles/3a0b405d-4f19-945c-4eb1-aca48f0773d9" TargetMode="External"/><Relationship Id="rId1071" Type="http://schemas.openxmlformats.org/officeDocument/2006/relationships/hyperlink" Target="https://app-web.statementrec.com/app#appuploadfiles/3a0b410f-bfb5-2518-c45b-89c25ca771b6" TargetMode="External"/><Relationship Id="rId1072" Type="http://schemas.openxmlformats.org/officeDocument/2006/relationships/hyperlink" Target="https://app-web.statementrec.com/app#appuploadfiles/3a0b4544-4276-0835-3e0d-d95aaf8b53ab" TargetMode="External"/><Relationship Id="rId1073" Type="http://schemas.openxmlformats.org/officeDocument/2006/relationships/hyperlink" Target="https://app-web.statementrec.com/app#appuploadfiles/3a0b54db-a184-d503-dd70-ff3b7f48e7a2" TargetMode="External"/><Relationship Id="rId1074" Type="http://schemas.openxmlformats.org/officeDocument/2006/relationships/hyperlink" Target="https://app-web.statementrec.com/app#appuploadfiles/3a0b5508-bd68-c2e6-7388-749b882f76cf" TargetMode="External"/><Relationship Id="rId1075" Type="http://schemas.openxmlformats.org/officeDocument/2006/relationships/hyperlink" Target="https://app-web.statementrec.com/app#appuploadfiles/3a0b556e-4eb9-6cde-b975-135ca102967e" TargetMode="External"/><Relationship Id="rId1076" Type="http://schemas.openxmlformats.org/officeDocument/2006/relationships/hyperlink" Target="https://app-web.statementrec.com/app#appuploadfiles/3a0b55e5-0ba8-9ff0-c82b-061d79dfe270" TargetMode="External"/><Relationship Id="rId1077" Type="http://schemas.openxmlformats.org/officeDocument/2006/relationships/hyperlink" Target="https://app-web.statementrec.com/app#appuploadfiles/3a0b55e5-87cc-5bed-8f95-ebcac0a08da7" TargetMode="External"/><Relationship Id="rId1078" Type="http://schemas.openxmlformats.org/officeDocument/2006/relationships/hyperlink" Target="https://app-web.statementrec.com/app#appuploadfiles/3a0b562c-7289-c620-9f8e-99b7faea2a4b" TargetMode="External"/><Relationship Id="rId1079" Type="http://schemas.openxmlformats.org/officeDocument/2006/relationships/hyperlink" Target="https://app-web.statementrec.com/app#appuploadfiles/3a0b5a06-353b-8887-4db4-59d295dd1c00" TargetMode="External"/><Relationship Id="rId1080" Type="http://schemas.openxmlformats.org/officeDocument/2006/relationships/hyperlink" Target="https://app-web.statementrec.com/app#appuploadfiles/3a0b5a93-decb-8520-0ed2-ce8ab06acbfd" TargetMode="External"/><Relationship Id="rId1081" Type="http://schemas.openxmlformats.org/officeDocument/2006/relationships/hyperlink" Target="https://app-web.statementrec.com/app#appuploadfiles/3a0b5ae3-d0a9-5099-649a-6d02b876f648" TargetMode="External"/><Relationship Id="rId1082" Type="http://schemas.openxmlformats.org/officeDocument/2006/relationships/hyperlink" Target="https://app-web.statementrec.com/app#appuploadfiles/3a0b5c63-5cc4-9280-6144-ba2e7e4ccafc" TargetMode="External"/><Relationship Id="rId1083" Type="http://schemas.openxmlformats.org/officeDocument/2006/relationships/hyperlink" Target="https://app-web.statementrec.com/app#appuploadfiles/3a0b5f0c-1d29-d132-50af-59057528c9d8" TargetMode="External"/><Relationship Id="rId1084" Type="http://schemas.openxmlformats.org/officeDocument/2006/relationships/hyperlink" Target="https://app-web.statementrec.com/app#appuploadfiles/3a0b6052-df17-a36c-af6c-724168b524c2" TargetMode="External"/><Relationship Id="rId1085" Type="http://schemas.openxmlformats.org/officeDocument/2006/relationships/hyperlink" Target="https://app-web.statementrec.com/app#appuploadfiles/3a0b6069-3874-84f1-993c-13fd0a1a3cd1" TargetMode="External"/><Relationship Id="rId1086" Type="http://schemas.openxmlformats.org/officeDocument/2006/relationships/hyperlink" Target="https://app-web.statementrec.com/app#appuploadfiles/3a0b6088-5ce1-0545-2a49-903fab4f10ed" TargetMode="External"/><Relationship Id="rId1087" Type="http://schemas.openxmlformats.org/officeDocument/2006/relationships/hyperlink" Target="https://app-web.statementrec.com/app#appuploadfiles/3a0b65cb-9ced-4c2d-12b0-722a677a0827" TargetMode="External"/><Relationship Id="rId1088" Type="http://schemas.openxmlformats.org/officeDocument/2006/relationships/hyperlink" Target="https://app-web.statementrec.com/app#appuploadfiles/3a0b68aa-8e8d-a062-5544-26352180cdf6" TargetMode="External"/><Relationship Id="rId1089" Type="http://schemas.openxmlformats.org/officeDocument/2006/relationships/hyperlink" Target="https://app-web.statementrec.com/app#appuploadfiles/3a0b69a3-d779-3ec9-fe03-c5518f71bdaf" TargetMode="External"/><Relationship Id="rId1090" Type="http://schemas.openxmlformats.org/officeDocument/2006/relationships/hyperlink" Target="https://app-web.statementrec.com/app#appuploadfiles/3a0b6a95-b5d8-e941-3d2a-1059b1f8e2c6" TargetMode="External"/><Relationship Id="rId1091" Type="http://schemas.openxmlformats.org/officeDocument/2006/relationships/hyperlink" Target="https://app-web.statementrec.com/app#appuploadfiles/3a0b6eb9-d0bb-68e1-5af9-f5c566adf3e6" TargetMode="External"/><Relationship Id="rId1092" Type="http://schemas.openxmlformats.org/officeDocument/2006/relationships/hyperlink" Target="https://app-web.statementrec.com/app#appuploadfiles/3a0b74a2-9b1c-8ebe-4fad-58c80d4b50d8" TargetMode="External"/><Relationship Id="rId1093" Type="http://schemas.openxmlformats.org/officeDocument/2006/relationships/hyperlink" Target="https://app-web.statementrec.com/app#appuploadfiles/3a0b8375-f446-60e2-50e5-32a4faea04b0" TargetMode="External"/><Relationship Id="rId1094" Type="http://schemas.openxmlformats.org/officeDocument/2006/relationships/hyperlink" Target="https://app-web.statementrec.com/app#appuploadfiles/3a0b8d58-0177-0a75-fce0-8c4510daa48d" TargetMode="External"/><Relationship Id="rId1095" Type="http://schemas.openxmlformats.org/officeDocument/2006/relationships/hyperlink" Target="https://app-web.statementrec.com/app#appuploadfiles/3a0b8d8a-5939-35e7-f2e6-cf6bbea12e3c" TargetMode="External"/><Relationship Id="rId1096" Type="http://schemas.openxmlformats.org/officeDocument/2006/relationships/hyperlink" Target="https://app-web.statementrec.com/app#appuploadfiles/3a0b8ede-f0cc-1d5c-810d-57873a020adb" TargetMode="External"/><Relationship Id="rId1097" Type="http://schemas.openxmlformats.org/officeDocument/2006/relationships/hyperlink" Target="https://app-web.statementrec.com/app#appuploadfiles/3a0b9421-7762-080f-7015-6bf606e2723b" TargetMode="External"/><Relationship Id="rId1098" Type="http://schemas.openxmlformats.org/officeDocument/2006/relationships/hyperlink" Target="https://app-web.statementrec.com/app#appuploadfiles/3a0b9d14-61a2-06ac-1a8e-cf157f3f7b95" TargetMode="External"/><Relationship Id="rId1099" Type="http://schemas.openxmlformats.org/officeDocument/2006/relationships/hyperlink" Target="https://app-web.statementrec.com/app#appuploadfiles/3a0b9e3b-32ad-31f7-1ba7-f84295e7bbc1" TargetMode="External"/><Relationship Id="rId1100" Type="http://schemas.openxmlformats.org/officeDocument/2006/relationships/hyperlink" Target="https://app-web.statementrec.com/app#appuploadfiles/3a0b9efe-c764-1017-5592-a75c056d6a15" TargetMode="External"/><Relationship Id="rId1101" Type="http://schemas.openxmlformats.org/officeDocument/2006/relationships/hyperlink" Target="https://app-web.statementrec.com/app#appuploadfiles/3a0ba21d-6069-9099-1a9c-1ab236ce9b29" TargetMode="External"/><Relationship Id="rId1102" Type="http://schemas.openxmlformats.org/officeDocument/2006/relationships/hyperlink" Target="https://app-web.statementrec.com/app#appuploadfiles/3a0ba7f2-a896-2f13-8ff0-01e746855389" TargetMode="External"/><Relationship Id="rId1103" Type="http://schemas.openxmlformats.org/officeDocument/2006/relationships/hyperlink" Target="https://app-web.statementrec.com/app#appuploadfiles/3a0bad95-8a43-e85a-87b5-6baf0786c0cd" TargetMode="External"/><Relationship Id="rId1104" Type="http://schemas.openxmlformats.org/officeDocument/2006/relationships/hyperlink" Target="https://app-web.statementrec.com/app#appuploadfiles/3a0bc1a6-2869-fe42-00c7-9ae348a7b0ac" TargetMode="External"/><Relationship Id="rId1105" Type="http://schemas.openxmlformats.org/officeDocument/2006/relationships/hyperlink" Target="https://app-web.statementrec.com/app#appuploadfiles/3a0bc1a6-cf79-41df-4a79-b2a61de22daa" TargetMode="External"/><Relationship Id="rId1106" Type="http://schemas.openxmlformats.org/officeDocument/2006/relationships/hyperlink" Target="https://app-web.statementrec.com/app#appuploadfiles/3a0bc615-c82e-55d5-57ae-bca194b11380" TargetMode="External"/><Relationship Id="rId1107" Type="http://schemas.openxmlformats.org/officeDocument/2006/relationships/hyperlink" Target="https://app-web.statementrec.com/app#appuploadfiles/3a0bc73b-c6e9-e2fd-8bea-692008090eea" TargetMode="External"/><Relationship Id="rId1108" Type="http://schemas.openxmlformats.org/officeDocument/2006/relationships/hyperlink" Target="https://app-web.statementrec.com/app#appuploadfiles/3a0bcc4b-1446-a538-a155-377eb104bd19" TargetMode="External"/><Relationship Id="rId1109" Type="http://schemas.openxmlformats.org/officeDocument/2006/relationships/hyperlink" Target="https://app-web.statementrec.com/app#appuploadfiles/3a0bd05c-3a8a-0651-1c89-2e8c372418d0" TargetMode="External"/><Relationship Id="rId1110" Type="http://schemas.openxmlformats.org/officeDocument/2006/relationships/hyperlink" Target="https://app-web.statementrec.com/app#appuploadfiles/3a0bd07d-d255-49b0-c951-b03a191f5fbb" TargetMode="External"/><Relationship Id="rId1111" Type="http://schemas.openxmlformats.org/officeDocument/2006/relationships/hyperlink" Target="https://app-web.statementrec.com/app#appuploadfiles/3a0bd0c4-bbb0-2dd6-67c8-df4126a3b1b9" TargetMode="External"/><Relationship Id="rId1112" Type="http://schemas.openxmlformats.org/officeDocument/2006/relationships/hyperlink" Target="https://app-web.statementrec.com/app#appuploadfiles/3a0bd675-ab7c-de08-7e04-dc00f3c76360" TargetMode="External"/><Relationship Id="rId1113" Type="http://schemas.openxmlformats.org/officeDocument/2006/relationships/hyperlink" Target="https://app-web.statementrec.com/app#appuploadfiles/3a0bd865-7290-207b-df2e-7d88d75bba06" TargetMode="External"/><Relationship Id="rId1114" Type="http://schemas.openxmlformats.org/officeDocument/2006/relationships/hyperlink" Target="https://app-web.statementrec.com/app#appuploadfiles/3a0be68c-df02-2a7a-056b-56c038f35ed1" TargetMode="External"/><Relationship Id="rId1115" Type="http://schemas.openxmlformats.org/officeDocument/2006/relationships/hyperlink" Target="https://app-web.statementrec.com/app#appuploadfiles/3a0bea00-3bf2-9f91-8fb8-70fb49d5a56e" TargetMode="External"/><Relationship Id="rId1116" Type="http://schemas.openxmlformats.org/officeDocument/2006/relationships/hyperlink" Target="https://app-web.statementrec.com/app#appuploadfiles/3a0bf4c9-84c5-9c21-16c5-8026a1492eef" TargetMode="External"/><Relationship Id="rId1117" Type="http://schemas.openxmlformats.org/officeDocument/2006/relationships/hyperlink" Target="https://app-web.statementrec.com/app#appuploadfiles/3a0bf68b-068a-d865-2312-a6ac7704998c" TargetMode="External"/><Relationship Id="rId1118" Type="http://schemas.openxmlformats.org/officeDocument/2006/relationships/hyperlink" Target="https://app-web.statementrec.com/app#appuploadfiles/3a0c0dcb-d029-209d-3bb4-d5a860ff7586" TargetMode="External"/><Relationship Id="rId1119" Type="http://schemas.openxmlformats.org/officeDocument/2006/relationships/hyperlink" Target="https://app-web.statementrec.com/app#appuploadfiles/3a0c0fcd-7388-262f-3e67-6b774346fff7" TargetMode="External"/><Relationship Id="rId1120" Type="http://schemas.openxmlformats.org/officeDocument/2006/relationships/hyperlink" Target="https://app-web.statementrec.com/app#appuploadfiles/3a0c2fb0-43f4-bd8a-1b26-8e457afbc31c" TargetMode="External"/><Relationship Id="rId1121" Type="http://schemas.openxmlformats.org/officeDocument/2006/relationships/hyperlink" Target="https://app-web.statementrec.com/app#appuploadfiles/3a0c32f9-5f3e-c8b3-9eb2-de1493e4a560" TargetMode="External"/><Relationship Id="rId1122" Type="http://schemas.openxmlformats.org/officeDocument/2006/relationships/hyperlink" Target="https://app-web.statementrec.com/app#appuploadfiles/3a0c32ff-93fc-5baa-71fd-ceb6b2281620" TargetMode="External"/><Relationship Id="rId1123" Type="http://schemas.openxmlformats.org/officeDocument/2006/relationships/hyperlink" Target="https://app-web.statementrec.com/app#appuploadfiles/3a0c3830-6dca-a350-e916-95f935f85184" TargetMode="External"/><Relationship Id="rId1124" Type="http://schemas.openxmlformats.org/officeDocument/2006/relationships/hyperlink" Target="https://app-web.statementrec.com/app#appuploadfiles/3a0c3d89-22a2-d79a-7545-b8d16789ccb2" TargetMode="External"/><Relationship Id="rId1125" Type="http://schemas.openxmlformats.org/officeDocument/2006/relationships/hyperlink" Target="https://app-web.statementrec.com/app#appuploadfiles/3a0c3df5-7c15-53e7-d033-c17be14a514f" TargetMode="External"/><Relationship Id="rId1126" Type="http://schemas.openxmlformats.org/officeDocument/2006/relationships/hyperlink" Target="https://app-web.statementrec.com/app#appuploadfiles/3a0c3e17-f135-693f-66a7-f2bc9a2764ba" TargetMode="External"/><Relationship Id="rId1127" Type="http://schemas.openxmlformats.org/officeDocument/2006/relationships/hyperlink" Target="https://app-web.statementrec.com/app#appuploadfiles/3a0c3f36-2f05-dc88-ee0b-04d999365fd5" TargetMode="External"/><Relationship Id="rId1128" Type="http://schemas.openxmlformats.org/officeDocument/2006/relationships/hyperlink" Target="https://app-web.statementrec.com/app#appuploadfiles/3a0c47b4-e7d3-8f31-335d-98d63e8ebaaf" TargetMode="External"/><Relationship Id="rId1129" Type="http://schemas.openxmlformats.org/officeDocument/2006/relationships/hyperlink" Target="https://app-web.statementrec.com/app#appuploadfiles/3a0c513a-34e6-6631-5756-35849f6ec890" TargetMode="External"/><Relationship Id="rId1130" Type="http://schemas.openxmlformats.org/officeDocument/2006/relationships/hyperlink" Target="https://app-web.statementrec.com/app#appuploadfiles/3a0c5686-6c7f-0eb8-6b79-8ebc90163334" TargetMode="External"/><Relationship Id="rId1131" Type="http://schemas.openxmlformats.org/officeDocument/2006/relationships/hyperlink" Target="https://app-web.statementrec.com/app#appuploadfiles/3a0c5703-d3db-9b99-e783-2de26fa82aa3" TargetMode="External"/><Relationship Id="rId1132" Type="http://schemas.openxmlformats.org/officeDocument/2006/relationships/hyperlink" Target="https://app-web.statementrec.com/app#appuploadfiles/3a0c5be2-f59e-cdbd-9a14-c367325f658b" TargetMode="External"/><Relationship Id="rId1133" Type="http://schemas.openxmlformats.org/officeDocument/2006/relationships/hyperlink" Target="https://app-web.statementrec.com/app#appuploadfiles/3a0c60c7-b43b-bff1-aba7-67adb8deb824" TargetMode="External"/><Relationship Id="rId1134" Type="http://schemas.openxmlformats.org/officeDocument/2006/relationships/hyperlink" Target="https://app-web.statementrec.com/app#appuploadfiles/3a0c62ce-2e43-8dd3-70dd-3667ad762998" TargetMode="External"/><Relationship Id="rId1135" Type="http://schemas.openxmlformats.org/officeDocument/2006/relationships/hyperlink" Target="https://app-web.statementrec.com/app#appuploadfiles/3a0c6624-bfdf-c7b0-c2bf-c7c1b6e1b513" TargetMode="External"/><Relationship Id="rId1136" Type="http://schemas.openxmlformats.org/officeDocument/2006/relationships/hyperlink" Target="https://app-web.statementrec.com/app#appuploadfiles/3a0c766a-44b0-70af-c9d1-b2dcaf603bc0" TargetMode="External"/><Relationship Id="rId1137" Type="http://schemas.openxmlformats.org/officeDocument/2006/relationships/hyperlink" Target="https://app-web.statementrec.com/app#appuploadfiles/3a0c785c-e92c-7201-930a-9002480c25ba" TargetMode="External"/><Relationship Id="rId1138" Type="http://schemas.openxmlformats.org/officeDocument/2006/relationships/hyperlink" Target="https://app-web.statementrec.com/app#appuploadfiles/3a0c7a82-8cf5-ddd7-84ad-0f7e47fc74d2" TargetMode="External"/><Relationship Id="rId1139" Type="http://schemas.openxmlformats.org/officeDocument/2006/relationships/hyperlink" Target="https://app-web.statementrec.com/app#appuploadfiles/3a0c7fa1-b8d2-91ba-7b66-8a4988b2d4e3" TargetMode="External"/><Relationship Id="rId1140" Type="http://schemas.openxmlformats.org/officeDocument/2006/relationships/hyperlink" Target="https://app-web.statementrec.com/app#appuploadfiles/3a0c85f0-a5ec-ff7b-626b-674d3742be18" TargetMode="External"/><Relationship Id="rId1141" Type="http://schemas.openxmlformats.org/officeDocument/2006/relationships/hyperlink" Target="https://app-web.statementrec.com/app#appuploadfiles/3a0c8621-4324-4164-990e-54144b2c8f45" TargetMode="External"/><Relationship Id="rId1142" Type="http://schemas.openxmlformats.org/officeDocument/2006/relationships/hyperlink" Target="https://app-web.statementrec.com/app#appuploadfiles/3a0c86c6-a1f2-e10f-837d-2aa43fe19af7" TargetMode="External"/><Relationship Id="rId1143" Type="http://schemas.openxmlformats.org/officeDocument/2006/relationships/hyperlink" Target="https://app-web.statementrec.com/app#appuploadfiles/3a0c89a4-6cb5-25d1-3efb-81b255b20645" TargetMode="External"/><Relationship Id="rId1144" Type="http://schemas.openxmlformats.org/officeDocument/2006/relationships/hyperlink" Target="https://app-web.statementrec.com/app#appuploadfiles/3a0c8a5d-c346-4941-0ae3-a3dd919ddffb" TargetMode="External"/><Relationship Id="rId1145" Type="http://schemas.openxmlformats.org/officeDocument/2006/relationships/hyperlink" Target="https://app-web.statementrec.com/app#appuploadfiles/3a0c90dc-1742-1e0c-79dc-e9613b4aef67" TargetMode="External"/><Relationship Id="rId1146" Type="http://schemas.openxmlformats.org/officeDocument/2006/relationships/hyperlink" Target="https://app-web.statementrec.com/app#appuploadfiles/3a0c971b-40e6-82fb-2e10-e44cdd463b6e" TargetMode="External"/><Relationship Id="rId1147" Type="http://schemas.openxmlformats.org/officeDocument/2006/relationships/hyperlink" Target="https://app-web.statementrec.com/app#appuploadfiles/3a0ca879-b201-8bd3-8145-952840e0524a" TargetMode="External"/><Relationship Id="rId1148" Type="http://schemas.openxmlformats.org/officeDocument/2006/relationships/hyperlink" Target="https://app-web.statementrec.com/app#appuploadfiles/3a0ca8b5-d2be-92d0-eb0c-a6751d378dbb" TargetMode="External"/><Relationship Id="rId1149" Type="http://schemas.openxmlformats.org/officeDocument/2006/relationships/hyperlink" Target="https://app-web.statementrec.com/app#appuploadfiles/3a0ca9ce-12ae-62f4-6b7c-5a552ccfcc68" TargetMode="External"/><Relationship Id="rId1150" Type="http://schemas.openxmlformats.org/officeDocument/2006/relationships/hyperlink" Target="https://app-web.statementrec.com/app#appuploadfiles/3a0cae17-153d-fd60-9695-58e12f2546d6" TargetMode="External"/><Relationship Id="rId1151" Type="http://schemas.openxmlformats.org/officeDocument/2006/relationships/hyperlink" Target="https://app-web.statementrec.com/app#appuploadfiles/3a0cb266-8c4b-25c9-5034-be77170bc010" TargetMode="External"/><Relationship Id="rId1152" Type="http://schemas.openxmlformats.org/officeDocument/2006/relationships/hyperlink" Target="https://app-web.statementrec.com/app#appuploadfiles/3a0cbea1-f052-52bf-321d-2730cf40cce1" TargetMode="External"/><Relationship Id="rId1153" Type="http://schemas.openxmlformats.org/officeDocument/2006/relationships/hyperlink" Target="https://app-web.statementrec.com/app#appuploadfiles/3a0cc794-70a4-1f4c-f110-74b5e6bcf45a" TargetMode="External"/><Relationship Id="rId1154" Type="http://schemas.openxmlformats.org/officeDocument/2006/relationships/hyperlink" Target="https://app-web.statementrec.com/app#appuploadfiles/3a0ce270-4aeb-f25b-0d11-3e4b813842a2" TargetMode="External"/><Relationship Id="rId1155" Type="http://schemas.openxmlformats.org/officeDocument/2006/relationships/hyperlink" Target="https://app-web.statementrec.com/app#appuploadfiles/3a0ce29c-f53e-3a7d-b43b-80b3d5e9d66d" TargetMode="External"/><Relationship Id="rId1156" Type="http://schemas.openxmlformats.org/officeDocument/2006/relationships/hyperlink" Target="https://app-web.statementrec.com/app#appuploadfiles/3a0cf156-72be-f820-2a15-2c35d7ba1fb4" TargetMode="External"/><Relationship Id="rId1157" Type="http://schemas.openxmlformats.org/officeDocument/2006/relationships/hyperlink" Target="https://app-web.statementrec.com/app#appuploadfiles/3a0cf1ef-1e19-5cf4-a4b2-d723fdcb83c8" TargetMode="External"/><Relationship Id="rId1158" Type="http://schemas.openxmlformats.org/officeDocument/2006/relationships/hyperlink" Target="https://app-web.statementrec.com/app#appuploadfiles/3a0cf2a4-8157-6d14-232b-4e8f36ad6ec1" TargetMode="External"/><Relationship Id="rId1159" Type="http://schemas.openxmlformats.org/officeDocument/2006/relationships/hyperlink" Target="https://app-web.statementrec.com/app#appuploadfiles/3a0cf652-b094-08f2-a739-06612410ebde" TargetMode="External"/><Relationship Id="rId1160" Type="http://schemas.openxmlformats.org/officeDocument/2006/relationships/hyperlink" Target="https://app-web.statementrec.com/app#appuploadfiles/3a0cfc2a-c19a-8dab-9f61-60043064c0e2" TargetMode="External"/><Relationship Id="rId1161" Type="http://schemas.openxmlformats.org/officeDocument/2006/relationships/hyperlink" Target="https://app-web.statementrec.com/app#appuploadfiles/3a0d0c7a-5897-c1be-8caa-1e65f5c6dd0e" TargetMode="External"/><Relationship Id="rId1162" Type="http://schemas.openxmlformats.org/officeDocument/2006/relationships/hyperlink" Target="https://app-web.statementrec.com/app#appuploadfiles/3a0d0f91-f375-f077-e652-99b1b317d273" TargetMode="External"/><Relationship Id="rId1163" Type="http://schemas.openxmlformats.org/officeDocument/2006/relationships/hyperlink" Target="https://app-web.statementrec.com/app#appuploadfiles/3a0d0fa2-e59e-67d7-fb02-8f9df05a7e13" TargetMode="External"/><Relationship Id="rId1164" Type="http://schemas.openxmlformats.org/officeDocument/2006/relationships/hyperlink" Target="https://app-web.statementrec.com/app#appuploadfiles/3a0d0fd9-e5e1-a556-6d90-c03a03e9c289" TargetMode="External"/><Relationship Id="rId1165" Type="http://schemas.openxmlformats.org/officeDocument/2006/relationships/hyperlink" Target="https://app-web.statementrec.com/app#appuploadfiles/3a0d0ff6-43ae-92a2-f5c7-33d806d43f83" TargetMode="External"/><Relationship Id="rId1166" Type="http://schemas.openxmlformats.org/officeDocument/2006/relationships/hyperlink" Target="https://app-web.statementrec.com/app#appuploadfiles/3a0d1104-f199-b89f-9773-5bb0c9048c91" TargetMode="External"/><Relationship Id="rId1167" Type="http://schemas.openxmlformats.org/officeDocument/2006/relationships/hyperlink" Target="https://app-web.statementrec.com/app#appuploadfiles/3a0d16ab-f901-ccfb-8ac3-a2558b6ee5f4" TargetMode="External"/><Relationship Id="rId1168" Type="http://schemas.openxmlformats.org/officeDocument/2006/relationships/hyperlink" Target="https://app-web.statementrec.com/app#appuploadfiles/3a0d1aa8-24dc-de78-efdb-3331375c6f75" TargetMode="External"/><Relationship Id="rId1169" Type="http://schemas.openxmlformats.org/officeDocument/2006/relationships/hyperlink" Target="https://app-web.statementrec.com/app#appuploadfiles/3a0d1b0f-e015-13de-589c-3078921a4472" TargetMode="External"/><Relationship Id="rId1170" Type="http://schemas.openxmlformats.org/officeDocument/2006/relationships/hyperlink" Target="https://app-web.statementrec.com/app#appuploadfiles/3a0d1b49-4e25-868e-d38b-6f36f2aebef2" TargetMode="External"/><Relationship Id="rId1171" Type="http://schemas.openxmlformats.org/officeDocument/2006/relationships/hyperlink" Target="https://app-web.statementrec.com/app#appuploadfiles/3a0d1b4e-67de-9ec7-30e8-b7562b142f9d" TargetMode="External"/><Relationship Id="rId1172" Type="http://schemas.openxmlformats.org/officeDocument/2006/relationships/hyperlink" Target="https://app-web.statementrec.com/app#appuploadfiles/3a0d2960-d499-f385-26bb-cbd91ac65f4a" TargetMode="External"/><Relationship Id="rId1173" Type="http://schemas.openxmlformats.org/officeDocument/2006/relationships/hyperlink" Target="https://app-web.statementrec.com/app#appuploadfiles/3a0d2971-73dd-1d07-6d29-44bc422f3604" TargetMode="External"/><Relationship Id="rId1174" Type="http://schemas.openxmlformats.org/officeDocument/2006/relationships/hyperlink" Target="https://app-web.statementrec.com/app#appuploadfiles/3a0d2a79-b86e-6dcb-201d-2a5f046e4fe0" TargetMode="External"/><Relationship Id="rId1175" Type="http://schemas.openxmlformats.org/officeDocument/2006/relationships/hyperlink" Target="https://app-web.statementrec.com/app#appuploadfiles/3a0d2ef8-20de-7bb8-6960-0d33548a9d37" TargetMode="External"/><Relationship Id="rId1176" Type="http://schemas.openxmlformats.org/officeDocument/2006/relationships/hyperlink" Target="https://app-web.statementrec.com/app#appuploadfiles/3a0d33bd-5030-cbe5-dc9d-c42127156d12" TargetMode="External"/><Relationship Id="rId1177" Type="http://schemas.openxmlformats.org/officeDocument/2006/relationships/hyperlink" Target="https://app-web.statementrec.com/app#appuploadfiles/3a0d33c8-c8bd-2041-4cf8-73b003ac5726" TargetMode="External"/><Relationship Id="rId1178" Type="http://schemas.openxmlformats.org/officeDocument/2006/relationships/hyperlink" Target="https://app-web.statementrec.com/app#appuploadfiles/3a0d3619-9149-a6bc-f46c-6d5fd9a10266" TargetMode="External"/><Relationship Id="rId1179" Type="http://schemas.openxmlformats.org/officeDocument/2006/relationships/hyperlink" Target="https://app-web.statementrec.com/app#appuploadfiles/3a0d38da-96f1-cca0-1404-6bb5f5c2b47d" TargetMode="External"/><Relationship Id="rId1180" Type="http://schemas.openxmlformats.org/officeDocument/2006/relationships/hyperlink" Target="https://app-web.statementrec.com/app#appuploadfiles/3a0d3a22-4097-11e5-47bf-85fb390501dd" TargetMode="External"/><Relationship Id="rId1181" Type="http://schemas.openxmlformats.org/officeDocument/2006/relationships/hyperlink" Target="https://app-web.statementrec.com/app#appuploadfiles/3a0d3b83-beb9-8665-5365-ae244d02e72f" TargetMode="External"/><Relationship Id="rId1182" Type="http://schemas.openxmlformats.org/officeDocument/2006/relationships/hyperlink" Target="https://app-web.statementrec.com/app#appuploadfiles/3a0d3ee8-1b4a-608f-45df-82544fff4a09" TargetMode="External"/><Relationship Id="rId1183" Type="http://schemas.openxmlformats.org/officeDocument/2006/relationships/hyperlink" Target="https://app-web.statementrec.com/app#appuploadfiles/3a0d4093-0ba4-3acc-216e-87af17360038" TargetMode="External"/><Relationship Id="rId1184" Type="http://schemas.openxmlformats.org/officeDocument/2006/relationships/hyperlink" Target="https://app-web.statementrec.com/app#appuploadfiles/3a0d53e7-cbc8-2cf4-7a54-f815a762414b" TargetMode="External"/><Relationship Id="rId1185" Type="http://schemas.openxmlformats.org/officeDocument/2006/relationships/hyperlink" Target="https://app-web.statementrec.com/app#appuploadfiles/3a0d57e7-31c6-8caa-919d-0cd7a9a79fa3" TargetMode="External"/><Relationship Id="rId1186" Type="http://schemas.openxmlformats.org/officeDocument/2006/relationships/hyperlink" Target="https://app-web.statementrec.com/app#appuploadfiles/3a0d6252-8053-6018-6659-173488bc1ade" TargetMode="External"/><Relationship Id="rId1187" Type="http://schemas.openxmlformats.org/officeDocument/2006/relationships/hyperlink" Target="https://app-web.statementrec.com/app#appuploadfiles/3a0d71fc-66a1-9ab3-e02d-5c56db0a5122" TargetMode="External"/><Relationship Id="rId1188" Type="http://schemas.openxmlformats.org/officeDocument/2006/relationships/hyperlink" Target="https://app-web.statementrec.com/app#appuploadfiles/3a0d7680-fa49-cfa4-f139-1c1bc0a5188f" TargetMode="External"/><Relationship Id="rId1189" Type="http://schemas.openxmlformats.org/officeDocument/2006/relationships/hyperlink" Target="https://app-web.statementrec.com/app#appuploadfiles/3a0d770c-f2c3-e573-826a-35659a11177c" TargetMode="External"/><Relationship Id="rId1190" Type="http://schemas.openxmlformats.org/officeDocument/2006/relationships/hyperlink" Target="https://app-web.statementrec.com/app#appuploadfiles/3a0d77e5-ee9c-ef68-65fa-c2a104573725" TargetMode="External"/><Relationship Id="rId1191" Type="http://schemas.openxmlformats.org/officeDocument/2006/relationships/hyperlink" Target="https://app-web.statementrec.com/app#appuploadfiles/3a0d7c10-6cad-1bc1-000f-9fa8f223edf2" TargetMode="External"/><Relationship Id="rId1192" Type="http://schemas.openxmlformats.org/officeDocument/2006/relationships/hyperlink" Target="https://app-web.statementrec.com/app#appuploadfiles/3a0d7c29-8f35-cc77-ff55-6e368b7202ed" TargetMode="External"/><Relationship Id="rId1193" Type="http://schemas.openxmlformats.org/officeDocument/2006/relationships/hyperlink" Target="https://app-web.statementrec.com/app#appuploadfiles/3a0d7cea-5407-488d-a01a-b3ab29485b29" TargetMode="External"/><Relationship Id="rId1194" Type="http://schemas.openxmlformats.org/officeDocument/2006/relationships/hyperlink" Target="https://app-web.statementrec.com/app#appuploadfiles/3a0d7d0a-d771-a8f0-724e-95b06fceb2a4" TargetMode="External"/><Relationship Id="rId1195" Type="http://schemas.openxmlformats.org/officeDocument/2006/relationships/hyperlink" Target="https://app-web.statementrec.com/app#appuploadfiles/3a0d7eb5-de69-0efe-4969-40d59a8f0de0" TargetMode="External"/><Relationship Id="rId1196" Type="http://schemas.openxmlformats.org/officeDocument/2006/relationships/hyperlink" Target="https://app-web.statementrec.com/app#appuploadfiles/3a0d959b-6630-75b4-5e10-a34bc6561def" TargetMode="External"/><Relationship Id="rId1197" Type="http://schemas.openxmlformats.org/officeDocument/2006/relationships/hyperlink" Target="https://app-web.statementrec.com/app#appuploadfiles/3a0d969f-41d5-daeb-e60d-eb7cdd9d1d7d" TargetMode="External"/><Relationship Id="rId1198" Type="http://schemas.openxmlformats.org/officeDocument/2006/relationships/hyperlink" Target="https://app-web.statementrec.com/app#appuploadfiles/3a0d9aba-2341-daba-6df9-90853817cb41" TargetMode="External"/><Relationship Id="rId1199" Type="http://schemas.openxmlformats.org/officeDocument/2006/relationships/hyperlink" Target="https://app-web.statementrec.com/app#appuploadfiles/3a0d9b43-d5db-3179-5df1-ae05c9532cef" TargetMode="External"/><Relationship Id="rId1200" Type="http://schemas.openxmlformats.org/officeDocument/2006/relationships/hyperlink" Target="https://app-web.statementrec.com/app#appuploadfiles/3a0d9b6b-aef8-d3e8-2107-145c2edace68" TargetMode="External"/><Relationship Id="rId1201" Type="http://schemas.openxmlformats.org/officeDocument/2006/relationships/hyperlink" Target="https://app-web.statementrec.com/app#appuploadfiles/3a0d9b72-4fb2-53c1-9d10-f3c089969e25" TargetMode="External"/><Relationship Id="rId1202" Type="http://schemas.openxmlformats.org/officeDocument/2006/relationships/hyperlink" Target="https://app-web.statementrec.com/app#appuploadfiles/3a0d9e54-804b-5150-46e3-23be7045245d" TargetMode="External"/><Relationship Id="rId1203" Type="http://schemas.openxmlformats.org/officeDocument/2006/relationships/hyperlink" Target="https://app-web.statementrec.com/app#appuploadfiles/3a0d9f37-3f29-c8e3-5714-fbb878b3e749" TargetMode="External"/><Relationship Id="rId1204" Type="http://schemas.openxmlformats.org/officeDocument/2006/relationships/hyperlink" Target="https://app-web.statementrec.com/app#appuploadfiles/3a0da080-eb51-1fe3-e24f-b8b26591e0ee" TargetMode="External"/><Relationship Id="rId1205" Type="http://schemas.openxmlformats.org/officeDocument/2006/relationships/hyperlink" Target="https://app-web.statementrec.com/app#appuploadfiles/3a0dab17-af19-c88d-c69e-1ed4eddd05ef" TargetMode="External"/><Relationship Id="rId1206" Type="http://schemas.openxmlformats.org/officeDocument/2006/relationships/hyperlink" Target="https://app-web.statementrec.com/app#appuploadfiles/3a0dba18-78b2-7bf6-f2af-e9938dcfa8b8" TargetMode="External"/><Relationship Id="rId1207" Type="http://schemas.openxmlformats.org/officeDocument/2006/relationships/hyperlink" Target="https://app-web.statementrec.com/app#appuploadfiles/3a0dbaea-f355-57b9-6d8a-e76bb01cd106" TargetMode="External"/><Relationship Id="rId1208" Type="http://schemas.openxmlformats.org/officeDocument/2006/relationships/hyperlink" Target="https://app-web.statementrec.com/app#appuploadfiles/3a0dbb02-0274-ff6c-82cc-9ef33cb42d10" TargetMode="External"/><Relationship Id="rId1209" Type="http://schemas.openxmlformats.org/officeDocument/2006/relationships/hyperlink" Target="https://app-web.statementrec.com/app#appuploadfiles/3a0dbefa-b794-070b-0b13-200341c864ce" TargetMode="External"/><Relationship Id="rId1210" Type="http://schemas.openxmlformats.org/officeDocument/2006/relationships/hyperlink" Target="https://app-web.statementrec.com/app#appuploadfiles/3a0dbfb3-3ef5-bc52-70ea-469a78cd6b77" TargetMode="External"/><Relationship Id="rId1211" Type="http://schemas.openxmlformats.org/officeDocument/2006/relationships/hyperlink" Target="https://app-web.statementrec.com/app#appuploadfiles/3a0dc312-a779-0b35-dde6-c7312a98582e" TargetMode="External"/><Relationship Id="rId1212" Type="http://schemas.openxmlformats.org/officeDocument/2006/relationships/hyperlink" Target="https://app-web.statementrec.com/app#appuploadfiles/3a0dc51f-2ee3-aef0-aac9-8e4d1765dfe8" TargetMode="External"/><Relationship Id="rId1213" Type="http://schemas.openxmlformats.org/officeDocument/2006/relationships/hyperlink" Target="https://app-web.statementrec.com/app#appuploadfiles/3a0dc6d1-6b1f-f33e-0183-dd5be783795a" TargetMode="External"/><Relationship Id="rId1214" Type="http://schemas.openxmlformats.org/officeDocument/2006/relationships/hyperlink" Target="https://app-web.statementrec.com/app#appuploadfiles/3a0dca72-39e4-dcbe-bc3e-8f87dadaf189" TargetMode="External"/><Relationship Id="rId1215" Type="http://schemas.openxmlformats.org/officeDocument/2006/relationships/hyperlink" Target="https://app-web.statementrec.com/app#appuploadfiles/3a0dce03-7108-fea1-e7b2-e69cc5eeb014" TargetMode="External"/><Relationship Id="rId1216" Type="http://schemas.openxmlformats.org/officeDocument/2006/relationships/hyperlink" Target="https://app-web.statementrec.com/app#appuploadfiles/3a0dce10-8ad5-3705-21ef-418edb137973" TargetMode="External"/><Relationship Id="rId1217" Type="http://schemas.openxmlformats.org/officeDocument/2006/relationships/hyperlink" Target="https://app-web.statementrec.com/app#appuploadfiles/3a0dcec3-093f-dcda-91f3-53cd0b340638" TargetMode="External"/><Relationship Id="rId1218" Type="http://schemas.openxmlformats.org/officeDocument/2006/relationships/hyperlink" Target="https://app-web.statementrec.com/app#appuploadfiles/3a0de2b4-aace-0ade-4450-9dc2405da750" TargetMode="External"/><Relationship Id="rId1219" Type="http://schemas.openxmlformats.org/officeDocument/2006/relationships/hyperlink" Target="https://app-web.statementrec.com/app#appuploadfiles/3a0de3bd-fe1c-4298-b552-d901318eaa02" TargetMode="External"/><Relationship Id="rId1220" Type="http://schemas.openxmlformats.org/officeDocument/2006/relationships/hyperlink" Target="https://app-web.statementrec.com/app#appuploadfiles/3a0de3d5-ec90-2d16-8548-0e58d9343e29" TargetMode="External"/><Relationship Id="rId1221" Type="http://schemas.openxmlformats.org/officeDocument/2006/relationships/hyperlink" Target="https://app-web.statementrec.com/app#appuploadfiles/3a0de553-545e-79b5-584d-0795a6d38708" TargetMode="External"/><Relationship Id="rId1222" Type="http://schemas.openxmlformats.org/officeDocument/2006/relationships/hyperlink" Target="https://app-web.statementrec.com/app#appuploadfiles/3a0de58a-0d6e-38e7-b5db-f8bd831968de" TargetMode="External"/><Relationship Id="rId1223" Type="http://schemas.openxmlformats.org/officeDocument/2006/relationships/hyperlink" Target="https://app-web.statementrec.com/app#appuploadfiles/3a0deebd-44df-fb25-0b0d-bd626ebad83c" TargetMode="External"/><Relationship Id="rId1224" Type="http://schemas.openxmlformats.org/officeDocument/2006/relationships/hyperlink" Target="https://app-web.statementrec.com/app#appuploadfiles/3a0df237-35ca-da0f-c65c-a90488386311" TargetMode="External"/><Relationship Id="rId1225" Type="http://schemas.openxmlformats.org/officeDocument/2006/relationships/hyperlink" Target="https://app-web.statementrec.com/app#appuploadfiles/3a0e0c08-1896-884e-7146-f3dc4fd46ff3" TargetMode="External"/><Relationship Id="rId1226" Type="http://schemas.openxmlformats.org/officeDocument/2006/relationships/hyperlink" Target="https://app-web.statementrec.com/app#appuploadfiles/3a0e1181-828f-19dc-c51b-4db35484412a" TargetMode="External"/><Relationship Id="rId1227" Type="http://schemas.openxmlformats.org/officeDocument/2006/relationships/hyperlink" Target="https://app-web.statementrec.com/app#appuploadfiles/3a0e11be-cceb-3706-b07a-281cad2c7642" TargetMode="External"/><Relationship Id="rId1228" Type="http://schemas.openxmlformats.org/officeDocument/2006/relationships/hyperlink" Target="https://app-web.statementrec.com/app#appuploadfiles/3a0e1235-e2e3-573c-256d-aa6fe0a9f25e" TargetMode="External"/><Relationship Id="rId1229" Type="http://schemas.openxmlformats.org/officeDocument/2006/relationships/hyperlink" Target="https://app-web.statementrec.com/app#appuploadfiles/3a0e13c1-1ec8-672e-1730-714aa3c668cf" TargetMode="External"/><Relationship Id="rId1230" Type="http://schemas.openxmlformats.org/officeDocument/2006/relationships/hyperlink" Target="https://app-web.statementrec.com/app#appuploadfiles/3a0e167f-fe17-a795-7444-8153a3b51974" TargetMode="External"/><Relationship Id="rId1231" Type="http://schemas.openxmlformats.org/officeDocument/2006/relationships/hyperlink" Target="https://app-web.statementrec.com/app#appuploadfiles/3a0e266e-883c-16af-d0e7-9c2836e37594" TargetMode="External"/><Relationship Id="rId1232" Type="http://schemas.openxmlformats.org/officeDocument/2006/relationships/hyperlink" Target="https://app-web.statementrec.com/app#appuploadfiles/3a0e2719-0e48-b978-dbb3-4715d40fde78" TargetMode="External"/><Relationship Id="rId1233" Type="http://schemas.openxmlformats.org/officeDocument/2006/relationships/hyperlink" Target="https://app-web.statementrec.com/app#appuploadfiles/3a0e2fbe-d5c5-c756-bbcd-4ce5ca0da86a" TargetMode="External"/><Relationship Id="rId1234" Type="http://schemas.openxmlformats.org/officeDocument/2006/relationships/hyperlink" Target="https://app-web.statementrec.com/app#appuploadfiles/3a0e30ce-56e7-a07b-47fc-717a2b9a1d1a" TargetMode="External"/><Relationship Id="rId1235" Type="http://schemas.openxmlformats.org/officeDocument/2006/relationships/hyperlink" Target="https://app-web.statementrec.com/app#appuploadfiles/3a0e3529-5e3c-b1e5-cf2d-e40b0b6c1a5c" TargetMode="External"/><Relationship Id="rId1236" Type="http://schemas.openxmlformats.org/officeDocument/2006/relationships/hyperlink" Target="https://app-web.statementrec.com/app#appuploadfiles/3a0e3534-d217-dde7-9071-a0f3155484c8" TargetMode="External"/><Relationship Id="rId1237" Type="http://schemas.openxmlformats.org/officeDocument/2006/relationships/hyperlink" Target="https://app-web.statementrec.com/app#appuploadfiles/3a0e353d-84ad-316f-0f14-4b8244e9dd92" TargetMode="External"/><Relationship Id="rId1238" Type="http://schemas.openxmlformats.org/officeDocument/2006/relationships/hyperlink" Target="https://app-web.statementrec.com/app#appuploadfiles/3a0e355a-db46-a8ab-db65-4474a5ffd32f" TargetMode="External"/><Relationship Id="rId1239" Type="http://schemas.openxmlformats.org/officeDocument/2006/relationships/hyperlink" Target="https://app-web.statementrec.com/app#appuploadfiles/3a0e358c-29a2-585e-f1ac-c6f435250981" TargetMode="External"/><Relationship Id="rId1240" Type="http://schemas.openxmlformats.org/officeDocument/2006/relationships/hyperlink" Target="https://app-web.statementrec.com/app#appuploadfiles/3a0e362d-7936-8107-006f-26fb655693f7" TargetMode="External"/><Relationship Id="rId1241" Type="http://schemas.openxmlformats.org/officeDocument/2006/relationships/hyperlink" Target="https://app-web.statementrec.com/app#appuploadfiles/3a0e3642-d94e-00a6-dd82-536f61d42f1f" TargetMode="External"/><Relationship Id="rId1242" Type="http://schemas.openxmlformats.org/officeDocument/2006/relationships/hyperlink" Target="https://app-web.statementrec.com/app#appuploadfiles/3a0e3795-2f90-486c-7207-bf412df0c927" TargetMode="External"/><Relationship Id="rId1243" Type="http://schemas.openxmlformats.org/officeDocument/2006/relationships/hyperlink" Target="https://app-web.statementrec.com/app#appuploadfiles/3a0e53f6-cf1c-c758-cde8-2a69df20b2ac" TargetMode="External"/><Relationship Id="rId1244" Type="http://schemas.openxmlformats.org/officeDocument/2006/relationships/hyperlink" Target="https://app-web.statementrec.com/app#appuploadfiles/3a0e548d-d73f-5beb-4603-e6fb916a8811" TargetMode="External"/><Relationship Id="rId1245" Type="http://schemas.openxmlformats.org/officeDocument/2006/relationships/hyperlink" Target="https://app-web.statementrec.com/app#appuploadfiles/3a0e56d0-9ecd-be5b-3e9a-3c63c90a01a1" TargetMode="External"/><Relationship Id="rId1246" Type="http://schemas.openxmlformats.org/officeDocument/2006/relationships/hyperlink" Target="https://app-web.statementrec.com/app#appuploadfiles/3a0e5a97-708a-f60b-72cf-903d15d99972" TargetMode="External"/><Relationship Id="rId1247" Type="http://schemas.openxmlformats.org/officeDocument/2006/relationships/hyperlink" Target="https://app-web.statementrec.com/app#appuploadfiles/3a0e6df7-6683-5581-b731-ed5dba230c19" TargetMode="External"/><Relationship Id="rId1248" Type="http://schemas.openxmlformats.org/officeDocument/2006/relationships/hyperlink" Target="https://app-web.statementrec.com/app#appuploadfiles/3a0e6e6a-3fea-be44-0bec-e03ed141cf4d" TargetMode="External"/><Relationship Id="rId1249" Type="http://schemas.openxmlformats.org/officeDocument/2006/relationships/hyperlink" Target="https://app-web.statementrec.com/app#appuploadfiles/3a0e6f3c-4a56-110b-1b14-2bba5552923e" TargetMode="External"/><Relationship Id="rId1250" Type="http://schemas.openxmlformats.org/officeDocument/2006/relationships/hyperlink" Target="https://app-web.statementrec.com/app#appuploadfiles/3a0e6fbe-5835-c8b3-efbf-d1b3ab8c816f" TargetMode="External"/><Relationship Id="rId1251" Type="http://schemas.openxmlformats.org/officeDocument/2006/relationships/hyperlink" Target="https://app-web.statementrec.com/app#appuploadfiles/3a0e7d46-941c-70e2-60c7-6fafb9613cdd" TargetMode="External"/><Relationship Id="rId1252" Type="http://schemas.openxmlformats.org/officeDocument/2006/relationships/hyperlink" Target="https://app-web.statementrec.com/app#appuploadfiles/3a0e7dc6-05a2-e98b-e261-69972ad6d16d" TargetMode="External"/><Relationship Id="rId1253" Type="http://schemas.openxmlformats.org/officeDocument/2006/relationships/hyperlink" Target="https://app-web.statementrec.com/app#appuploadfiles/3a0e833d-0759-55d7-5077-9fd5b289e879" TargetMode="External"/><Relationship Id="rId1254" Type="http://schemas.openxmlformats.org/officeDocument/2006/relationships/hyperlink" Target="https://app-web.statementrec.com/app#appuploadfiles/3a0e83e0-ebfe-26b2-03d8-1724a341372b" TargetMode="External"/><Relationship Id="rId1255" Type="http://schemas.openxmlformats.org/officeDocument/2006/relationships/hyperlink" Target="https://app-web.statementrec.com/app#appuploadfiles/3a0e94da-7ce3-17a0-c033-a90854ecf9c4" TargetMode="External"/><Relationship Id="rId1256" Type="http://schemas.openxmlformats.org/officeDocument/2006/relationships/hyperlink" Target="https://app-web.statementrec.com/app#appuploadfiles/3a0e97e3-0646-e9a7-c930-43fa1445a010" TargetMode="External"/><Relationship Id="rId1257" Type="http://schemas.openxmlformats.org/officeDocument/2006/relationships/hyperlink" Target="https://app-web.statementrec.com/app#appuploadfiles/3a0e9880-d7ce-0983-a07f-d01934537eb5" TargetMode="External"/><Relationship Id="rId1258" Type="http://schemas.openxmlformats.org/officeDocument/2006/relationships/hyperlink" Target="https://app-web.statementrec.com/app#appuploadfiles/3a0e9dd1-20d3-fdb2-6dc0-dbb3932f93ba" TargetMode="External"/><Relationship Id="rId1259" Type="http://schemas.openxmlformats.org/officeDocument/2006/relationships/hyperlink" Target="https://app-web.statementrec.com/app#appuploadfiles/3a0e9eca-ed35-bf5c-5716-178594a1ec17" TargetMode="External"/><Relationship Id="rId1260" Type="http://schemas.openxmlformats.org/officeDocument/2006/relationships/hyperlink" Target="https://app-web.statementrec.com/app#appuploadfiles/3a0ea19c-e3a4-3972-e74c-414162e8adf8" TargetMode="External"/><Relationship Id="rId1261" Type="http://schemas.openxmlformats.org/officeDocument/2006/relationships/hyperlink" Target="https://app-web.statementrec.com/app#appuploadfiles/3a0ea273-62f1-bbf8-fe3f-d315343466d2" TargetMode="External"/><Relationship Id="rId1262" Type="http://schemas.openxmlformats.org/officeDocument/2006/relationships/hyperlink" Target="https://app-web.statementrec.com/app#appuploadfiles/3a0ea2df-a96b-c16f-ab77-7952dcd7ff96" TargetMode="External"/><Relationship Id="rId1263" Type="http://schemas.openxmlformats.org/officeDocument/2006/relationships/hyperlink" Target="https://app-web.statementrec.com/app#appuploadfiles/3a0ea758-ae18-0a98-2acc-6301b38bab83" TargetMode="External"/><Relationship Id="rId1264" Type="http://schemas.openxmlformats.org/officeDocument/2006/relationships/hyperlink" Target="https://app-web.statementrec.com/app#appuploadfiles/3a0eb644-0439-1d48-4c5f-7bee951795fe" TargetMode="External"/><Relationship Id="rId1265" Type="http://schemas.openxmlformats.org/officeDocument/2006/relationships/hyperlink" Target="https://app-web.statementrec.com/app#appuploadfiles/3a0eb7a7-0579-8627-875d-5a357762a1a2" TargetMode="External"/><Relationship Id="rId1266" Type="http://schemas.openxmlformats.org/officeDocument/2006/relationships/hyperlink" Target="https://app-web.statementrec.com/app#appuploadfiles/3a0ec18a-33d0-0749-838e-03b3705ecebe" TargetMode="External"/><Relationship Id="rId1267" Type="http://schemas.openxmlformats.org/officeDocument/2006/relationships/hyperlink" Target="https://app-web.statementrec.com/app#appuploadfiles/3a0ec253-1959-dcfd-da7d-52198b8440f8" TargetMode="External"/><Relationship Id="rId1268" Type="http://schemas.openxmlformats.org/officeDocument/2006/relationships/hyperlink" Target="https://app-web.statementrec.com/app#appuploadfiles/3a0ec462-e463-b619-cdce-b84ced2400b6" TargetMode="External"/><Relationship Id="rId1269" Type="http://schemas.openxmlformats.org/officeDocument/2006/relationships/hyperlink" Target="https://app-web.statementrec.com/app#appuploadfiles/3a0ec6b3-87d6-28e3-86a4-c6b7aa47e0dc" TargetMode="External"/><Relationship Id="rId1270" Type="http://schemas.openxmlformats.org/officeDocument/2006/relationships/hyperlink" Target="https://app-web.statementrec.com/app#appuploadfiles/3a0ecb3f-aa10-4710-52e1-38cb010c8719" TargetMode="External"/><Relationship Id="rId1271" Type="http://schemas.openxmlformats.org/officeDocument/2006/relationships/hyperlink" Target="https://app-web.statementrec.com/app#appuploadfiles/3a0ed63d-6876-817b-5fbd-2a4cb1247545" TargetMode="External"/><Relationship Id="rId1272" Type="http://schemas.openxmlformats.org/officeDocument/2006/relationships/hyperlink" Target="https://app-web.statementrec.com/app#appuploadfiles/3a0edf8a-bc41-10a7-ad33-4e01d8b8ecb5" TargetMode="External"/><Relationship Id="rId1273" Type="http://schemas.openxmlformats.org/officeDocument/2006/relationships/hyperlink" Target="https://app-web.statementrec.com/app#appuploadfiles/3a0ee0ed-8a0c-d4f7-335c-bcc8e746f573" TargetMode="External"/><Relationship Id="rId1274" Type="http://schemas.openxmlformats.org/officeDocument/2006/relationships/hyperlink" Target="https://app-web.statementrec.com/app#appuploadfiles/3a0ee591-132d-57ed-ee76-94c4d0cbacd3" TargetMode="External"/><Relationship Id="rId1275" Type="http://schemas.openxmlformats.org/officeDocument/2006/relationships/hyperlink" Target="https://app-web.statementrec.com/app#appuploadfiles/3a0ee600-9ad1-e71c-b50e-259914786c9d" TargetMode="External"/><Relationship Id="rId1276" Type="http://schemas.openxmlformats.org/officeDocument/2006/relationships/hyperlink" Target="https://app-web.statementrec.com/app#appuploadfiles/3a0eea0b-6c91-7002-dc98-ba91d4a3024e" TargetMode="External"/><Relationship Id="rId1277" Type="http://schemas.openxmlformats.org/officeDocument/2006/relationships/hyperlink" Target="https://app-web.statementrec.com/app#appuploadfiles/3a0eea1a-4651-ed5a-663e-cfba58d759b7" TargetMode="External"/><Relationship Id="rId1278" Type="http://schemas.openxmlformats.org/officeDocument/2006/relationships/hyperlink" Target="https://app-web.statementrec.com/app#appuploadfiles/3a0eea40-2e4b-9f7d-a4bf-f66fb84ae7eb" TargetMode="External"/><Relationship Id="rId1279" Type="http://schemas.openxmlformats.org/officeDocument/2006/relationships/hyperlink" Target="https://app-web.statementrec.com/app#appuploadfiles/3a0eeef4-a857-ed5b-bd78-293aeeda838a" TargetMode="External"/><Relationship Id="rId1280" Type="http://schemas.openxmlformats.org/officeDocument/2006/relationships/hyperlink" Target="https://app-web.statementrec.com/app#appuploadfiles/3a0eefa9-133d-9a98-859c-790c63a2434a" TargetMode="External"/><Relationship Id="rId1281" Type="http://schemas.openxmlformats.org/officeDocument/2006/relationships/hyperlink" Target="https://app-web.statementrec.com/app#appuploadfiles/3a0ef182-bf2a-967b-713c-4b82d5dd9070" TargetMode="External"/><Relationship Id="rId1282" Type="http://schemas.openxmlformats.org/officeDocument/2006/relationships/hyperlink" Target="https://app-web.statementrec.com/app#appuploadfiles/3a0efa00-550c-fa0b-5262-ef30d248307a" TargetMode="External"/><Relationship Id="rId1283" Type="http://schemas.openxmlformats.org/officeDocument/2006/relationships/hyperlink" Target="https://app-web.statementrec.com/app#appuploadfiles/3a0eff98-4c6e-a832-db7c-956a2d8b84a3" TargetMode="External"/><Relationship Id="rId1284" Type="http://schemas.openxmlformats.org/officeDocument/2006/relationships/hyperlink" Target="https://app-web.statementrec.com/app#appuploadfiles/3a0f0027-c4e9-b5eb-a17d-9a58fc97c832" TargetMode="External"/><Relationship Id="rId1285" Type="http://schemas.openxmlformats.org/officeDocument/2006/relationships/hyperlink" Target="https://app-web.statementrec.com/app#appuploadfiles/3a0f03c6-a3d8-60ce-d0c5-346b0c79718e" TargetMode="External"/><Relationship Id="rId1286" Type="http://schemas.openxmlformats.org/officeDocument/2006/relationships/hyperlink" Target="https://app-web.statementrec.com/app#appuploadfiles/3a0f08f1-603d-1664-e79c-ab4c3689d10d" TargetMode="External"/><Relationship Id="rId1287" Type="http://schemas.openxmlformats.org/officeDocument/2006/relationships/hyperlink" Target="https://app-web.statementrec.com/app#appuploadfiles/3a0f0927-5d40-33e0-61af-286ed3f94d15" TargetMode="External"/><Relationship Id="rId1288" Type="http://schemas.openxmlformats.org/officeDocument/2006/relationships/hyperlink" Target="https://app-web.statementrec.com/app#appuploadfiles/3a0f0f3e-2778-fd59-f93b-3bb6c19f2eff" TargetMode="External"/><Relationship Id="rId1289" Type="http://schemas.openxmlformats.org/officeDocument/2006/relationships/hyperlink" Target="https://app-web.statementrec.com/app#appuploadfiles/3a0f0f64-b2bf-8731-70b1-742ac2662080" TargetMode="External"/><Relationship Id="rId1290" Type="http://schemas.openxmlformats.org/officeDocument/2006/relationships/hyperlink" Target="https://app-web.statementrec.com/app#appuploadfiles/3a0f1463-97b0-9ca8-1f5b-de89171999ff" TargetMode="External"/><Relationship Id="rId1291" Type="http://schemas.openxmlformats.org/officeDocument/2006/relationships/hyperlink" Target="https://app-web.statementrec.com/app#appuploadfiles/3a0f14eb-5ed6-a95c-e915-04c933cbbee7" TargetMode="External"/><Relationship Id="rId1292" Type="http://schemas.openxmlformats.org/officeDocument/2006/relationships/hyperlink" Target="https://app-web.statementrec.com/app#appuploadfiles/3a0f1622-625a-46ea-8129-5be6bcaae003" TargetMode="External"/><Relationship Id="rId1293" Type="http://schemas.openxmlformats.org/officeDocument/2006/relationships/hyperlink" Target="https://app-web.statementrec.com/app#appuploadfiles/3a0f22d1-56cf-c539-0cb2-fb289ecfdbea" TargetMode="External"/><Relationship Id="rId1294" Type="http://schemas.openxmlformats.org/officeDocument/2006/relationships/hyperlink" Target="https://app-web.statementrec.com/app#appuploadfiles/3a0f2375-5546-a061-1269-a1c5bc55a6ce" TargetMode="External"/><Relationship Id="rId1295" Type="http://schemas.openxmlformats.org/officeDocument/2006/relationships/hyperlink" Target="https://app-web.statementrec.com/app#appuploadfiles/3a0f23c1-7e18-ebf4-b85d-321685f4e831" TargetMode="External"/><Relationship Id="rId1296" Type="http://schemas.openxmlformats.org/officeDocument/2006/relationships/hyperlink" Target="https://app-web.statementrec.com/app#appuploadfiles/3a0f23d9-d984-64c5-78d7-b92503350099" TargetMode="External"/><Relationship Id="rId1297" Type="http://schemas.openxmlformats.org/officeDocument/2006/relationships/hyperlink" Target="https://app-web.statementrec.com/app#appuploadfiles/3a0f281b-d399-cf64-198c-80f707ccf7e6" TargetMode="External"/><Relationship Id="rId1298" Type="http://schemas.openxmlformats.org/officeDocument/2006/relationships/hyperlink" Target="https://app-web.statementrec.com/app#appuploadfiles/3a0f2970-5aaf-77d2-6338-5c22d677715b" TargetMode="External"/><Relationship Id="rId1299" Type="http://schemas.openxmlformats.org/officeDocument/2006/relationships/hyperlink" Target="https://app-web.statementrec.com/app#appuploadfiles/3a0f2aff-76da-b01f-f3a0-bef3022d42a7" TargetMode="External"/><Relationship Id="rId1300" Type="http://schemas.openxmlformats.org/officeDocument/2006/relationships/hyperlink" Target="https://app-web.statementrec.com/app#appuploadfiles/3a0f3747-5fd6-4ab6-ae16-bd5536746715" TargetMode="External"/><Relationship Id="rId1301" Type="http://schemas.openxmlformats.org/officeDocument/2006/relationships/hyperlink" Target="https://app-web.statementrec.com/app#appuploadfiles/3a0f3c46-9b2d-9374-56c3-af2644be381f" TargetMode="External"/><Relationship Id="rId1302" Type="http://schemas.openxmlformats.org/officeDocument/2006/relationships/hyperlink" Target="https://app-web.statementrec.com/app#appuploadfiles/3a0f462c-8a51-309b-c276-06150b652c3e" TargetMode="External"/><Relationship Id="rId1303" Type="http://schemas.openxmlformats.org/officeDocument/2006/relationships/hyperlink" Target="https://app-web.statementrec.com/app#appuploadfiles/3a0f46f9-48eb-0b4e-393d-f64c6a7459f7" TargetMode="External"/><Relationship Id="rId1304" Type="http://schemas.openxmlformats.org/officeDocument/2006/relationships/hyperlink" Target="https://app-web.statementrec.com/app#appuploadfiles/3a0f4735-cfcd-6245-9e66-9389ed0afa55" TargetMode="External"/><Relationship Id="rId1305" Type="http://schemas.openxmlformats.org/officeDocument/2006/relationships/hyperlink" Target="https://app-web.statementrec.com/app#appuploadfiles/3a0f4736-687c-01eb-2494-99e6657a092e" TargetMode="External"/><Relationship Id="rId1306" Type="http://schemas.openxmlformats.org/officeDocument/2006/relationships/hyperlink" Target="https://app-web.statementrec.com/app#appuploadfiles/3a0f4736-f3f8-6b07-28c6-62ce1f318455" TargetMode="External"/><Relationship Id="rId1307" Type="http://schemas.openxmlformats.org/officeDocument/2006/relationships/hyperlink" Target="https://app-web.statementrec.com/app#appuploadfiles/3a0f4737-29cb-c129-417f-73b5c9e79a61" TargetMode="External"/><Relationship Id="rId1308" Type="http://schemas.openxmlformats.org/officeDocument/2006/relationships/hyperlink" Target="https://app-web.statementrec.com/app#appuploadfiles/3a0f4aa7-1462-c2f4-7b4c-a46bc9771127" TargetMode="External"/><Relationship Id="rId1309" Type="http://schemas.openxmlformats.org/officeDocument/2006/relationships/hyperlink" Target="https://app-web.statementrec.com/app#appuploadfiles/3a0f4cd8-64c8-0cb7-6633-56a2005d8db1" TargetMode="External"/><Relationship Id="rId1310" Type="http://schemas.openxmlformats.org/officeDocument/2006/relationships/hyperlink" Target="https://app-web.statementrec.com/app#appuploadfiles/3a0f4e59-d3c6-fa97-3e8c-f7e5ae1b6392" TargetMode="External"/><Relationship Id="rId1311" Type="http://schemas.openxmlformats.org/officeDocument/2006/relationships/hyperlink" Target="https://app-web.statementrec.com/app#appuploadfiles/3a0f5147-a73a-10fa-69d2-150cf02fdba6" TargetMode="External"/><Relationship Id="rId1312" Type="http://schemas.openxmlformats.org/officeDocument/2006/relationships/hyperlink" Target="https://app-web.statementrec.com/app#appuploadfiles/3a0f5580-23c2-9edf-fdf6-75a18016b970" TargetMode="External"/><Relationship Id="rId1313" Type="http://schemas.openxmlformats.org/officeDocument/2006/relationships/hyperlink" Target="https://app-web.statementrec.com/app#appuploadfiles/3a0f6554-984b-f0ca-5e24-790b74300930" TargetMode="External"/><Relationship Id="rId1314" Type="http://schemas.openxmlformats.org/officeDocument/2006/relationships/hyperlink" Target="https://app-web.statementrec.com/app#appuploadfiles/3a0f6fa3-5f2a-82a7-83bb-e3a2a4c13906" TargetMode="External"/><Relationship Id="rId1315" Type="http://schemas.openxmlformats.org/officeDocument/2006/relationships/hyperlink" Target="https://app-web.statementrec.com/app#appuploadfiles/3a0f7b8d-b50e-5a66-7d8c-5a0f33a40ada" TargetMode="External"/><Relationship Id="rId1316" Type="http://schemas.openxmlformats.org/officeDocument/2006/relationships/hyperlink" Target="https://app-web.statementrec.com/app#appuploadfiles/3a0f80a5-9c34-37f4-ea29-6637b09664eb" TargetMode="External"/><Relationship Id="rId1317" Type="http://schemas.openxmlformats.org/officeDocument/2006/relationships/hyperlink" Target="https://app-web.statementrec.com/app#appuploadfiles/3a0f8db2-1e93-fdd3-0d89-113468c10001" TargetMode="External"/><Relationship Id="rId1318" Type="http://schemas.openxmlformats.org/officeDocument/2006/relationships/hyperlink" Target="https://app-web.statementrec.com/app#appuploadfiles/3a0f8e68-d415-f21c-9bc6-80f3bbaee3cd" TargetMode="External"/><Relationship Id="rId1319" Type="http://schemas.openxmlformats.org/officeDocument/2006/relationships/hyperlink" Target="https://app-web.statementrec.com/app#appuploadfiles/3a0fa5f6-f85c-42b8-a4da-611a74f10146" TargetMode="External"/><Relationship Id="rId1320" Type="http://schemas.openxmlformats.org/officeDocument/2006/relationships/hyperlink" Target="https://app-web.statementrec.com/app#appuploadfiles/3a0fa7f2-f449-34b2-c38b-abd5acc6f1cc" TargetMode="External"/><Relationship Id="rId1321" Type="http://schemas.openxmlformats.org/officeDocument/2006/relationships/hyperlink" Target="https://app-web.statementrec.com/app#appuploadfiles/3a0fb6d5-3b0d-d693-3b3c-e78db9f65f2a" TargetMode="External"/><Relationship Id="rId1322" Type="http://schemas.openxmlformats.org/officeDocument/2006/relationships/hyperlink" Target="https://app-web.statementrec.com/app#appuploadfiles/3a0fc3da-fc1c-ac23-f6f8-1134b37f0434" TargetMode="External"/><Relationship Id="rId1323" Type="http://schemas.openxmlformats.org/officeDocument/2006/relationships/hyperlink" Target="https://app-web.statementrec.com/app#appuploadfiles/3a0fc7d5-4f42-6119-315d-4e9de55546a1" TargetMode="External"/><Relationship Id="rId1324" Type="http://schemas.openxmlformats.org/officeDocument/2006/relationships/hyperlink" Target="https://app-web.statementrec.com/app#appuploadfiles/3a0fdc6b-6619-a2d3-dd63-41408e673a32" TargetMode="External"/><Relationship Id="rId1325" Type="http://schemas.openxmlformats.org/officeDocument/2006/relationships/hyperlink" Target="https://app-web.statementrec.com/app#appuploadfiles/3a0fe151-820e-f6d9-0522-99389fc49657" TargetMode="External"/><Relationship Id="rId1326" Type="http://schemas.openxmlformats.org/officeDocument/2006/relationships/hyperlink" Target="https://app-web.statementrec.com/app#appuploadfiles/3a0fe170-c188-f90b-67e2-57e40082bdbb" TargetMode="External"/><Relationship Id="rId1327" Type="http://schemas.openxmlformats.org/officeDocument/2006/relationships/hyperlink" Target="https://app-web.statementrec.com/app#appuploadfiles/3a0fe177-3ad9-8509-d1a1-d3315f247124" TargetMode="External"/><Relationship Id="rId1328" Type="http://schemas.openxmlformats.org/officeDocument/2006/relationships/hyperlink" Target="https://app-web.statementrec.com/app#appuploadfiles/3a0fe5f7-14b1-5437-7055-cdce3e8e2651" TargetMode="External"/><Relationship Id="rId1329" Type="http://schemas.openxmlformats.org/officeDocument/2006/relationships/hyperlink" Target="https://app-web.statementrec.com/app#appuploadfiles/3a0ffad8-91f3-4d45-3792-6dedf057f6ba" TargetMode="External"/><Relationship Id="rId1330" Type="http://schemas.openxmlformats.org/officeDocument/2006/relationships/hyperlink" Target="https://app-web.statementrec.com/app#appuploadfiles/3a0ffb81-c7ea-ba35-78a1-b3a4e360810a" TargetMode="External"/><Relationship Id="rId1331" Type="http://schemas.openxmlformats.org/officeDocument/2006/relationships/hyperlink" Target="https://app-web.statementrec.com/app#appuploadfiles/3a0ffc1d-ddfa-aa6d-e4da-1b9bd4d25c86" TargetMode="External"/><Relationship Id="rId1332" Type="http://schemas.openxmlformats.org/officeDocument/2006/relationships/hyperlink" Target="https://app-web.statementrec.com/app#appuploadfiles/3a100043-e8e8-6369-5d61-489143e468fd" TargetMode="External"/><Relationship Id="rId1333" Type="http://schemas.openxmlformats.org/officeDocument/2006/relationships/hyperlink" Target="https://app-web.statementrec.com/app#appuploadfiles/3a100162-f8c4-f77f-8ac1-2371aa1dba9f" TargetMode="External"/><Relationship Id="rId1334" Type="http://schemas.openxmlformats.org/officeDocument/2006/relationships/hyperlink" Target="https://app-web.statementrec.com/app#appuploadfiles/3a100165-ffe6-a81a-7fee-364ea945c676" TargetMode="External"/><Relationship Id="rId1335" Type="http://schemas.openxmlformats.org/officeDocument/2006/relationships/hyperlink" Target="https://app-web.statementrec.com/app#appuploadfiles/3a10018b-b412-81be-f7d8-33fd6478fa29" TargetMode="External"/><Relationship Id="rId1336" Type="http://schemas.openxmlformats.org/officeDocument/2006/relationships/hyperlink" Target="https://app-web.statementrec.com/app#appuploadfiles/3a1002f6-b06d-ce8a-761b-176cc81f1b5b" TargetMode="External"/><Relationship Id="rId1337" Type="http://schemas.openxmlformats.org/officeDocument/2006/relationships/hyperlink" Target="https://app-web.statementrec.com/app#appuploadfiles/3a100646-9630-d8a6-4dd7-72825e5bceb4" TargetMode="External"/><Relationship Id="rId1338" Type="http://schemas.openxmlformats.org/officeDocument/2006/relationships/hyperlink" Target="https://app-web.statementrec.com/app#appuploadfiles/3a100658-93e3-d4f5-b9ea-bf68466ea31f" TargetMode="External"/><Relationship Id="rId1339" Type="http://schemas.openxmlformats.org/officeDocument/2006/relationships/hyperlink" Target="https://app-web.statementrec.com/app#appuploadfiles/3a10074d-cecf-98b4-34f0-bdf23e0317e6" TargetMode="External"/><Relationship Id="rId1340" Type="http://schemas.openxmlformats.org/officeDocument/2006/relationships/hyperlink" Target="https://app-web.statementrec.com/app#appuploadfiles/3a10074e-36f3-e214-3e91-1fff168399ce" TargetMode="External"/><Relationship Id="rId1341" Type="http://schemas.openxmlformats.org/officeDocument/2006/relationships/hyperlink" Target="https://app-web.statementrec.com/app#appuploadfiles/3a100b13-bb58-8f40-46f3-71cd62c03281" TargetMode="External"/><Relationship Id="rId1342" Type="http://schemas.openxmlformats.org/officeDocument/2006/relationships/hyperlink" Target="https://app-web.statementrec.com/app#appuploadfiles/3a101fd5-313f-9866-a56c-b4253b070b2c" TargetMode="External"/><Relationship Id="rId1343" Type="http://schemas.openxmlformats.org/officeDocument/2006/relationships/hyperlink" Target="https://app-web.statementrec.com/app#appuploadfiles/3a101ff5-7263-5efb-8214-e9fd9b6049a5" TargetMode="External"/><Relationship Id="rId1344" Type="http://schemas.openxmlformats.org/officeDocument/2006/relationships/hyperlink" Target="https://app-web.statementrec.com/app#appuploadfiles/3a10200b-6940-e115-6b28-c5b2cdc9a743" TargetMode="External"/><Relationship Id="rId1345" Type="http://schemas.openxmlformats.org/officeDocument/2006/relationships/hyperlink" Target="https://app-web.statementrec.com/app#appuploadfiles/3a10239c-73e2-d552-5abd-654fda49001f" TargetMode="External"/><Relationship Id="rId1346" Type="http://schemas.openxmlformats.org/officeDocument/2006/relationships/hyperlink" Target="https://app-web.statementrec.com/app#appuploadfiles/3a1023bc-fcbf-7c76-141e-1a0f138be165" TargetMode="External"/><Relationship Id="rId1347" Type="http://schemas.openxmlformats.org/officeDocument/2006/relationships/hyperlink" Target="https://app-web.statementrec.com/app#appuploadfiles/3a102a80-f2d0-e882-6eb8-9bbba64445c7" TargetMode="External"/><Relationship Id="rId1348" Type="http://schemas.openxmlformats.org/officeDocument/2006/relationships/hyperlink" Target="https://app-web.statementrec.com/app#appuploadfiles/3a102b8f-9a03-a1ba-745f-105fb8dfc46c" TargetMode="External"/><Relationship Id="rId1349" Type="http://schemas.openxmlformats.org/officeDocument/2006/relationships/hyperlink" Target="https://app-web.statementrec.com/app#appuploadfiles/3a102d9d-3d40-4fb5-33f3-dd9f3a064695" TargetMode="External"/><Relationship Id="rId1350" Type="http://schemas.openxmlformats.org/officeDocument/2006/relationships/hyperlink" Target="https://app-web.statementrec.com/app#appuploadfiles/3a102f11-11f2-738f-b387-8d60516d2aa5" TargetMode="External"/><Relationship Id="rId1351" Type="http://schemas.openxmlformats.org/officeDocument/2006/relationships/hyperlink" Target="https://app-web.statementrec.com/app#appuploadfiles/3a102f20-9cb1-0730-f0fb-b9688542ca92" TargetMode="External"/><Relationship Id="rId1352" Type="http://schemas.openxmlformats.org/officeDocument/2006/relationships/hyperlink" Target="https://app-web.statementrec.com/app#appuploadfiles/3a102f22-589c-dacc-6f31-20cc4466c451" TargetMode="External"/><Relationship Id="rId1353" Type="http://schemas.openxmlformats.org/officeDocument/2006/relationships/hyperlink" Target="https://app-web.statementrec.com/app#appuploadfiles/3a102f94-d435-42ca-ab35-5709349944d1" TargetMode="External"/><Relationship Id="rId1354" Type="http://schemas.openxmlformats.org/officeDocument/2006/relationships/hyperlink" Target="https://app-web.statementrec.com/app#appuploadfiles/3a103e36-da89-5c88-053c-f0905846f8ad" TargetMode="External"/><Relationship Id="rId1355" Type="http://schemas.openxmlformats.org/officeDocument/2006/relationships/hyperlink" Target="https://app-web.statementrec.com/app#appuploadfiles/3a104425-623b-f178-f1c7-05f7d5aac283" TargetMode="External"/><Relationship Id="rId1356" Type="http://schemas.openxmlformats.org/officeDocument/2006/relationships/hyperlink" Target="https://app-web.statementrec.com/app#appuploadfiles/3a104472-9735-f17a-b4de-4fd338fd691c" TargetMode="External"/><Relationship Id="rId1357" Type="http://schemas.openxmlformats.org/officeDocument/2006/relationships/hyperlink" Target="https://app-web.statementrec.com/app#appuploadfiles/3a1047b9-91d1-aa4b-c6e5-110862aa4f78" TargetMode="External"/><Relationship Id="rId1358" Type="http://schemas.openxmlformats.org/officeDocument/2006/relationships/hyperlink" Target="https://app-web.statementrec.com/app#appuploadfiles/3a1048b5-ccd8-e93a-6c65-bf70ce7d555f" TargetMode="External"/><Relationship Id="rId1359" Type="http://schemas.openxmlformats.org/officeDocument/2006/relationships/hyperlink" Target="https://app-web.statementrec.com/app#appuploadfiles/3a10577d-ae0b-b637-20dc-bc48add60595" TargetMode="External"/><Relationship Id="rId1360" Type="http://schemas.openxmlformats.org/officeDocument/2006/relationships/hyperlink" Target="https://app-web.statementrec.com/app#appuploadfiles/3a106c08-d681-4e3e-136c-5558a8d1cf77" TargetMode="External"/><Relationship Id="rId1361" Type="http://schemas.openxmlformats.org/officeDocument/2006/relationships/hyperlink" Target="https://app-web.statementrec.com/app#appuploadfiles/3a106c50-7edc-c959-cb99-337351d7c210" TargetMode="External"/><Relationship Id="rId1362" Type="http://schemas.openxmlformats.org/officeDocument/2006/relationships/hyperlink" Target="https://app-web.statementrec.com/app#appuploadfiles/3a107648-67e7-9db2-13eb-de28f7fec9e1" TargetMode="External"/><Relationship Id="rId1363" Type="http://schemas.openxmlformats.org/officeDocument/2006/relationships/hyperlink" Target="https://app-web.statementrec.com/app#appuploadfiles/3a10766d-f217-ef20-a3b2-b05351265786" TargetMode="External"/><Relationship Id="rId1364" Type="http://schemas.openxmlformats.org/officeDocument/2006/relationships/hyperlink" Target="https://app-web.statementrec.com/app#appuploadfiles/3a1077f4-e768-6294-76dc-0e1cd22c318a" TargetMode="External"/><Relationship Id="rId1365" Type="http://schemas.openxmlformats.org/officeDocument/2006/relationships/hyperlink" Target="https://app-web.statementrec.com/app#appuploadfiles/3a107aa1-7b7e-cbce-817f-b35e6f49007f" TargetMode="External"/><Relationship Id="rId1366" Type="http://schemas.openxmlformats.org/officeDocument/2006/relationships/hyperlink" Target="https://app-web.statementrec.com/app#appuploadfiles/3a107c06-f084-2753-730d-d20966c314d1" TargetMode="External"/><Relationship Id="rId1367" Type="http://schemas.openxmlformats.org/officeDocument/2006/relationships/hyperlink" Target="https://app-web.statementrec.com/app#appuploadfiles/3a108134-3b2b-9394-8120-3c0358ca81e4" TargetMode="External"/><Relationship Id="rId1368" Type="http://schemas.openxmlformats.org/officeDocument/2006/relationships/hyperlink" Target="https://app-web.statementrec.com/app#appuploadfiles/3a108b08-69d0-da16-f07d-4348cc9bb57e" TargetMode="External"/><Relationship Id="rId1369" Type="http://schemas.openxmlformats.org/officeDocument/2006/relationships/hyperlink" Target="https://app-web.statementrec.com/app#appuploadfiles/3a108db4-4320-00dc-26ad-2ffcda7dbdb3" TargetMode="External"/><Relationship Id="rId1370" Type="http://schemas.openxmlformats.org/officeDocument/2006/relationships/hyperlink" Target="https://app-web.statementrec.com/app#appuploadfiles/3a108fd5-e999-13ce-7393-afa44a6cd03d" TargetMode="External"/><Relationship Id="rId1371" Type="http://schemas.openxmlformats.org/officeDocument/2006/relationships/hyperlink" Target="https://app-web.statementrec.com/app#appuploadfiles/3a109001-a87c-bd00-ef10-422d0ee40cb4" TargetMode="External"/><Relationship Id="rId1372" Type="http://schemas.openxmlformats.org/officeDocument/2006/relationships/hyperlink" Target="https://app-web.statementrec.com/app#appuploadfiles/3a1095c2-cb2e-1d0e-2576-119a7a51563e" TargetMode="External"/><Relationship Id="rId1373" Type="http://schemas.openxmlformats.org/officeDocument/2006/relationships/hyperlink" Target="https://app-web.statementrec.com/app#appuploadfiles/3a109670-b828-cfb5-6434-d7c80e41afdc" TargetMode="External"/><Relationship Id="rId1374" Type="http://schemas.openxmlformats.org/officeDocument/2006/relationships/hyperlink" Target="https://app-web.statementrec.com/app#appuploadfiles/3a109b2c-3c17-a80f-2ffd-7325e064f38b" TargetMode="External"/><Relationship Id="rId1375" Type="http://schemas.openxmlformats.org/officeDocument/2006/relationships/hyperlink" Target="https://app-web.statementrec.com/app#appuploadfiles/3a109bc3-c594-1599-c01d-a5fe1f14ade0" TargetMode="External"/><Relationship Id="rId1376" Type="http://schemas.openxmlformats.org/officeDocument/2006/relationships/hyperlink" Target="https://app-web.statementrec.com/app#appuploadfiles/3a10a0ed-9498-c8e3-59bd-9cfec08d0d3c" TargetMode="External"/><Relationship Id="rId1377" Type="http://schemas.openxmlformats.org/officeDocument/2006/relationships/hyperlink" Target="https://app-web.statementrec.com/app#appuploadfiles/3a10aee4-8b15-488b-7ba3-f22bf0549a02" TargetMode="External"/><Relationship Id="rId1378" Type="http://schemas.openxmlformats.org/officeDocument/2006/relationships/hyperlink" Target="https://app-web.statementrec.com/app#appuploadfiles/3a10af37-0769-532b-6943-77b501538346" TargetMode="External"/><Relationship Id="rId1379" Type="http://schemas.openxmlformats.org/officeDocument/2006/relationships/hyperlink" Target="https://app-web.statementrec.com/app#appuploadfiles/3a10af85-0eb6-5b34-e971-3ace8485c518" TargetMode="External"/><Relationship Id="rId1380" Type="http://schemas.openxmlformats.org/officeDocument/2006/relationships/hyperlink" Target="https://app-web.statementrec.com/app#appuploadfiles/3a10afa6-b7cd-aae7-819c-0285fedfd950" TargetMode="External"/><Relationship Id="rId1381" Type="http://schemas.openxmlformats.org/officeDocument/2006/relationships/hyperlink" Target="https://app-web.statementrec.com/app#appuploadfiles/3a10b40a-7954-04fe-a7c2-c98cb283cb1d" TargetMode="External"/><Relationship Id="rId1382" Type="http://schemas.openxmlformats.org/officeDocument/2006/relationships/hyperlink" Target="https://app-web.statementrec.com/app#appuploadfiles/3a10b41a-baaf-7bfd-b198-b802ef095294" TargetMode="External"/><Relationship Id="rId1383" Type="http://schemas.openxmlformats.org/officeDocument/2006/relationships/hyperlink" Target="https://app-web.statementrec.com/app#appuploadfiles/3a10b53e-b615-fee1-7077-430683cc0b57" TargetMode="External"/><Relationship Id="rId1384" Type="http://schemas.openxmlformats.org/officeDocument/2006/relationships/hyperlink" Target="https://app-web.statementrec.com/app#appuploadfiles/3a10b8dc-18c8-d54d-3237-09183f629473" TargetMode="External"/><Relationship Id="rId1385" Type="http://schemas.openxmlformats.org/officeDocument/2006/relationships/hyperlink" Target="https://app-web.statementrec.com/app#appuploadfiles/3a10ba9d-c332-3722-157b-8dbb86103175" TargetMode="External"/><Relationship Id="rId1386" Type="http://schemas.openxmlformats.org/officeDocument/2006/relationships/hyperlink" Target="https://app-web.statementrec.com/app#appuploadfiles/3a10be23-324a-f80b-337a-0e18679cff43" TargetMode="External"/><Relationship Id="rId1387" Type="http://schemas.openxmlformats.org/officeDocument/2006/relationships/hyperlink" Target="https://app-web.statementrec.com/app#appuploadfiles/3a10d453-6817-537c-92fb-861379182e1f" TargetMode="External"/><Relationship Id="rId1388" Type="http://schemas.openxmlformats.org/officeDocument/2006/relationships/hyperlink" Target="https://app-web.statementrec.com/app#appuploadfiles/3a10d963-6db7-e9c3-5cca-c2b5ba854e09" TargetMode="External"/><Relationship Id="rId1389" Type="http://schemas.openxmlformats.org/officeDocument/2006/relationships/hyperlink" Target="https://app-web.statementrec.com/app#appuploadfiles/3a10da33-0a17-b663-1695-4f7e73afc67c" TargetMode="External"/><Relationship Id="rId1390" Type="http://schemas.openxmlformats.org/officeDocument/2006/relationships/hyperlink" Target="https://app-web.statementrec.com/app#appuploadfiles/3a10dd16-b694-150c-5957-240dd9eae47e" TargetMode="External"/><Relationship Id="rId1391" Type="http://schemas.openxmlformats.org/officeDocument/2006/relationships/hyperlink" Target="https://app-web.statementrec.com/app#appuploadfiles/3a10de9f-caec-b387-ccb3-582fa754b650" TargetMode="External"/><Relationship Id="rId1392" Type="http://schemas.openxmlformats.org/officeDocument/2006/relationships/hyperlink" Target="https://app-web.statementrec.com/app#appuploadfiles/3a10dffc-7395-066b-40ea-34bfafb5a3e2" TargetMode="External"/><Relationship Id="rId1393" Type="http://schemas.openxmlformats.org/officeDocument/2006/relationships/hyperlink" Target="https://app-web.statementrec.com/app#appuploadfiles/3a10e242-975d-3737-090d-b601433249e7" TargetMode="External"/><Relationship Id="rId1394" Type="http://schemas.openxmlformats.org/officeDocument/2006/relationships/hyperlink" Target="https://app-web.statementrec.com/app#appuploadfiles/3a10e387-2314-0afd-08f7-f63ce68454a8" TargetMode="External"/><Relationship Id="rId1395" Type="http://schemas.openxmlformats.org/officeDocument/2006/relationships/hyperlink" Target="https://app-web.statementrec.com/app#appuploadfiles/3a10e81d-07cc-54b7-9716-842e184c9843" TargetMode="External"/><Relationship Id="rId1396" Type="http://schemas.openxmlformats.org/officeDocument/2006/relationships/hyperlink" Target="https://app-web.statementrec.com/app#appuploadfiles/3a10f6ec-318c-a77d-9df4-94325720e602" TargetMode="External"/><Relationship Id="rId1397" Type="http://schemas.openxmlformats.org/officeDocument/2006/relationships/hyperlink" Target="https://app-web.statementrec.com/app#appuploadfiles/3a10f825-09b6-970b-429a-3d1b41196ae6" TargetMode="External"/><Relationship Id="rId1398" Type="http://schemas.openxmlformats.org/officeDocument/2006/relationships/hyperlink" Target="https://app-web.statementrec.com/app#appuploadfiles/3a10fc4e-4853-884e-f0ec-a7539ec74daf" TargetMode="External"/><Relationship Id="rId1399" Type="http://schemas.openxmlformats.org/officeDocument/2006/relationships/hyperlink" Target="https://app-web.statementrec.com/app#appuploadfiles/3a10fd3d-59fc-8bab-3299-fde0b717f10f" TargetMode="External"/><Relationship Id="rId1400" Type="http://schemas.openxmlformats.org/officeDocument/2006/relationships/hyperlink" Target="https://app-web.statementrec.com/app#appuploadfiles/3a11074a-6a1f-0bd5-e850-7d4647d6d0da" TargetMode="External"/><Relationship Id="rId1401" Type="http://schemas.openxmlformats.org/officeDocument/2006/relationships/hyperlink" Target="https://app-web.statementrec.com/app#appuploadfiles/3a11078a-2497-973a-b3f2-96d56f3a1093" TargetMode="External"/><Relationship Id="rId1402" Type="http://schemas.openxmlformats.org/officeDocument/2006/relationships/hyperlink" Target="https://app-web.statementrec.com/app#appuploadfiles/3a1108b7-9fea-b715-b622-01d02f2828d1" TargetMode="External"/><Relationship Id="rId1403" Type="http://schemas.openxmlformats.org/officeDocument/2006/relationships/hyperlink" Target="https://app-web.statementrec.com/app#appuploadfiles/3a111d34-6e33-90ac-9faf-61d08d7bcda2" TargetMode="External"/><Relationship Id="rId1404" Type="http://schemas.openxmlformats.org/officeDocument/2006/relationships/hyperlink" Target="https://app-web.statementrec.com/app#appuploadfiles/3a112085-8c2a-a604-37ff-603c6cea1be5" TargetMode="External"/><Relationship Id="rId1405" Type="http://schemas.openxmlformats.org/officeDocument/2006/relationships/hyperlink" Target="https://app-web.statementrec.com/app#appuploadfiles/3a1120a3-f1b9-8718-6bc9-b2501de92e71" TargetMode="External"/><Relationship Id="rId1406" Type="http://schemas.openxmlformats.org/officeDocument/2006/relationships/hyperlink" Target="https://app-web.statementrec.com/app#appuploadfiles/3a1120c2-2456-b1bb-3175-ca5e0b91076c" TargetMode="External"/><Relationship Id="rId1407" Type="http://schemas.openxmlformats.org/officeDocument/2006/relationships/hyperlink" Target="https://app-web.statementrec.com/app#appuploadfiles/3a1125f9-4b53-4753-28ad-a18c3de91896" TargetMode="External"/><Relationship Id="rId1408" Type="http://schemas.openxmlformats.org/officeDocument/2006/relationships/hyperlink" Target="https://app-web.statementrec.com/app#appuploadfiles/3a112c78-0f0e-239c-d466-efe090de664f" TargetMode="External"/><Relationship Id="rId1409" Type="http://schemas.openxmlformats.org/officeDocument/2006/relationships/hyperlink" Target="https://app-web.statementrec.com/app#appuploadfiles/3a113f3c-e0fb-1c51-38ef-188d7f068248" TargetMode="External"/><Relationship Id="rId1410" Type="http://schemas.openxmlformats.org/officeDocument/2006/relationships/hyperlink" Target="https://app-web.statementrec.com/app#appuploadfiles/3a11448c-43a1-6072-1cc9-4624be424167" TargetMode="External"/><Relationship Id="rId1411" Type="http://schemas.openxmlformats.org/officeDocument/2006/relationships/hyperlink" Target="https://app-web.statementrec.com/app#appuploadfiles/3a11459f-3d53-c238-594d-19989f70f8f7" TargetMode="External"/><Relationship Id="rId1412" Type="http://schemas.openxmlformats.org/officeDocument/2006/relationships/hyperlink" Target="https://app-web.statementrec.com/app#appuploadfiles/3a114929-ed88-17b2-f315-c599154ee294" TargetMode="External"/><Relationship Id="rId1413" Type="http://schemas.openxmlformats.org/officeDocument/2006/relationships/hyperlink" Target="https://app-web.statementrec.com/app#appuploadfiles/3a114940-e499-03f9-e6a2-2fc330c3e53d" TargetMode="External"/><Relationship Id="rId1414" Type="http://schemas.openxmlformats.org/officeDocument/2006/relationships/hyperlink" Target="https://app-web.statementrec.com/app#appuploadfiles/3a11494e-96d9-1239-9a0c-486eca8b340f" TargetMode="External"/><Relationship Id="rId1415" Type="http://schemas.openxmlformats.org/officeDocument/2006/relationships/hyperlink" Target="https://app-web.statementrec.com/app#appuploadfiles/3a114951-0994-68ba-c4df-a688ebab3258" TargetMode="External"/><Relationship Id="rId1416" Type="http://schemas.openxmlformats.org/officeDocument/2006/relationships/hyperlink" Target="https://app-web.statementrec.com/app#appuploadfiles/3a114954-faf5-2fb9-5f2c-8229a57f1b7b" TargetMode="External"/><Relationship Id="rId1417" Type="http://schemas.openxmlformats.org/officeDocument/2006/relationships/hyperlink" Target="https://app-web.statementrec.com/app#appuploadfiles/3a1149b5-cd9a-a17a-1129-9c069cd7288f" TargetMode="External"/><Relationship Id="rId1418" Type="http://schemas.openxmlformats.org/officeDocument/2006/relationships/hyperlink" Target="https://app-web.statementrec.com/app#appuploadfiles/3a114fcc-98ac-a1bd-16db-5e551f7d03bc" TargetMode="External"/><Relationship Id="rId1419" Type="http://schemas.openxmlformats.org/officeDocument/2006/relationships/hyperlink" Target="https://app-web.statementrec.com/app#appuploadfiles/3a11634c-75fc-2833-e95a-2b000540d342" TargetMode="External"/><Relationship Id="rId1420" Type="http://schemas.openxmlformats.org/officeDocument/2006/relationships/hyperlink" Target="https://app-web.statementrec.com/app#appuploadfiles/3a1163a2-2266-6a92-d3ac-d60617c7f42c" TargetMode="External"/><Relationship Id="rId1421" Type="http://schemas.openxmlformats.org/officeDocument/2006/relationships/hyperlink" Target="https://app-web.statementrec.com/app#appuploadfiles/3a116958-acdb-67eb-5af4-d49488d49d5d" TargetMode="External"/><Relationship Id="rId1422" Type="http://schemas.openxmlformats.org/officeDocument/2006/relationships/hyperlink" Target="https://app-web.statementrec.com/app#appuploadfiles/3a1169b5-597e-9a61-346a-13e533e95d91" TargetMode="External"/><Relationship Id="rId1423" Type="http://schemas.openxmlformats.org/officeDocument/2006/relationships/hyperlink" Target="https://app-web.statementrec.com/app#appuploadfiles/3a116a94-ec9a-5bf6-153c-a6d5f80d93b9" TargetMode="External"/><Relationship Id="rId1424" Type="http://schemas.openxmlformats.org/officeDocument/2006/relationships/hyperlink" Target="https://app-web.statementrec.com/app#appuploadfiles/3a116ddc-0c39-0834-e889-259b9dd1a415" TargetMode="External"/><Relationship Id="rId1425" Type="http://schemas.openxmlformats.org/officeDocument/2006/relationships/hyperlink" Target="https://app-web.statementrec.com/app#appuploadfiles/3a116ed3-2ada-5cd7-ba71-e140deceb68c" TargetMode="External"/><Relationship Id="rId1426" Type="http://schemas.openxmlformats.org/officeDocument/2006/relationships/hyperlink" Target="https://app-web.statementrec.com/app#appuploadfiles/3a1173a9-f7ff-0a7f-251d-8f3bc59bff45" TargetMode="External"/><Relationship Id="rId1427" Type="http://schemas.openxmlformats.org/officeDocument/2006/relationships/hyperlink" Target="https://app-web.statementrec.com/app#appuploadfiles/3a1173fa-efca-23b9-0f4a-184425bce1f8" TargetMode="External"/><Relationship Id="rId1428" Type="http://schemas.openxmlformats.org/officeDocument/2006/relationships/hyperlink" Target="https://app-web.statementrec.com/app#appuploadfiles/3a117586-194f-aede-1516-5dfdd92e11a3" TargetMode="External"/><Relationship Id="rId1429" Type="http://schemas.openxmlformats.org/officeDocument/2006/relationships/hyperlink" Target="https://app-web.statementrec.com/app#appuploadfiles/3a1179c5-fbd5-da95-c127-e225bcd21118" TargetMode="External"/><Relationship Id="rId1430" Type="http://schemas.openxmlformats.org/officeDocument/2006/relationships/hyperlink" Target="https://app-web.statementrec.com/app#appuploadfiles/3a11886e-a42a-7ad4-cee2-ee2e72e4c4bf" TargetMode="External"/><Relationship Id="rId1431" Type="http://schemas.openxmlformats.org/officeDocument/2006/relationships/hyperlink" Target="https://app-web.statementrec.com/app#appuploadfiles/3a118885-9975-339e-63d6-fc39690a5c3d" TargetMode="External"/><Relationship Id="rId1432" Type="http://schemas.openxmlformats.org/officeDocument/2006/relationships/hyperlink" Target="https://app-web.statementrec.com/app#appuploadfiles/3a118d1d-0f4e-77e2-f808-1b8f0a34f215" TargetMode="External"/><Relationship Id="rId1433" Type="http://schemas.openxmlformats.org/officeDocument/2006/relationships/hyperlink" Target="https://app-web.statementrec.com/app#appuploadfiles/3a118d28-11bb-2f76-074b-1949ae3cc463" TargetMode="External"/><Relationship Id="rId1434" Type="http://schemas.openxmlformats.org/officeDocument/2006/relationships/hyperlink" Target="https://app-web.statementrec.com/app#appuploadfiles/3a118db7-3e46-9422-a0de-099e780fa29c" TargetMode="External"/><Relationship Id="rId1435" Type="http://schemas.openxmlformats.org/officeDocument/2006/relationships/hyperlink" Target="https://app-web.statementrec.com/app#appuploadfiles/3a1191fb-ac7c-a3c5-b8e4-d58d1c33c0d7" TargetMode="External"/><Relationship Id="rId1436" Type="http://schemas.openxmlformats.org/officeDocument/2006/relationships/hyperlink" Target="https://app-web.statementrec.com/app#appuploadfiles/3a1192dc-7203-18ea-dadb-87e7f996782a" TargetMode="External"/><Relationship Id="rId1437" Type="http://schemas.openxmlformats.org/officeDocument/2006/relationships/hyperlink" Target="https://app-web.statementrec.com/app#appuploadfiles/3a119553-437e-833a-ad88-f1480f8380ac" TargetMode="External"/><Relationship Id="rId1438" Type="http://schemas.openxmlformats.org/officeDocument/2006/relationships/hyperlink" Target="https://app-web.statementrec.com/app#appuploadfiles/3a119804-3f2b-4344-1bca-1552fe165934" TargetMode="External"/><Relationship Id="rId1439" Type="http://schemas.openxmlformats.org/officeDocument/2006/relationships/hyperlink" Target="https://app-web.statementrec.com/app#appuploadfiles/3a11b241-68ef-722e-7b18-95fd48cfad57" TargetMode="External"/><Relationship Id="rId1440" Type="http://schemas.openxmlformats.org/officeDocument/2006/relationships/hyperlink" Target="https://app-web.statementrec.com/app#appuploadfiles/3a11ba77-3f9e-159a-5ace-cf1d84a5a724" TargetMode="External"/><Relationship Id="rId1441" Type="http://schemas.openxmlformats.org/officeDocument/2006/relationships/hyperlink" Target="https://app-web.statementrec.com/app#appuploadfiles/3a11ba95-7b34-3a7f-8da1-465a7290e77c" TargetMode="External"/><Relationship Id="rId1442" Type="http://schemas.openxmlformats.org/officeDocument/2006/relationships/hyperlink" Target="https://app-web.statementrec.com/app#appuploadfiles/3a11bb88-9144-14e2-5eed-2f3318c9e53a" TargetMode="External"/><Relationship Id="rId1443" Type="http://schemas.openxmlformats.org/officeDocument/2006/relationships/hyperlink" Target="https://app-web.statementrec.com/app#appuploadfiles/3a11bbcf-3ea6-6370-fb6c-dada9c89b818" TargetMode="External"/><Relationship Id="rId1444" Type="http://schemas.openxmlformats.org/officeDocument/2006/relationships/hyperlink" Target="https://app-web.statementrec.com/app#appuploadfiles/3a11c6bc-574b-4899-705a-013bec929338" TargetMode="External"/><Relationship Id="rId1445" Type="http://schemas.openxmlformats.org/officeDocument/2006/relationships/hyperlink" Target="https://app-web.statementrec.com/app#appuploadfiles/3a11cfc0-3e09-e923-ef4d-74930b5644fa" TargetMode="External"/><Relationship Id="rId1446" Type="http://schemas.openxmlformats.org/officeDocument/2006/relationships/hyperlink" Target="https://app-web.statementrec.com/app#appuploadfiles/3a11d46e-d309-1af5-a5f3-d10903e5fbce" TargetMode="External"/><Relationship Id="rId1447" Type="http://schemas.openxmlformats.org/officeDocument/2006/relationships/hyperlink" Target="https://app-web.statementrec.com/app#appuploadfiles/3a11da83-88bc-51c0-2d5a-8155a73c4021" TargetMode="External"/><Relationship Id="rId1448" Type="http://schemas.openxmlformats.org/officeDocument/2006/relationships/hyperlink" Target="https://app-web.statementrec.com/app#appuploadfiles/3a11daff-5aef-7ff7-4788-540d2eb6583b" TargetMode="External"/><Relationship Id="rId1449" Type="http://schemas.openxmlformats.org/officeDocument/2006/relationships/hyperlink" Target="https://app-web.statementrec.com/app#appuploadfiles/3a11df72-5458-c73f-0d44-5fbd514d6184" TargetMode="External"/><Relationship Id="rId1450" Type="http://schemas.openxmlformats.org/officeDocument/2006/relationships/hyperlink" Target="https://app-web.statementrec.com/app#appuploadfiles/3a11e000-fe72-a5f8-e51e-4e1165923106" TargetMode="External"/><Relationship Id="rId1451" Type="http://schemas.openxmlformats.org/officeDocument/2006/relationships/hyperlink" Target="https://app-web.statementrec.com/app#appuploadfiles/3a11f2ed-752f-be01-0004-883162296bc2" TargetMode="External"/><Relationship Id="rId1452" Type="http://schemas.openxmlformats.org/officeDocument/2006/relationships/hyperlink" Target="https://app-web.statementrec.com/app#appuploadfiles/3a11f84e-09ff-21bd-a950-a149108b0df7" TargetMode="External"/><Relationship Id="rId1453" Type="http://schemas.openxmlformats.org/officeDocument/2006/relationships/hyperlink" Target="https://app-web.statementrec.com/app#appuploadfiles/3a11f8cc-49b3-4104-4489-7b85ef5a1f50" TargetMode="External"/><Relationship Id="rId1454" Type="http://schemas.openxmlformats.org/officeDocument/2006/relationships/hyperlink" Target="https://app-web.statementrec.com/app#appuploadfiles/3a11fb7e-ce31-29ba-fc91-e6120b1e3d83" TargetMode="External"/><Relationship Id="rId1455" Type="http://schemas.openxmlformats.org/officeDocument/2006/relationships/hyperlink" Target="https://app-web.statementrec.com/app#appuploadfiles/3a11fd44-c067-83a5-c263-4c9aaaa12f25" TargetMode="External"/><Relationship Id="rId1456" Type="http://schemas.openxmlformats.org/officeDocument/2006/relationships/hyperlink" Target="https://app-web.statementrec.com/app#appuploadfiles/3a11fd65-bb04-6931-10c4-51fab823d352" TargetMode="External"/><Relationship Id="rId1457" Type="http://schemas.openxmlformats.org/officeDocument/2006/relationships/hyperlink" Target="https://app-web.statementrec.com/app#appuploadfiles/3a11fda3-da06-90c6-938f-9181d6fcabdf" TargetMode="External"/><Relationship Id="rId1458" Type="http://schemas.openxmlformats.org/officeDocument/2006/relationships/hyperlink" Target="https://app-web.statementrec.com/app#appuploadfiles/3a11fda8-d6d9-d882-9c18-41644b9a89af" TargetMode="External"/><Relationship Id="rId1459" Type="http://schemas.openxmlformats.org/officeDocument/2006/relationships/hyperlink" Target="https://app-web.statementrec.com/app#appuploadfiles/3a11fec6-d125-db20-1589-71328a4e1070" TargetMode="External"/><Relationship Id="rId1460" Type="http://schemas.openxmlformats.org/officeDocument/2006/relationships/hyperlink" Target="https://app-web.statementrec.com/app#appuploadfiles/3a11fec8-33ff-fc98-7c75-ed7736a07bc4" TargetMode="External"/><Relationship Id="rId1461" Type="http://schemas.openxmlformats.org/officeDocument/2006/relationships/hyperlink" Target="https://app-web.statementrec.com/app#appuploadfiles/3a11fed0-01dc-da84-a695-4e4fd05198c4" TargetMode="External"/><Relationship Id="rId1462" Type="http://schemas.openxmlformats.org/officeDocument/2006/relationships/hyperlink" Target="https://app-web.statementrec.com/app#appuploadfiles/3a1207b0-46f8-e474-9a08-075331dbf914" TargetMode="External"/><Relationship Id="rId1463" Type="http://schemas.openxmlformats.org/officeDocument/2006/relationships/hyperlink" Target="https://app-web.statementrec.com/app#appuploadfiles/3a121bec-55b2-1e11-4a05-33b70fd632bf" TargetMode="External"/><Relationship Id="rId1464" Type="http://schemas.openxmlformats.org/officeDocument/2006/relationships/hyperlink" Target="https://app-web.statementrec.com/app#appuploadfiles/3a121d42-5e76-ff58-1d5e-d122b68ce424" TargetMode="External"/><Relationship Id="rId1465" Type="http://schemas.openxmlformats.org/officeDocument/2006/relationships/hyperlink" Target="https://app-web.statementrec.com/app#appuploadfiles/3a12263c-651c-b44e-0481-dfd92b7b2d80" TargetMode="External"/><Relationship Id="rId1466" Type="http://schemas.openxmlformats.org/officeDocument/2006/relationships/hyperlink" Target="https://app-web.statementrec.com/app#appuploadfiles/3a12263c-cb5b-a2f9-4c26-ec9669680aca" TargetMode="External"/><Relationship Id="rId1467" Type="http://schemas.openxmlformats.org/officeDocument/2006/relationships/hyperlink" Target="https://app-web.statementrec.com/app#appuploadfiles/3a1226c1-89b1-ba5d-2703-e1104e39ec25" TargetMode="External"/><Relationship Id="rId1468" Type="http://schemas.openxmlformats.org/officeDocument/2006/relationships/hyperlink" Target="https://app-web.statementrec.com/app#appuploadfiles/3a12274e-b663-b7d8-939d-f9d8defc45ce" TargetMode="External"/><Relationship Id="rId1469" Type="http://schemas.openxmlformats.org/officeDocument/2006/relationships/hyperlink" Target="https://app-web.statementrec.com/app#appuploadfiles/3a1227ca-8e58-31ef-a9ef-ff341d8196cb" TargetMode="External"/><Relationship Id="rId1470" Type="http://schemas.openxmlformats.org/officeDocument/2006/relationships/hyperlink" Target="https://app-web.statementrec.com/app#appuploadfiles/3a123ba9-258b-c7da-a78e-4c550ef303bb" TargetMode="External"/><Relationship Id="rId1471" Type="http://schemas.openxmlformats.org/officeDocument/2006/relationships/hyperlink" Target="https://app-web.statementrec.com/app#appuploadfiles/3a123bd1-2425-483a-af57-1f297178a428" TargetMode="External"/><Relationship Id="rId1472" Type="http://schemas.openxmlformats.org/officeDocument/2006/relationships/hyperlink" Target="https://app-web.statementrec.com/app#appuploadfiles/3a123c7e-96d9-d81d-5372-9cb291edf395" TargetMode="External"/><Relationship Id="rId1473" Type="http://schemas.openxmlformats.org/officeDocument/2006/relationships/hyperlink" Target="https://app-web.statementrec.com/app#appuploadfiles/3a12418b-7300-6fe0-5007-b554104a52bc" TargetMode="External"/><Relationship Id="rId1474" Type="http://schemas.openxmlformats.org/officeDocument/2006/relationships/hyperlink" Target="https://app-web.statementrec.com/app#appuploadfiles/3a124566-691e-5408-457e-0849ead1dcee" TargetMode="External"/><Relationship Id="rId1475" Type="http://schemas.openxmlformats.org/officeDocument/2006/relationships/hyperlink" Target="https://app-web.statementrec.com/app#appuploadfiles/3a124af3-16d9-41d8-1388-5a2b8251a78d" TargetMode="External"/><Relationship Id="rId1476" Type="http://schemas.openxmlformats.org/officeDocument/2006/relationships/hyperlink" Target="https://app-web.statementrec.com/app#appuploadfiles/3a124ba7-0e7d-d698-9ee0-5c4d17c9d776" TargetMode="External"/><Relationship Id="rId1477" Type="http://schemas.openxmlformats.org/officeDocument/2006/relationships/hyperlink" Target="https://app-web.statementrec.com/app#appuploadfiles/3a124fef-67cc-6985-5019-2f26afc6b2b9" TargetMode="External"/><Relationship Id="rId1478" Type="http://schemas.openxmlformats.org/officeDocument/2006/relationships/hyperlink" Target="https://app-web.statementrec.com/app#appuploadfiles/3a126097-e39e-42d5-4260-d3614e30c733" TargetMode="External"/><Relationship Id="rId1479" Type="http://schemas.openxmlformats.org/officeDocument/2006/relationships/hyperlink" Target="https://app-web.statementrec.com/app#appuploadfiles/3a12656c-5595-b2db-a2f4-800d28ef1702" TargetMode="External"/><Relationship Id="rId1480" Type="http://schemas.openxmlformats.org/officeDocument/2006/relationships/hyperlink" Target="https://app-web.statementrec.com/app#appuploadfiles/3a126657-52d2-7c8a-cf9e-9f117cf75a7e" TargetMode="External"/><Relationship Id="rId1481" Type="http://schemas.openxmlformats.org/officeDocument/2006/relationships/hyperlink" Target="https://app-web.statementrec.com/app#appuploadfiles/3a1269ef-fead-3a70-bfee-f55bc8466fdc" TargetMode="External"/><Relationship Id="rId1482" Type="http://schemas.openxmlformats.org/officeDocument/2006/relationships/hyperlink" Target="https://app-web.statementrec.com/app#appuploadfiles/3a126a0d-a111-82ea-fed1-d71f882c8e80" TargetMode="External"/><Relationship Id="rId1483" Type="http://schemas.openxmlformats.org/officeDocument/2006/relationships/hyperlink" Target="https://app-web.statementrec.com/app#appuploadfiles/3a126a72-fc46-0b40-f185-73450f903b8e" TargetMode="External"/><Relationship Id="rId1484" Type="http://schemas.openxmlformats.org/officeDocument/2006/relationships/hyperlink" Target="https://app-web.statementrec.com/app#appuploadfiles/3a126d96-4589-2e86-f165-2f5a3f6eb6f6" TargetMode="External"/><Relationship Id="rId1485" Type="http://schemas.openxmlformats.org/officeDocument/2006/relationships/hyperlink" Target="https://app-web.statementrec.com/app#appuploadfiles/3a126e8b-1b50-2dcd-9760-345e089036ec" TargetMode="External"/><Relationship Id="rId1486" Type="http://schemas.openxmlformats.org/officeDocument/2006/relationships/hyperlink" Target="https://app-web.statementrec.com/app#appuploadfiles/3a126f55-f214-ecb2-1b99-766fea9c69e4" TargetMode="External"/><Relationship Id="rId1487" Type="http://schemas.openxmlformats.org/officeDocument/2006/relationships/hyperlink" Target="https://app-web.statementrec.com/app#appuploadfiles/3a127001-5d6d-5fc8-823e-62973f74f9ff" TargetMode="External"/><Relationship Id="rId1488" Type="http://schemas.openxmlformats.org/officeDocument/2006/relationships/hyperlink" Target="https://app-web.statementrec.com/app#appuploadfiles/3a1273c9-384a-859c-9777-a14905097bd9" TargetMode="External"/><Relationship Id="rId1489" Type="http://schemas.openxmlformats.org/officeDocument/2006/relationships/hyperlink" Target="https://app-web.statementrec.com/app#appuploadfiles/3a12744b-b555-981a-e923-9ea5ee77f164" TargetMode="External"/><Relationship Id="rId1490" Type="http://schemas.openxmlformats.org/officeDocument/2006/relationships/hyperlink" Target="https://app-web.statementrec.com/app#appuploadfiles/3a1274a1-0e94-c8f4-87d6-eb443726e956" TargetMode="External"/><Relationship Id="rId1491" Type="http://schemas.openxmlformats.org/officeDocument/2006/relationships/hyperlink" Target="https://app-web.statementrec.com/app#appuploadfiles/3a127512-045a-3a8d-9de4-e9d2ddaef5f8" TargetMode="External"/><Relationship Id="rId1492" Type="http://schemas.openxmlformats.org/officeDocument/2006/relationships/hyperlink" Target="https://app-web.statementrec.com/app#appuploadfiles/3a127703-ce30-c8d9-c558-91bcf895e69b" TargetMode="External"/><Relationship Id="rId1493" Type="http://schemas.openxmlformats.org/officeDocument/2006/relationships/hyperlink" Target="https://app-web.statementrec.com/app#appuploadfiles/3a1278ca-9718-7ecc-d7ca-af6b7659358c" TargetMode="External"/><Relationship Id="rId1494" Type="http://schemas.openxmlformats.org/officeDocument/2006/relationships/hyperlink" Target="https://app-web.statementrec.com/app#appuploadfiles/3a128373-c90c-92f9-fb2d-6419c9211e55" TargetMode="External"/><Relationship Id="rId1495" Type="http://schemas.openxmlformats.org/officeDocument/2006/relationships/hyperlink" Target="https://app-web.statementrec.com/app#appuploadfiles/3a12856a-4978-5647-3cd9-4672ce967ea0" TargetMode="External"/><Relationship Id="rId1496" Type="http://schemas.openxmlformats.org/officeDocument/2006/relationships/hyperlink" Target="https://app-web.statementrec.com/app#appuploadfiles/3a1287c4-8b71-d001-7902-47d5d2967ba2" TargetMode="External"/><Relationship Id="rId1497" Type="http://schemas.openxmlformats.org/officeDocument/2006/relationships/hyperlink" Target="https://app-web.statementrec.com/app#appuploadfiles/3a1288d9-cb80-96e0-d74d-88096bb78fa8" TargetMode="External"/><Relationship Id="rId1498" Type="http://schemas.openxmlformats.org/officeDocument/2006/relationships/hyperlink" Target="https://app-web.statementrec.com/app#appuploadfiles/3a128975-e1e2-670f-dda7-5b7afbd997c9" TargetMode="External"/><Relationship Id="rId1499" Type="http://schemas.openxmlformats.org/officeDocument/2006/relationships/hyperlink" Target="https://app-web.statementrec.com/app#appuploadfiles/3a1289d6-60e9-d483-22ff-d54126d71101" TargetMode="External"/><Relationship Id="rId1500" Type="http://schemas.openxmlformats.org/officeDocument/2006/relationships/hyperlink" Target="https://app-web.statementrec.com/app#appuploadfiles/3a128dfb-8970-a20a-b39d-fb0d32498f2c" TargetMode="External"/><Relationship Id="rId1501" Type="http://schemas.openxmlformats.org/officeDocument/2006/relationships/hyperlink" Target="https://app-web.statementrec.com/app#appuploadfiles/3a1292de-56ad-5c91-0387-1e67cce3b8c3" TargetMode="External"/><Relationship Id="rId1502" Type="http://schemas.openxmlformats.org/officeDocument/2006/relationships/hyperlink" Target="https://app-web.statementrec.com/app#appuploadfiles/3a129799-2211-8dee-aabe-874e7ba6189e" TargetMode="External"/><Relationship Id="rId1503" Type="http://schemas.openxmlformats.org/officeDocument/2006/relationships/hyperlink" Target="https://app-web.statementrec.com/app#appuploadfiles/3a129908-2afc-09b5-1130-a75537c8b3c1" TargetMode="External"/><Relationship Id="rId1504" Type="http://schemas.openxmlformats.org/officeDocument/2006/relationships/hyperlink" Target="https://app-web.statementrec.com/app#appuploadfiles/3a12a75b-6136-72dc-06e9-9c80432068d4" TargetMode="External"/><Relationship Id="rId1505" Type="http://schemas.openxmlformats.org/officeDocument/2006/relationships/hyperlink" Target="https://app-web.statementrec.com/app#appuploadfiles/3a12a771-ff46-babd-3744-bd72b4a8e469" TargetMode="External"/><Relationship Id="rId1506" Type="http://schemas.openxmlformats.org/officeDocument/2006/relationships/hyperlink" Target="https://app-web.statementrec.com/app#appuploadfiles/3a12a84b-93ee-0a6b-54be-f677ab517077" TargetMode="External"/><Relationship Id="rId1507" Type="http://schemas.openxmlformats.org/officeDocument/2006/relationships/hyperlink" Target="https://app-web.statementrec.com/app#appuploadfiles/3a12a860-78c2-84c4-d846-d26faf50a6e6" TargetMode="External"/><Relationship Id="rId1508" Type="http://schemas.openxmlformats.org/officeDocument/2006/relationships/hyperlink" Target="https://app-web.statementrec.com/app#appuploadfiles/3a12a8fd-b057-6e82-75db-085043047a2f" TargetMode="External"/><Relationship Id="rId1509" Type="http://schemas.openxmlformats.org/officeDocument/2006/relationships/hyperlink" Target="https://app-web.statementrec.com/app#appuploadfiles/3a12ac85-b5f6-8e99-baf4-081991263e29" TargetMode="External"/><Relationship Id="rId1510" Type="http://schemas.openxmlformats.org/officeDocument/2006/relationships/hyperlink" Target="https://app-web.statementrec.com/app#appuploadfiles/3a12acb6-b766-3ab6-f94a-54fa2a15f37e" TargetMode="External"/><Relationship Id="rId1511" Type="http://schemas.openxmlformats.org/officeDocument/2006/relationships/hyperlink" Target="https://app-web.statementrec.com/app#appuploadfiles/3a12ae0e-ffe6-7380-809a-f1fcf7d9f5d9" TargetMode="External"/><Relationship Id="rId1512" Type="http://schemas.openxmlformats.org/officeDocument/2006/relationships/hyperlink" Target="https://app-web.statementrec.com/app#appuploadfiles/3a12b14b-895e-fef8-a60a-b69ee72208d6" TargetMode="External"/><Relationship Id="rId1513" Type="http://schemas.openxmlformats.org/officeDocument/2006/relationships/hyperlink" Target="https://app-web.statementrec.com/app#appuploadfiles/3a12b1c0-355b-8fc2-510e-48fb67133570" TargetMode="External"/><Relationship Id="rId1514" Type="http://schemas.openxmlformats.org/officeDocument/2006/relationships/hyperlink" Target="https://app-web.statementrec.com/app#appuploadfiles/3a12b257-8fec-322d-c1cb-424f76f56f50" TargetMode="External"/><Relationship Id="rId1515" Type="http://schemas.openxmlformats.org/officeDocument/2006/relationships/hyperlink" Target="https://app-web.statementrec.com/app#appuploadfiles/3a12b274-17cb-f61f-c07f-05c6ef9c08d9" TargetMode="External"/><Relationship Id="rId1516" Type="http://schemas.openxmlformats.org/officeDocument/2006/relationships/hyperlink" Target="https://app-web.statementrec.com/app#appuploadfiles/3a12b357-70e0-6b49-59f0-1ce482bb9f9a" TargetMode="External"/><Relationship Id="rId1517" Type="http://schemas.openxmlformats.org/officeDocument/2006/relationships/hyperlink" Target="https://app-web.statementrec.com/app#appuploadfiles/3a12b683-2320-f296-93ea-917f62c9f568" TargetMode="External"/><Relationship Id="rId1518" Type="http://schemas.openxmlformats.org/officeDocument/2006/relationships/hyperlink" Target="https://app-web.statementrec.com/app#appuploadfiles/3a12b82d-11c2-aa61-4b33-d6a385c5f6ee" TargetMode="External"/><Relationship Id="rId1519" Type="http://schemas.openxmlformats.org/officeDocument/2006/relationships/hyperlink" Target="https://app-web.statementrec.com/app#appuploadfiles/3a12b8c1-bee1-0b0d-8797-59e64d757f82" TargetMode="External"/><Relationship Id="rId1520" Type="http://schemas.openxmlformats.org/officeDocument/2006/relationships/hyperlink" Target="https://app-web.statementrec.com/app#appuploadfiles/3a12bc31-5503-c4f9-f739-7c2edc577e5a" TargetMode="External"/><Relationship Id="rId1521" Type="http://schemas.openxmlformats.org/officeDocument/2006/relationships/hyperlink" Target="https://app-web.statementrec.com/app#appuploadfiles/3a12bc95-1550-baa9-64f6-f340140202e7" TargetMode="External"/><Relationship Id="rId1522" Type="http://schemas.openxmlformats.org/officeDocument/2006/relationships/hyperlink" Target="https://app-web.statementrec.com/app#appuploadfiles/3a12bc98-632d-7736-f727-17e1404c310a" TargetMode="External"/><Relationship Id="rId1523" Type="http://schemas.openxmlformats.org/officeDocument/2006/relationships/hyperlink" Target="https://app-web.statementrec.com/app#appuploadfiles/3a12bd79-8020-fec6-f3a3-d13a50db62a0" TargetMode="External"/><Relationship Id="rId1524" Type="http://schemas.openxmlformats.org/officeDocument/2006/relationships/hyperlink" Target="https://app-web.statementrec.com/app#appuploadfiles/3a12c716-fe42-1fca-cf6b-89bc6fad30cd" TargetMode="External"/><Relationship Id="rId1525" Type="http://schemas.openxmlformats.org/officeDocument/2006/relationships/hyperlink" Target="https://app-web.statementrec.com/app#appuploadfiles/3a12d057-d44a-2554-4176-25dc2da88872" TargetMode="External"/><Relationship Id="rId1526" Type="http://schemas.openxmlformats.org/officeDocument/2006/relationships/hyperlink" Target="https://app-web.statementrec.com/app#appuploadfiles/3a12d091-5c85-6b33-0871-6b998c1c50bc" TargetMode="External"/><Relationship Id="rId1527" Type="http://schemas.openxmlformats.org/officeDocument/2006/relationships/hyperlink" Target="https://app-web.statementrec.com/app#appuploadfiles/3a12d580-84fb-b3da-bc1c-e31f1a1fbf4f" TargetMode="External"/><Relationship Id="rId1528" Type="http://schemas.openxmlformats.org/officeDocument/2006/relationships/hyperlink" Target="https://app-web.statementrec.com/app#appuploadfiles/3a12d6c6-c0b6-134d-8631-5c4e0a8f6a03" TargetMode="External"/><Relationship Id="rId1529" Type="http://schemas.openxmlformats.org/officeDocument/2006/relationships/hyperlink" Target="https://app-web.statementrec.com/app#appuploadfiles/3a12d6cb-4e6c-9cad-d2fa-02356e11f3a0" TargetMode="External"/><Relationship Id="rId1530" Type="http://schemas.openxmlformats.org/officeDocument/2006/relationships/hyperlink" Target="https://app-web.statementrec.com/app#appuploadfiles/3a12d716-8481-7ff3-196c-181593f77c7d" TargetMode="External"/><Relationship Id="rId1531" Type="http://schemas.openxmlformats.org/officeDocument/2006/relationships/hyperlink" Target="https://app-web.statementrec.com/app#appuploadfiles/3a12db0e-5dcc-c041-3f17-d08569489e09" TargetMode="External"/><Relationship Id="rId1532" Type="http://schemas.openxmlformats.org/officeDocument/2006/relationships/hyperlink" Target="https://app-web.statementrec.com/app#appuploadfiles/3a12dd33-7ce4-0897-df88-3cb78570bd4b" TargetMode="External"/><Relationship Id="rId1533" Type="http://schemas.openxmlformats.org/officeDocument/2006/relationships/hyperlink" Target="https://app-web.statementrec.com/app#appuploadfiles/3a12df4c-ee78-d2bb-8dcf-509db7102505" TargetMode="External"/><Relationship Id="rId1534" Type="http://schemas.openxmlformats.org/officeDocument/2006/relationships/hyperlink" Target="https://app-web.statementrec.com/app#appuploadfiles/3a12e032-be90-b467-8ba9-72bd96e1a802" TargetMode="External"/><Relationship Id="rId1535" Type="http://schemas.openxmlformats.org/officeDocument/2006/relationships/hyperlink" Target="https://app-web.statementrec.com/app#appuploadfiles/3a12eb98-214b-3c72-7be8-bc826ba0cadf" TargetMode="External"/><Relationship Id="rId1536" Type="http://schemas.openxmlformats.org/officeDocument/2006/relationships/hyperlink" Target="https://app-web.statementrec.com/app#appuploadfiles/3a12eeb5-3e52-40d0-a52f-0b8055a4e7d8" TargetMode="External"/><Relationship Id="rId1537" Type="http://schemas.openxmlformats.org/officeDocument/2006/relationships/hyperlink" Target="https://app-web.statementrec.com/app#appuploadfiles/3a12ef5e-8189-183a-b84e-0647bada5975" TargetMode="External"/><Relationship Id="rId1538" Type="http://schemas.openxmlformats.org/officeDocument/2006/relationships/hyperlink" Target="https://app-web.statementrec.com/app#appuploadfiles/3a12eff1-de97-24db-da23-27c92fb886c2" TargetMode="External"/><Relationship Id="rId1539" Type="http://schemas.openxmlformats.org/officeDocument/2006/relationships/hyperlink" Target="https://app-web.statementrec.com/app#appuploadfiles/3a12f002-080a-53f6-8017-4224c3dc4100" TargetMode="External"/><Relationship Id="rId1540" Type="http://schemas.openxmlformats.org/officeDocument/2006/relationships/hyperlink" Target="https://app-web.statementrec.com/app#appuploadfiles/3a12f460-4b53-8fc0-74e1-65aa8b47a4e1" TargetMode="External"/><Relationship Id="rId1541" Type="http://schemas.openxmlformats.org/officeDocument/2006/relationships/hyperlink" Target="https://app-web.statementrec.com/app#appuploadfiles/3a12f52b-df98-f350-e408-78bbd947c5a4" TargetMode="External"/><Relationship Id="rId1542" Type="http://schemas.openxmlformats.org/officeDocument/2006/relationships/hyperlink" Target="https://app-web.statementrec.com/app#appuploadfiles/3a12f54f-eae4-ccb5-f942-441da2c29c31" TargetMode="External"/><Relationship Id="rId1543" Type="http://schemas.openxmlformats.org/officeDocument/2006/relationships/hyperlink" Target="https://app-web.statementrec.com/app#appuploadfiles/3a12f567-09cb-2214-6c4e-b2f7412a3dcd" TargetMode="External"/><Relationship Id="rId1544" Type="http://schemas.openxmlformats.org/officeDocument/2006/relationships/hyperlink" Target="https://app-web.statementrec.com/app#appuploadfiles/3a12fa2d-9487-572d-37c3-ed6f30569476" TargetMode="External"/><Relationship Id="rId1545" Type="http://schemas.openxmlformats.org/officeDocument/2006/relationships/hyperlink" Target="https://app-web.statementrec.com/app#appuploadfiles/3a12faff-dcab-2fb9-a7ed-f2a85cdc9573" TargetMode="External"/><Relationship Id="rId1546" Type="http://schemas.openxmlformats.org/officeDocument/2006/relationships/hyperlink" Target="https://app-web.statementrec.com/app#appuploadfiles/3a12ff4f-fb97-eb62-f2e8-663ee4951944" TargetMode="External"/><Relationship Id="rId1547" Type="http://schemas.openxmlformats.org/officeDocument/2006/relationships/hyperlink" Target="https://app-web.statementrec.com/app#appuploadfiles/3a1301f3-22f8-3a40-9c36-dbb241dd0dec" TargetMode="External"/><Relationship Id="rId1548" Type="http://schemas.openxmlformats.org/officeDocument/2006/relationships/hyperlink" Target="https://app-web.statementrec.com/app#appuploadfiles/3a130440-a897-e6f2-db20-54f77008306f" TargetMode="External"/><Relationship Id="rId1549" Type="http://schemas.openxmlformats.org/officeDocument/2006/relationships/hyperlink" Target="https://app-web.statementrec.com/app#appuploadfiles/3a1305ba-aac9-ed4a-6101-33028bbf6ba8" TargetMode="External"/><Relationship Id="rId1550" Type="http://schemas.openxmlformats.org/officeDocument/2006/relationships/hyperlink" Target="https://app-web.statementrec.com/app#appuploadfiles/3a131372-ca75-fcab-a2c2-8df9f1e78d48" TargetMode="External"/><Relationship Id="rId1551" Type="http://schemas.openxmlformats.org/officeDocument/2006/relationships/hyperlink" Target="https://app-web.statementrec.com/app#appuploadfiles/3a131397-0215-5676-2d79-44b63f314183" TargetMode="External"/><Relationship Id="rId1552" Type="http://schemas.openxmlformats.org/officeDocument/2006/relationships/hyperlink" Target="https://app-web.statementrec.com/app#appuploadfiles/3a1313b9-5094-c0e2-6adc-f52845ad0deb" TargetMode="External"/><Relationship Id="rId1553" Type="http://schemas.openxmlformats.org/officeDocument/2006/relationships/hyperlink" Target="https://app-web.statementrec.com/app#appuploadfiles/3a131441-ff4f-fad9-c044-d211d62c97b4" TargetMode="External"/><Relationship Id="rId1554" Type="http://schemas.openxmlformats.org/officeDocument/2006/relationships/hyperlink" Target="https://app-web.statementrec.com/app#appuploadfiles/3a131955-71e6-17fe-c917-c96c991f62f7" TargetMode="External"/><Relationship Id="rId1555" Type="http://schemas.openxmlformats.org/officeDocument/2006/relationships/hyperlink" Target="https://app-web.statementrec.com/app#appuploadfiles/3a131990-1d93-2557-ad5c-0835bf5b617e" TargetMode="External"/><Relationship Id="rId1556" Type="http://schemas.openxmlformats.org/officeDocument/2006/relationships/hyperlink" Target="https://app-web.statementrec.com/app#appuploadfiles/3a131dc6-5e5f-a8af-267e-870439b78573" TargetMode="External"/><Relationship Id="rId1557" Type="http://schemas.openxmlformats.org/officeDocument/2006/relationships/hyperlink" Target="https://app-web.statementrec.com/app#appuploadfiles/3a131e2e-61fb-9e7b-91ec-cffc5a42d1fd" TargetMode="External"/><Relationship Id="rId1558" Type="http://schemas.openxmlformats.org/officeDocument/2006/relationships/hyperlink" Target="https://app-web.statementrec.com/app#appuploadfiles/3a1322bb-1a17-bcfc-ee70-4cccd5d2bb53" TargetMode="External"/><Relationship Id="rId1559" Type="http://schemas.openxmlformats.org/officeDocument/2006/relationships/hyperlink" Target="https://app-web.statementrec.com/app#appuploadfiles/3a1322bd-8ab3-b9e8-634e-058419020461" TargetMode="External"/><Relationship Id="rId1560" Type="http://schemas.openxmlformats.org/officeDocument/2006/relationships/hyperlink" Target="https://app-web.statementrec.com/app#appuploadfiles/3a13237d-4eb4-871a-5bf2-dd46cc648f3a" TargetMode="External"/><Relationship Id="rId1561" Type="http://schemas.openxmlformats.org/officeDocument/2006/relationships/hyperlink" Target="https://app-web.statementrec.com/app#appuploadfiles/3a1327e6-7647-fcbc-6e94-c97e4d00ae8e" TargetMode="External"/><Relationship Id="rId1562" Type="http://schemas.openxmlformats.org/officeDocument/2006/relationships/hyperlink" Target="https://app-web.statementrec.com/app#appuploadfiles/3a13281e-370b-6061-68e1-2b99c7ddf8bc" TargetMode="External"/><Relationship Id="rId1563" Type="http://schemas.openxmlformats.org/officeDocument/2006/relationships/hyperlink" Target="https://app-web.statementrec.com/app#appuploadfiles/3a1332a0-c3fa-41b5-3f38-6048ec6f87d0" TargetMode="External"/><Relationship Id="rId1564" Type="http://schemas.openxmlformats.org/officeDocument/2006/relationships/hyperlink" Target="https://app-web.statementrec.com/app#appuploadfiles/3a13358e-d26b-ad20-76ca-41118056b1cf" TargetMode="External"/><Relationship Id="rId1565" Type="http://schemas.openxmlformats.org/officeDocument/2006/relationships/hyperlink" Target="https://app-web.statementrec.com/app#appuploadfiles/3a133783-0711-087a-6ce4-a0dfa9d0a63e" TargetMode="External"/><Relationship Id="rId1566" Type="http://schemas.openxmlformats.org/officeDocument/2006/relationships/hyperlink" Target="https://app-web.statementrec.com/app#appuploadfiles/3a1337e6-4563-c329-0692-8ed44e613587" TargetMode="External"/><Relationship Id="rId1567" Type="http://schemas.openxmlformats.org/officeDocument/2006/relationships/hyperlink" Target="https://app-web.statementrec.com/app#appuploadfiles/3a134203-bee1-6c26-e726-f4d2b09fae32" TargetMode="External"/><Relationship Id="rId1568" Type="http://schemas.openxmlformats.org/officeDocument/2006/relationships/hyperlink" Target="https://app-web.statementrec.com/app#appuploadfiles/3a1346e4-8a18-4872-ef91-70fd560a0ccf" TargetMode="External"/><Relationship Id="rId1569" Type="http://schemas.openxmlformats.org/officeDocument/2006/relationships/hyperlink" Target="https://app-web.statementrec.com/app#appuploadfiles/3a134736-160b-2bc4-138a-6b4865a460f3" TargetMode="External"/><Relationship Id="rId1570" Type="http://schemas.openxmlformats.org/officeDocument/2006/relationships/hyperlink" Target="https://app-web.statementrec.com/app#appuploadfiles/3a134814-03ba-f322-dc66-01ed21a0d28b" TargetMode="External"/><Relationship Id="rId1571" Type="http://schemas.openxmlformats.org/officeDocument/2006/relationships/hyperlink" Target="https://app-web.statementrec.com/app#appuploadfiles/3a134c38-1ba7-bb06-e7dd-e28a212ed8ff" TargetMode="External"/><Relationship Id="rId1572" Type="http://schemas.openxmlformats.org/officeDocument/2006/relationships/hyperlink" Target="https://app-web.statementrec.com/app#appuploadfiles/3a134c3a-0605-2808-ee0d-c2a930f17ac6" TargetMode="External"/><Relationship Id="rId1573" Type="http://schemas.openxmlformats.org/officeDocument/2006/relationships/hyperlink" Target="https://app-web.statementrec.com/app#appuploadfiles/3a135bf4-5135-6112-4f13-df3d325a61dd" TargetMode="External"/><Relationship Id="rId1574" Type="http://schemas.openxmlformats.org/officeDocument/2006/relationships/hyperlink" Target="https://app-web.statementrec.com/app#appuploadfiles/3a135c93-3866-1252-80a6-ae8af24d3b57" TargetMode="External"/><Relationship Id="rId1575" Type="http://schemas.openxmlformats.org/officeDocument/2006/relationships/hyperlink" Target="https://app-web.statementrec.com/app#appuploadfiles/3a135c9f-bec7-68d2-d01c-e294c2f8f566" TargetMode="External"/><Relationship Id="rId1576" Type="http://schemas.openxmlformats.org/officeDocument/2006/relationships/hyperlink" Target="https://app-web.statementrec.com/app#appuploadfiles/3a1360fe-88a0-b9cd-b474-e0d8e7ed5eb8" TargetMode="External"/><Relationship Id="rId1577" Type="http://schemas.openxmlformats.org/officeDocument/2006/relationships/hyperlink" Target="https://app-web.statementrec.com/app#appuploadfiles/3a13676c-7227-802b-5bcd-08467f391895" TargetMode="External"/><Relationship Id="rId1578" Type="http://schemas.openxmlformats.org/officeDocument/2006/relationships/hyperlink" Target="https://app-web.statementrec.com/app#appuploadfiles/3a136c1f-3f51-d1e7-5fef-f39f47aa44b0" TargetMode="External"/><Relationship Id="rId1579" Type="http://schemas.openxmlformats.org/officeDocument/2006/relationships/hyperlink" Target="https://app-web.statementrec.com/app#appuploadfiles/3a136fed-da22-4b14-b37d-5cee84a9a61f" TargetMode="External"/><Relationship Id="rId1580" Type="http://schemas.openxmlformats.org/officeDocument/2006/relationships/hyperlink" Target="https://app-web.statementrec.com/app#appuploadfiles/3a137099-8118-85a0-c189-8387e2b9b241" TargetMode="External"/><Relationship Id="rId1581" Type="http://schemas.openxmlformats.org/officeDocument/2006/relationships/hyperlink" Target="https://app-web.statementrec.com/app#appuploadfiles/3a137e9a-8a33-0505-e86b-7f2ff39c7184" TargetMode="External"/><Relationship Id="rId1582" Type="http://schemas.openxmlformats.org/officeDocument/2006/relationships/hyperlink" Target="https://app-web.statementrec.com/app#appuploadfiles/3a137f8e-a002-4f0d-5a2e-52b18bf37670" TargetMode="External"/><Relationship Id="rId1583" Type="http://schemas.openxmlformats.org/officeDocument/2006/relationships/hyperlink" Target="https://app-web.statementrec.com/app#appuploadfiles/3a137fe1-15d7-04f3-aabf-f1316a939f51" TargetMode="External"/><Relationship Id="rId1584" Type="http://schemas.openxmlformats.org/officeDocument/2006/relationships/hyperlink" Target="https://app-web.statementrec.com/app#appuploadfiles/3a137fe5-a62e-e610-0c4e-4de1abc0052c" TargetMode="External"/><Relationship Id="rId1585" Type="http://schemas.openxmlformats.org/officeDocument/2006/relationships/hyperlink" Target="https://app-web.statementrec.com/app#appuploadfiles/3a137fef-7449-6bf4-76d7-0b19add68856" TargetMode="External"/><Relationship Id="rId1586" Type="http://schemas.openxmlformats.org/officeDocument/2006/relationships/hyperlink" Target="https://app-web.statementrec.com/app#appuploadfiles/3a1385a1-3ea9-2dbc-af9b-6e98293e0abf" TargetMode="External"/><Relationship Id="rId1587" Type="http://schemas.openxmlformats.org/officeDocument/2006/relationships/hyperlink" Target="https://app-web.statementrec.com/app#appuploadfiles/3a1389cb-43d8-358d-4610-25030c3f439c" TargetMode="External"/><Relationship Id="rId1588" Type="http://schemas.openxmlformats.org/officeDocument/2006/relationships/hyperlink" Target="https://app-web.statementrec.com/app#appuploadfiles/3a138a0f-ca19-e4bd-797e-353458046eb4" TargetMode="External"/><Relationship Id="rId1589" Type="http://schemas.openxmlformats.org/officeDocument/2006/relationships/hyperlink" Target="https://app-web.statementrec.com/app#appuploadfiles/3a138ed9-adc8-2550-8920-0745eb2d8f8a" TargetMode="External"/><Relationship Id="rId1590" Type="http://schemas.openxmlformats.org/officeDocument/2006/relationships/hyperlink" Target="https://app-web.statementrec.com/app#appuploadfiles/3a138ed9-d0cd-276a-51ac-20684f924720" TargetMode="External"/><Relationship Id="rId1591" Type="http://schemas.openxmlformats.org/officeDocument/2006/relationships/hyperlink" Target="https://app-web.statementrec.com/app#appuploadfiles/3a138f28-7085-c393-3bad-d18375e81890" TargetMode="External"/><Relationship Id="rId1592" Type="http://schemas.openxmlformats.org/officeDocument/2006/relationships/hyperlink" Target="https://app-web.statementrec.com/app#appuploadfiles/3a138f2e-cd61-8254-3908-7edaf285086b" TargetMode="External"/><Relationship Id="rId1593" Type="http://schemas.openxmlformats.org/officeDocument/2006/relationships/hyperlink" Target="https://app-web.statementrec.com/app#appuploadfiles/3a139045-859f-21e8-7208-8d0382c4cc89" TargetMode="External"/><Relationship Id="rId1594" Type="http://schemas.openxmlformats.org/officeDocument/2006/relationships/hyperlink" Target="https://app-web.statementrec.com/app#appuploadfiles/3a1391c1-a734-21f9-9c5e-603b811b32ce" TargetMode="External"/><Relationship Id="rId1595" Type="http://schemas.openxmlformats.org/officeDocument/2006/relationships/hyperlink" Target="https://app-web.statementrec.com/app#appuploadfiles/3a1394cd-163d-370f-70b6-22bfd9d48929" TargetMode="External"/><Relationship Id="rId1596" Type="http://schemas.openxmlformats.org/officeDocument/2006/relationships/hyperlink" Target="https://app-web.statementrec.com/app#appuploadfiles/3a13a0e8-581b-adae-2b70-4a8f0d3d9620" TargetMode="External"/><Relationship Id="rId1597" Type="http://schemas.openxmlformats.org/officeDocument/2006/relationships/hyperlink" Target="https://app-web.statementrec.com/app#appuploadfiles/3a13a3c4-1475-627d-5e89-4d594a9a4bf3" TargetMode="External"/><Relationship Id="rId1598" Type="http://schemas.openxmlformats.org/officeDocument/2006/relationships/hyperlink" Target="https://app-web.statementrec.com/app#appuploadfiles/3a13a962-a03b-410e-5db3-0bc12000cb1c" TargetMode="External"/><Relationship Id="rId1599" Type="http://schemas.openxmlformats.org/officeDocument/2006/relationships/hyperlink" Target="https://app-web.statementrec.com/app#appuploadfiles/3a13acb8-5d4f-846e-1e91-ec027eb44925" TargetMode="External"/><Relationship Id="rId1600" Type="http://schemas.openxmlformats.org/officeDocument/2006/relationships/hyperlink" Target="https://app-web.statementrec.com/app#appuploadfiles/3a13adfb-f81a-04f0-dbfe-b6c4d551ddaa" TargetMode="External"/><Relationship Id="rId1601" Type="http://schemas.openxmlformats.org/officeDocument/2006/relationships/hyperlink" Target="https://app-web.statementrec.com/app#appuploadfiles/3a13af3b-d5ad-8db8-c63e-98d899d4939c" TargetMode="External"/><Relationship Id="rId1602" Type="http://schemas.openxmlformats.org/officeDocument/2006/relationships/hyperlink" Target="https://app-web.statementrec.com/app#appuploadfiles/3a13af55-bf01-6896-57b5-c36f50bab6c4" TargetMode="External"/><Relationship Id="rId1603" Type="http://schemas.openxmlformats.org/officeDocument/2006/relationships/hyperlink" Target="https://app-web.statementrec.com/app#appuploadfiles/3a13c050-0ac7-7d6a-5652-b0ebcca5a53c" TargetMode="External"/><Relationship Id="rId1604" Type="http://schemas.openxmlformats.org/officeDocument/2006/relationships/hyperlink" Target="https://app-web.statementrec.com/app#appuploadfiles/3a13cb17-0b43-117f-574f-bcbcfa5a77d3" TargetMode="External"/><Relationship Id="rId1605" Type="http://schemas.openxmlformats.org/officeDocument/2006/relationships/hyperlink" Target="https://app-web.statementrec.com/app#appuploadfiles/3a13cd27-637a-de96-7c6d-4eda86eba371" TargetMode="External"/><Relationship Id="rId1606" Type="http://schemas.openxmlformats.org/officeDocument/2006/relationships/hyperlink" Target="https://app-web.statementrec.com/app#appuploadfiles/3a13cd55-f643-7c0a-a077-60977a2f492e" TargetMode="External"/><Relationship Id="rId1607" Type="http://schemas.openxmlformats.org/officeDocument/2006/relationships/hyperlink" Target="https://app-web.statementrec.com/app#appuploadfiles/3a13cd79-87ac-df84-fa76-f87afac779b4" TargetMode="External"/><Relationship Id="rId1608" Type="http://schemas.openxmlformats.org/officeDocument/2006/relationships/hyperlink" Target="https://app-web.statementrec.com/app#appuploadfiles/3a13ce33-213e-1e97-26a4-97744f5544aa" TargetMode="External"/><Relationship Id="rId1609" Type="http://schemas.openxmlformats.org/officeDocument/2006/relationships/hyperlink" Target="https://app-web.statementrec.com/app#appuploadfiles/3a13d05f-4d7c-86a2-1007-d54815905d69" TargetMode="External"/><Relationship Id="rId1610" Type="http://schemas.openxmlformats.org/officeDocument/2006/relationships/hyperlink" Target="https://app-web.statementrec.com/app#appuploadfiles/3a13d7c9-4747-3a6f-9a02-0910de48289c" TargetMode="External"/><Relationship Id="rId1611" Type="http://schemas.openxmlformats.org/officeDocument/2006/relationships/hyperlink" Target="https://app-web.statementrec.com/app#appuploadfiles/3a13d7db-fb34-2d5e-1147-093c044816dd" TargetMode="External"/><Relationship Id="rId1612" Type="http://schemas.openxmlformats.org/officeDocument/2006/relationships/hyperlink" Target="https://app-web.statementrec.com/app#appuploadfiles/3a13da2c-83a0-7044-50ea-163aee72c76c" TargetMode="External"/><Relationship Id="rId1613" Type="http://schemas.openxmlformats.org/officeDocument/2006/relationships/hyperlink" Target="https://app-web.statementrec.com/app#appuploadfiles/3a13e1f2-06bf-fb88-9775-e43c8a671a78" TargetMode="External"/><Relationship Id="rId1614" Type="http://schemas.openxmlformats.org/officeDocument/2006/relationships/hyperlink" Target="https://app-web.statementrec.com/app#appuploadfiles/3a13ebba-cfa0-6aee-7a46-129a6987be71" TargetMode="External"/><Relationship Id="rId1615" Type="http://schemas.openxmlformats.org/officeDocument/2006/relationships/hyperlink" Target="https://app-web.statementrec.com/app#appuploadfiles/3a13ebc0-cc10-e87e-5a68-6882fc80215c" TargetMode="External"/><Relationship Id="rId1616" Type="http://schemas.openxmlformats.org/officeDocument/2006/relationships/hyperlink" Target="https://app-web.statementrec.com/app#appuploadfiles/3a13ec0a-3190-b592-ac84-8566c93130d9" TargetMode="External"/><Relationship Id="rId1617" Type="http://schemas.openxmlformats.org/officeDocument/2006/relationships/hyperlink" Target="https://app-web.statementrec.com/app#appuploadfiles/3a13ed3f-fad0-7feb-f04a-8753abff3952" TargetMode="External"/><Relationship Id="rId1618" Type="http://schemas.openxmlformats.org/officeDocument/2006/relationships/hyperlink" Target="https://app-web.statementrec.com/app#appuploadfiles/3a13f1b7-ee03-3814-62e9-5fbf516a2415" TargetMode="External"/><Relationship Id="rId1619" Type="http://schemas.openxmlformats.org/officeDocument/2006/relationships/hyperlink" Target="https://app-web.statementrec.com/app#appuploadfiles/3a13f289-1f88-8b33-2903-28a5e79ede60" TargetMode="External"/><Relationship Id="rId1620" Type="http://schemas.openxmlformats.org/officeDocument/2006/relationships/hyperlink" Target="https://app-web.statementrec.com/app#appuploadfiles/3a140fea-fa9c-ca4b-b418-f50055916d29" TargetMode="External"/><Relationship Id="rId1621" Type="http://schemas.openxmlformats.org/officeDocument/2006/relationships/hyperlink" Target="https://app-web.statementrec.com/app#appuploadfiles/3a141467-0455-4bce-565c-80cc853d8fcb" TargetMode="External"/><Relationship Id="rId1622" Type="http://schemas.openxmlformats.org/officeDocument/2006/relationships/hyperlink" Target="https://app-web.statementrec.com/app#appuploadfiles/3a141616-829d-8155-f739-92fcf187ee20" TargetMode="External"/><Relationship Id="rId1623" Type="http://schemas.openxmlformats.org/officeDocument/2006/relationships/hyperlink" Target="https://app-web.statementrec.com/app#appuploadfiles/3a1419fe-a15a-ed44-405f-d97bde32b5f6" TargetMode="External"/><Relationship Id="rId1624" Type="http://schemas.openxmlformats.org/officeDocument/2006/relationships/hyperlink" Target="https://app-web.statementrec.com/app#appuploadfiles/3a141b02-ee5f-0b68-2aa2-5aa55921295b" TargetMode="External"/><Relationship Id="rId1625" Type="http://schemas.openxmlformats.org/officeDocument/2006/relationships/hyperlink" Target="https://app-web.statementrec.com/app#appuploadfiles/3a141fb0-ff96-c7fc-0b14-4dce25dae510" TargetMode="External"/><Relationship Id="rId1626" Type="http://schemas.openxmlformats.org/officeDocument/2006/relationships/hyperlink" Target="https://app-web.statementrec.com/app#appuploadfiles/3a14208a-4518-eca5-1e22-72c822de391a" TargetMode="External"/><Relationship Id="rId1627" Type="http://schemas.openxmlformats.org/officeDocument/2006/relationships/hyperlink" Target="https://app-web.statementrec.com/app#appuploadfiles/3a142468-4e58-1686-df47-0898bdc221e6" TargetMode="External"/><Relationship Id="rId1628" Type="http://schemas.openxmlformats.org/officeDocument/2006/relationships/hyperlink" Target="https://app-web.statementrec.com/app#appuploadfiles/3a1424f7-4c36-8503-3ac0-54bfa4893c5d" TargetMode="External"/><Relationship Id="rId1629" Type="http://schemas.openxmlformats.org/officeDocument/2006/relationships/hyperlink" Target="https://app-web.statementrec.com/app#appuploadfiles/3a142534-5b44-3983-e74e-7f2d0d33d08b" TargetMode="External"/><Relationship Id="rId1630" Type="http://schemas.openxmlformats.org/officeDocument/2006/relationships/hyperlink" Target="https://app-web.statementrec.com/app#appuploadfiles/3a1430d8-3f9d-a162-a060-9e1f33d4cd41" TargetMode="External"/><Relationship Id="rId1631" Type="http://schemas.openxmlformats.org/officeDocument/2006/relationships/hyperlink" Target="https://app-web.statementrec.com/app#appuploadfiles/3a143467-3f79-7f47-b9f7-0d9dfd1f8f17" TargetMode="External"/><Relationship Id="rId1632" Type="http://schemas.openxmlformats.org/officeDocument/2006/relationships/hyperlink" Target="https://app-web.statementrec.com/app#appuploadfiles/3a1434fd-168c-bbcb-7036-d5d5fe26ebd2" TargetMode="External"/><Relationship Id="rId1633" Type="http://schemas.openxmlformats.org/officeDocument/2006/relationships/hyperlink" Target="https://app-web.statementrec.com/app#appuploadfiles/3a143516-9cc0-0e06-53d9-ae4d94c4aef3" TargetMode="External"/><Relationship Id="rId1634" Type="http://schemas.openxmlformats.org/officeDocument/2006/relationships/hyperlink" Target="https://app-web.statementrec.com/app#appuploadfiles/3a143558-81c0-2c3f-9c9a-e270419acd91" TargetMode="External"/><Relationship Id="rId1635" Type="http://schemas.openxmlformats.org/officeDocument/2006/relationships/hyperlink" Target="https://app-web.statementrec.com/app#appuploadfiles/3a1439fe-8988-27a9-3ea0-c4b12541217a" TargetMode="External"/><Relationship Id="rId1636" Type="http://schemas.openxmlformats.org/officeDocument/2006/relationships/hyperlink" Target="https://app-web.statementrec.com/app#appuploadfiles/3a143e93-470f-f900-49d4-8f5ad938f7a1" TargetMode="External"/><Relationship Id="rId1637" Type="http://schemas.openxmlformats.org/officeDocument/2006/relationships/hyperlink" Target="https://app-web.statementrec.com/app#appuploadfiles/3a143f15-21aa-7d75-cb59-6fe11735e776" TargetMode="External"/><Relationship Id="rId1638" Type="http://schemas.openxmlformats.org/officeDocument/2006/relationships/hyperlink" Target="https://app-web.statementrec.com/app#appuploadfiles/3a144035-d2f3-e9c7-0691-78bfbd328086" TargetMode="External"/><Relationship Id="rId1639" Type="http://schemas.openxmlformats.org/officeDocument/2006/relationships/hyperlink" Target="https://app-web.statementrec.com/app#appuploadfiles/3a14434a-9223-b72c-9a8c-869a15a6e876" TargetMode="External"/><Relationship Id="rId1640" Type="http://schemas.openxmlformats.org/officeDocument/2006/relationships/hyperlink" Target="https://app-web.statementrec.com/app#appuploadfiles/3a1444c3-534a-650d-c646-395c298e3929" TargetMode="External"/><Relationship Id="rId1641" Type="http://schemas.openxmlformats.org/officeDocument/2006/relationships/hyperlink" Target="https://app-web.statementrec.com/app#appuploadfiles/3a1444cb-2988-7aea-a67d-d2b380e75409" TargetMode="External"/><Relationship Id="rId1642" Type="http://schemas.openxmlformats.org/officeDocument/2006/relationships/hyperlink" Target="https://app-web.statementrec.com/app#appuploadfiles/3a145634-f8ae-1f88-ca81-869b839a79ed" TargetMode="External"/><Relationship Id="rId1643" Type="http://schemas.openxmlformats.org/officeDocument/2006/relationships/hyperlink" Target="https://app-web.statementrec.com/app#appuploadfiles/3a145882-811e-1d31-6e3e-db7f4a457cb0" TargetMode="External"/><Relationship Id="rId1644" Type="http://schemas.openxmlformats.org/officeDocument/2006/relationships/hyperlink" Target="https://app-web.statementrec.com/app#appuploadfiles/3a145964-f9e4-74c4-2615-4aa9dfca39c7" TargetMode="External"/><Relationship Id="rId1645" Type="http://schemas.openxmlformats.org/officeDocument/2006/relationships/hyperlink" Target="https://app-web.statementrec.com/app#appuploadfiles/3a145d3c-330b-6757-db84-dfd9bc87ec63" TargetMode="External"/><Relationship Id="rId1646" Type="http://schemas.openxmlformats.org/officeDocument/2006/relationships/hyperlink" Target="https://app-web.statementrec.com/app#appuploadfiles/3a145def-a1f0-d2a7-58d8-2c24611cf69d" TargetMode="External"/><Relationship Id="rId1647" Type="http://schemas.openxmlformats.org/officeDocument/2006/relationships/hyperlink" Target="https://app-web.statementrec.com/app#appuploadfiles/3a145e3e-304d-e324-84eb-83ad9fa1bb32" TargetMode="External"/><Relationship Id="rId1648" Type="http://schemas.openxmlformats.org/officeDocument/2006/relationships/hyperlink" Target="https://app-web.statementrec.com/app#appuploadfiles/3a14623a-585e-7c25-b3c0-2e689306781e" TargetMode="External"/><Relationship Id="rId1649" Type="http://schemas.openxmlformats.org/officeDocument/2006/relationships/hyperlink" Target="https://app-web.statementrec.com/app#appuploadfiles/3a14633c-3d26-0290-f9e1-09267b8a5e9c" TargetMode="External"/><Relationship Id="rId1650" Type="http://schemas.openxmlformats.org/officeDocument/2006/relationships/hyperlink" Target="https://app-web.statementrec.com/app#appuploadfiles/3a146391-4f14-d944-b460-69135ba289bd" TargetMode="External"/><Relationship Id="rId1651" Type="http://schemas.openxmlformats.org/officeDocument/2006/relationships/hyperlink" Target="https://app-web.statementrec.com/app#appuploadfiles/3a146735-a0d6-718d-6812-c849445e8684" TargetMode="External"/><Relationship Id="rId1652" Type="http://schemas.openxmlformats.org/officeDocument/2006/relationships/hyperlink" Target="https://app-web.statementrec.com/app#appuploadfiles/3a14676b-a796-bfe7-a262-82226a305fe7" TargetMode="External"/><Relationship Id="rId1653" Type="http://schemas.openxmlformats.org/officeDocument/2006/relationships/hyperlink" Target="https://app-web.statementrec.com/app#appuploadfiles/3a146809-e746-db5c-72e2-8a3353afe41e" TargetMode="External"/><Relationship Id="rId1654" Type="http://schemas.openxmlformats.org/officeDocument/2006/relationships/hyperlink" Target="https://app-web.statementrec.com/app#appuploadfiles/3a146cb6-3a69-0d17-1f0a-286341b7938e" TargetMode="External"/><Relationship Id="rId1655" Type="http://schemas.openxmlformats.org/officeDocument/2006/relationships/hyperlink" Target="https://app-web.statementrec.com/app#appuploadfiles/3a147d63-a441-b4bf-86bc-3321d82ed534" TargetMode="External"/><Relationship Id="rId1656" Type="http://schemas.openxmlformats.org/officeDocument/2006/relationships/hyperlink" Target="https://app-web.statementrec.com/app#appuploadfiles/3a14815e-966d-32be-cac9-5583acc6e0ed" TargetMode="External"/><Relationship Id="rId1657" Type="http://schemas.openxmlformats.org/officeDocument/2006/relationships/hyperlink" Target="https://app-web.statementrec.com/app#appuploadfiles/3a148171-4328-4057-de23-2abd5b0ad7e2" TargetMode="External"/><Relationship Id="rId1658" Type="http://schemas.openxmlformats.org/officeDocument/2006/relationships/hyperlink" Target="https://app-web.statementrec.com/app#appuploadfiles/3a148266-93fb-0ef1-1e39-2d7c61eb7de8" TargetMode="External"/><Relationship Id="rId1659" Type="http://schemas.openxmlformats.org/officeDocument/2006/relationships/hyperlink" Target="https://app-web.statementrec.com/app#appuploadfiles/3a148290-59d0-ce65-fd4a-a18d3e7923f7" TargetMode="External"/><Relationship Id="rId1660" Type="http://schemas.openxmlformats.org/officeDocument/2006/relationships/hyperlink" Target="https://app-web.statementrec.com/app#appuploadfiles/3a148334-63b2-ce93-4ca4-a63a54e32f41" TargetMode="External"/><Relationship Id="rId1661" Type="http://schemas.openxmlformats.org/officeDocument/2006/relationships/hyperlink" Target="https://app-web.statementrec.com/app#appuploadfiles/3a148373-5a5a-0d3f-2ef3-d97266b6c481" TargetMode="External"/><Relationship Id="rId1662" Type="http://schemas.openxmlformats.org/officeDocument/2006/relationships/hyperlink" Target="https://app-web.statementrec.com/app#appuploadfiles/3a148670-fc3d-df80-f7ef-0fb8488fbc02" TargetMode="External"/><Relationship Id="rId1663" Type="http://schemas.openxmlformats.org/officeDocument/2006/relationships/hyperlink" Target="https://app-web.statementrec.com/app#appuploadfiles/3a1486a2-6da7-d91f-0a5d-ea24d7afd830" TargetMode="External"/><Relationship Id="rId1664" Type="http://schemas.openxmlformats.org/officeDocument/2006/relationships/hyperlink" Target="https://app-web.statementrec.com/app#appuploadfiles/3a1486be-acef-32b8-7a3a-11155ffed28d" TargetMode="External"/><Relationship Id="rId1665" Type="http://schemas.openxmlformats.org/officeDocument/2006/relationships/hyperlink" Target="https://app-web.statementrec.com/app#appuploadfiles/3a1486e0-9f53-e839-0356-1a8d2dcdd37c" TargetMode="External"/><Relationship Id="rId1666" Type="http://schemas.openxmlformats.org/officeDocument/2006/relationships/hyperlink" Target="https://app-web.statementrec.com/app#appuploadfiles/3a14872a-461a-bcc4-d3b1-cc1488b0db2b" TargetMode="External"/><Relationship Id="rId1667" Type="http://schemas.openxmlformats.org/officeDocument/2006/relationships/hyperlink" Target="https://app-web.statementrec.com/app#appuploadfiles/3a148cdd-b2d4-f5c5-5005-38852e23df95" TargetMode="External"/><Relationship Id="rId1668" Type="http://schemas.openxmlformats.org/officeDocument/2006/relationships/hyperlink" Target="https://app-web.statementrec.com/app#appuploadfiles/3a148d01-b48e-7343-63f2-428b0a2db006" TargetMode="External"/><Relationship Id="rId1669" Type="http://schemas.openxmlformats.org/officeDocument/2006/relationships/hyperlink" Target="https://app-web.statementrec.com/app#appuploadfiles/3a148df9-4477-83cf-f9fb-1e997686bee9" TargetMode="External"/><Relationship Id="rId1670" Type="http://schemas.openxmlformats.org/officeDocument/2006/relationships/hyperlink" Target="https://app-web.statementrec.com/app#appuploadfiles/3a14907e-4eea-8eb1-9c3a-3223f4bd587a" TargetMode="External"/><Relationship Id="rId1671" Type="http://schemas.openxmlformats.org/officeDocument/2006/relationships/hyperlink" Target="https://app-web.statementrec.com/app#appuploadfiles/3a149161-d17f-1ea1-38fa-6cb7914b2194" TargetMode="External"/><Relationship Id="rId1672" Type="http://schemas.openxmlformats.org/officeDocument/2006/relationships/hyperlink" Target="https://app-web.statementrec.com/app#appuploadfiles/3a14972e-2bac-9e11-9974-4992b1632904" TargetMode="External"/><Relationship Id="rId1673" Type="http://schemas.openxmlformats.org/officeDocument/2006/relationships/hyperlink" Target="https://app-web.statementrec.com/app#appuploadfiles/3a14a310-18a2-39e2-0b00-f099dab37b89" TargetMode="External"/><Relationship Id="rId1674" Type="http://schemas.openxmlformats.org/officeDocument/2006/relationships/hyperlink" Target="https://app-web.statementrec.com/app#appuploadfiles/3a14a70c-fceb-a583-832c-e0a434011ac7" TargetMode="External"/><Relationship Id="rId1675" Type="http://schemas.openxmlformats.org/officeDocument/2006/relationships/hyperlink" Target="https://app-web.statementrec.com/app#appuploadfiles/3a14a70f-b861-1534-b9b8-9f542a5f06e8" TargetMode="External"/><Relationship Id="rId1676" Type="http://schemas.openxmlformats.org/officeDocument/2006/relationships/hyperlink" Target="https://app-web.statementrec.com/app#appuploadfiles/3a14a7b6-069e-e1db-496d-d3ea81e93fd7" TargetMode="External"/><Relationship Id="rId1677" Type="http://schemas.openxmlformats.org/officeDocument/2006/relationships/hyperlink" Target="https://app-web.statementrec.com/app#appuploadfiles/3a14a83a-e96b-efcf-9b2e-47f86e9c7646" TargetMode="External"/><Relationship Id="rId1678" Type="http://schemas.openxmlformats.org/officeDocument/2006/relationships/hyperlink" Target="https://app-web.statementrec.com/app#appuploadfiles/3a14aa84-744c-f1da-6316-fac17d327e68" TargetMode="External"/><Relationship Id="rId1679" Type="http://schemas.openxmlformats.org/officeDocument/2006/relationships/hyperlink" Target="https://app-web.statementrec.com/app#appuploadfiles/3a14afd8-c3d0-7344-861c-b6d46f037c76" TargetMode="External"/><Relationship Id="rId1680" Type="http://schemas.openxmlformats.org/officeDocument/2006/relationships/hyperlink" Target="https://app-web.statementrec.com/app#appuploadfiles/3a14b095-762e-da55-858e-b4a59a997a62" TargetMode="External"/><Relationship Id="rId1681" Type="http://schemas.openxmlformats.org/officeDocument/2006/relationships/hyperlink" Target="https://app-web.statementrec.com/app#appuploadfiles/3a14b4b5-105b-3127-8b32-3d6ff698cb5c" TargetMode="External"/><Relationship Id="rId1682" Type="http://schemas.openxmlformats.org/officeDocument/2006/relationships/hyperlink" Target="https://app-web.statementrec.com/app#appuploadfiles/3a14c532-f18e-ecf8-2f24-ce5f739a4a03" TargetMode="External"/><Relationship Id="rId1683" Type="http://schemas.openxmlformats.org/officeDocument/2006/relationships/hyperlink" Target="https://app-web.statementrec.com/app#appuploadfiles/3a14c966-0f8d-ad59-88a9-2026e6432d4e" TargetMode="External"/><Relationship Id="rId1684" Type="http://schemas.openxmlformats.org/officeDocument/2006/relationships/hyperlink" Target="https://app-web.statementrec.com/app#appuploadfiles/3a14c9c7-9396-48da-c20a-0ee197453162" TargetMode="External"/><Relationship Id="rId1685" Type="http://schemas.openxmlformats.org/officeDocument/2006/relationships/hyperlink" Target="https://app-web.statementrec.com/app#appuploadfiles/3a14ca23-796e-5221-fb68-45c690657056" TargetMode="External"/><Relationship Id="rId1686" Type="http://schemas.openxmlformats.org/officeDocument/2006/relationships/hyperlink" Target="https://app-web.statementrec.com/app#appuploadfiles/3a14ca3c-e347-e163-1f75-d6654dd730e0" TargetMode="External"/><Relationship Id="rId1687" Type="http://schemas.openxmlformats.org/officeDocument/2006/relationships/hyperlink" Target="https://app-web.statementrec.com/app#appuploadfiles/3a14ce98-66a3-b4f9-5988-61740054df2b" TargetMode="External"/><Relationship Id="rId1688" Type="http://schemas.openxmlformats.org/officeDocument/2006/relationships/hyperlink" Target="https://app-web.statementrec.com/app#appuploadfiles/3a14ced9-7615-ae3d-42fb-a21448a595d2" TargetMode="External"/><Relationship Id="rId1689" Type="http://schemas.openxmlformats.org/officeDocument/2006/relationships/hyperlink" Target="https://app-web.statementrec.com/app#appuploadfiles/3a14cfdd-13d6-8339-cc00-a272341a0d0d" TargetMode="External"/><Relationship Id="rId1690" Type="http://schemas.openxmlformats.org/officeDocument/2006/relationships/hyperlink" Target="https://app-web.statementrec.com/app#appuploadfiles/3a14d8ac-6664-65af-d217-f420814e3961" TargetMode="External"/><Relationship Id="rId1691" Type="http://schemas.openxmlformats.org/officeDocument/2006/relationships/hyperlink" Target="https://app-web.statementrec.com/app#appuploadfiles/3a14d8e2-ae8f-ca60-393f-14fdf02d3189" TargetMode="External"/><Relationship Id="rId1692" Type="http://schemas.openxmlformats.org/officeDocument/2006/relationships/hyperlink" Target="https://app-web.statementrec.com/app#appuploadfiles/3a14d9a2-901c-8e74-ec31-90a154daf4ac" TargetMode="External"/><Relationship Id="rId1693" Type="http://schemas.openxmlformats.org/officeDocument/2006/relationships/hyperlink" Target="https://app-web.statementrec.com/app#appuploadfiles/3a14dcab-6aa8-06d0-73bb-0d9c3a13a761" TargetMode="External"/><Relationship Id="rId1694" Type="http://schemas.openxmlformats.org/officeDocument/2006/relationships/hyperlink" Target="https://app-web.statementrec.com/app#appuploadfiles/3a14f1ec-b47e-87c6-64ee-eaf506246b64" TargetMode="External"/><Relationship Id="rId1695" Type="http://schemas.openxmlformats.org/officeDocument/2006/relationships/hyperlink" Target="https://app-web.statementrec.com/app#appuploadfiles/3a14f29a-fb56-0fae-a841-841a372f11da" TargetMode="External"/><Relationship Id="rId1696" Type="http://schemas.openxmlformats.org/officeDocument/2006/relationships/hyperlink" Target="https://app-web.statementrec.com/app#appuploadfiles/3a14f29f-18e9-7dcf-da9b-380df15f15e4" TargetMode="External"/><Relationship Id="rId1697" Type="http://schemas.openxmlformats.org/officeDocument/2006/relationships/hyperlink" Target="https://app-web.statementrec.com/app#appuploadfiles/3a14f385-11da-7b9b-22ba-0da317ada1f2" TargetMode="External"/><Relationship Id="rId1698" Type="http://schemas.openxmlformats.org/officeDocument/2006/relationships/hyperlink" Target="https://app-web.statementrec.com/app#appuploadfiles/3a14f3bf-55d4-a681-b2fc-1fe33e837519" TargetMode="External"/><Relationship Id="rId1699" Type="http://schemas.openxmlformats.org/officeDocument/2006/relationships/hyperlink" Target="https://app-web.statementrec.com/app#appuploadfiles/3a14f7d0-0e4e-88ec-93d3-f7b51b6331cd" TargetMode="External"/><Relationship Id="rId1700" Type="http://schemas.openxmlformats.org/officeDocument/2006/relationships/hyperlink" Target="https://app-web.statementrec.com/app#appuploadfiles/3a14f842-9d86-a208-0eb2-370a813a968a" TargetMode="External"/><Relationship Id="rId1701" Type="http://schemas.openxmlformats.org/officeDocument/2006/relationships/hyperlink" Target="https://app-web.statementrec.com/app#appuploadfiles/3a14f84b-8132-1324-4aa4-f136fe798fd9" TargetMode="External"/><Relationship Id="rId1702" Type="http://schemas.openxmlformats.org/officeDocument/2006/relationships/hyperlink" Target="https://app-web.statementrec.com/app#appuploadfiles/3a14f892-8397-863f-fd29-de7ed66ea0ba" TargetMode="External"/><Relationship Id="rId1703" Type="http://schemas.openxmlformats.org/officeDocument/2006/relationships/hyperlink" Target="https://app-web.statementrec.com/app#appuploadfiles/3a14faa3-252c-e42d-656d-6e48576f8cbf" TargetMode="External"/><Relationship Id="rId1704" Type="http://schemas.openxmlformats.org/officeDocument/2006/relationships/hyperlink" Target="https://app-web.statementrec.com/app#appuploadfiles/3a14fdd2-f10c-290d-e12c-e1de887ef7a5" TargetMode="External"/><Relationship Id="rId1705" Type="http://schemas.openxmlformats.org/officeDocument/2006/relationships/hyperlink" Target="https://app-web.statementrec.com/app#appuploadfiles/3a14fe62-0aa0-4ba8-0b6f-d1490ed751c7" TargetMode="External"/><Relationship Id="rId1706" Type="http://schemas.openxmlformats.org/officeDocument/2006/relationships/hyperlink" Target="https://app-web.statementrec.com/app#appuploadfiles/3a150d52-2efe-270e-6603-04b7c7720c79" TargetMode="External"/><Relationship Id="rId1707" Type="http://schemas.openxmlformats.org/officeDocument/2006/relationships/hyperlink" Target="https://app-web.statementrec.com/app#appuploadfiles/3a1510d3-b476-bc79-a72f-e5fc5a26abd1" TargetMode="External"/><Relationship Id="rId1708" Type="http://schemas.openxmlformats.org/officeDocument/2006/relationships/hyperlink" Target="https://app-web.statementrec.com/app#appuploadfiles/3a151149-a12e-d762-14e0-039cdef73ce0" TargetMode="External"/><Relationship Id="rId1709" Type="http://schemas.openxmlformats.org/officeDocument/2006/relationships/hyperlink" Target="https://app-web.statementrec.com/app#appuploadfiles/3a15114d-5c0b-7b46-24cc-221a8fb0a44a" TargetMode="External"/><Relationship Id="rId1710" Type="http://schemas.openxmlformats.org/officeDocument/2006/relationships/hyperlink" Target="https://app-web.statementrec.com/app#appuploadfiles/3a151156-8fe1-eff3-7528-c4eb4736489e" TargetMode="External"/><Relationship Id="rId1711" Type="http://schemas.openxmlformats.org/officeDocument/2006/relationships/hyperlink" Target="https://app-web.statementrec.com/app#appuploadfiles/3a1512fc-55b4-a9f2-5e77-be97bd20138a" TargetMode="External"/><Relationship Id="rId1712" Type="http://schemas.openxmlformats.org/officeDocument/2006/relationships/hyperlink" Target="https://app-web.statementrec.com/app#appuploadfiles/3a1513bc-3156-36c0-4715-dd3401d5ed1c" TargetMode="External"/><Relationship Id="rId1713" Type="http://schemas.openxmlformats.org/officeDocument/2006/relationships/hyperlink" Target="https://app-web.statementrec.com/app#appuploadfiles/3a151884-6667-303e-20c3-8e7aa4da01ed" TargetMode="External"/><Relationship Id="rId1714" Type="http://schemas.openxmlformats.org/officeDocument/2006/relationships/hyperlink" Target="https://app-web.statementrec.com/app#appuploadfiles/3a1518a9-3103-d090-32ee-25f69ebe98bd" TargetMode="External"/><Relationship Id="rId1715" Type="http://schemas.openxmlformats.org/officeDocument/2006/relationships/hyperlink" Target="https://app-web.statementrec.com/app#appuploadfiles/3a151bfd-ba6b-4635-03ed-3b3324768bb3" TargetMode="External"/><Relationship Id="rId1716" Type="http://schemas.openxmlformats.org/officeDocument/2006/relationships/hyperlink" Target="https://app-web.statementrec.com/app#appuploadfiles/3a151c7a-c79a-4b64-797f-ec05b4ad0e78" TargetMode="External"/><Relationship Id="rId1717" Type="http://schemas.openxmlformats.org/officeDocument/2006/relationships/hyperlink" Target="https://app-web.statementrec.com/app#appuploadfiles/3a151d50-65ad-3f0e-f1bc-fe81654ad8b4" TargetMode="External"/><Relationship Id="rId1718" Type="http://schemas.openxmlformats.org/officeDocument/2006/relationships/hyperlink" Target="https://app-web.statementrec.com/app#appuploadfiles/3a151dd7-3931-70e5-f0e9-d4105d3a4bb5" TargetMode="External"/><Relationship Id="rId1719" Type="http://schemas.openxmlformats.org/officeDocument/2006/relationships/hyperlink" Target="https://app-web.statementrec.com/app#appuploadfiles/3a15213e-1395-2a70-cf30-0a1a88e1a566" TargetMode="External"/><Relationship Id="rId1720" Type="http://schemas.openxmlformats.org/officeDocument/2006/relationships/hyperlink" Target="https://app-web.statementrec.com/app#appuploadfiles/3a1526c5-9879-8a1c-c510-17b39de03452" TargetMode="External"/><Relationship Id="rId1721" Type="http://schemas.openxmlformats.org/officeDocument/2006/relationships/hyperlink" Target="https://app-web.statementrec.com/app#appuploadfiles/3a15273d-773d-115d-4f5f-7f009cf54160" TargetMode="External"/><Relationship Id="rId1722" Type="http://schemas.openxmlformats.org/officeDocument/2006/relationships/hyperlink" Target="https://app-web.statementrec.com/app#appuploadfiles/3a1531bf-b9a7-2cf3-dd71-728b3cb09dae" TargetMode="External"/><Relationship Id="rId1723" Type="http://schemas.openxmlformats.org/officeDocument/2006/relationships/hyperlink" Target="https://app-web.statementrec.com/app#appuploadfiles/3a15321a-48cd-8614-b55c-bc1873266861" TargetMode="External"/><Relationship Id="rId1724" Type="http://schemas.openxmlformats.org/officeDocument/2006/relationships/hyperlink" Target="https://app-web.statementrec.com/app#appuploadfiles/3a153601-85c1-a647-e808-f5e8471852ba" TargetMode="External"/><Relationship Id="rId1725" Type="http://schemas.openxmlformats.org/officeDocument/2006/relationships/hyperlink" Target="https://app-web.statementrec.com/app#appuploadfiles/3a15367e-c87b-6dd3-2fe0-5d02746e9dab" TargetMode="External"/><Relationship Id="rId1726" Type="http://schemas.openxmlformats.org/officeDocument/2006/relationships/hyperlink" Target="https://app-web.statementrec.com/app#appuploadfiles/3a15377f-990a-8ccd-c2b3-625055bf43bf" TargetMode="External"/><Relationship Id="rId1727" Type="http://schemas.openxmlformats.org/officeDocument/2006/relationships/hyperlink" Target="https://app-web.statementrec.com/app#appuploadfiles/3a153b69-4121-0ce6-6432-60dff306d9fb" TargetMode="External"/><Relationship Id="rId1728" Type="http://schemas.openxmlformats.org/officeDocument/2006/relationships/hyperlink" Target="https://app-web.statementrec.com/app#appuploadfiles/3a153d0d-2220-4e99-571d-4f9391dc6630" TargetMode="External"/><Relationship Id="rId1729" Type="http://schemas.openxmlformats.org/officeDocument/2006/relationships/hyperlink" Target="https://app-web.statementrec.com/app#appuploadfiles/3a15464f-bbcf-b9fa-6b71-4df4f333f9b8" TargetMode="External"/><Relationship Id="rId1730" Type="http://schemas.openxmlformats.org/officeDocument/2006/relationships/hyperlink" Target="https://app-web.statementrec.com/app#appuploadfiles/3a154aa9-0a19-fb63-5dcb-388327f9c05b" TargetMode="External"/><Relationship Id="rId1731" Type="http://schemas.openxmlformats.org/officeDocument/2006/relationships/hyperlink" Target="https://app-web.statementrec.com/app#appuploadfiles/3a1554a1-3a2f-e954-040b-94ce694438d4" TargetMode="External"/><Relationship Id="rId1732" Type="http://schemas.openxmlformats.org/officeDocument/2006/relationships/hyperlink" Target="https://app-web.statementrec.com/app#appuploadfiles/3a1559a7-7431-5013-75e8-7ada4072b201" TargetMode="External"/><Relationship Id="rId1733" Type="http://schemas.openxmlformats.org/officeDocument/2006/relationships/hyperlink" Target="https://app-web.statementrec.com/app#appuploadfiles/3a1559b6-d185-f30b-1e9f-6a2a074e912e" TargetMode="External"/><Relationship Id="rId1734" Type="http://schemas.openxmlformats.org/officeDocument/2006/relationships/hyperlink" Target="https://app-web.statementrec.com/app#appuploadfiles/3a155c6b-ccb5-23bc-77cc-0c03d588f0db" TargetMode="External"/><Relationship Id="rId1735" Type="http://schemas.openxmlformats.org/officeDocument/2006/relationships/hyperlink" Target="https://app-web.statementrec.com/app#appuploadfiles/3a155f14-4be9-65eb-7c93-c53b025cc47e" TargetMode="External"/><Relationship Id="rId1736" Type="http://schemas.openxmlformats.org/officeDocument/2006/relationships/hyperlink" Target="https://app-web.statementrec.com/app#appuploadfiles/3a1563b9-8d8d-ce00-963e-b4d6924e97c9" TargetMode="External"/><Relationship Id="rId1737" Type="http://schemas.openxmlformats.org/officeDocument/2006/relationships/hyperlink" Target="https://app-web.statementrec.com/app#appuploadfiles/3a15655f-dc27-e088-dac4-eaa1fa055fb7" TargetMode="External"/><Relationship Id="rId1738" Type="http://schemas.openxmlformats.org/officeDocument/2006/relationships/hyperlink" Target="https://app-web.statementrec.com/app#appuploadfiles/3a1565f2-5b81-407f-f3b6-f4ef0c23b608" TargetMode="External"/><Relationship Id="rId1739" Type="http://schemas.openxmlformats.org/officeDocument/2006/relationships/hyperlink" Target="https://app-web.statementrec.com/app#appuploadfiles/3a1568e3-e61f-f11d-ee1a-221973e1a63e" TargetMode="External"/><Relationship Id="rId1740" Type="http://schemas.openxmlformats.org/officeDocument/2006/relationships/hyperlink" Target="https://app-web.statementrec.com/app#appuploadfiles/3a157ae1-57f0-6ff0-8f7d-74edda318cbc" TargetMode="External"/><Relationship Id="rId1741" Type="http://schemas.openxmlformats.org/officeDocument/2006/relationships/hyperlink" Target="https://app-web.statementrec.com/app#appuploadfiles/3a158248-ee08-65f9-92e9-40d2bc6ce27b" TargetMode="External"/><Relationship Id="rId1742" Type="http://schemas.openxmlformats.org/officeDocument/2006/relationships/hyperlink" Target="https://app-web.statementrec.com/app#appuploadfiles/3a1583d7-ba8a-034e-a725-c75ff08fea41" TargetMode="External"/><Relationship Id="rId1743" Type="http://schemas.openxmlformats.org/officeDocument/2006/relationships/hyperlink" Target="https://app-web.statementrec.com/app#appuploadfiles/3a1588b8-712a-92df-025e-19ddcf889a5f" TargetMode="External"/><Relationship Id="rId1744" Type="http://schemas.openxmlformats.org/officeDocument/2006/relationships/hyperlink" Target="https://app-web.statementrec.com/app#appuploadfiles/3a1588ee-fe31-44dc-3e15-d698cf155b96" TargetMode="External"/><Relationship Id="rId1745" Type="http://schemas.openxmlformats.org/officeDocument/2006/relationships/hyperlink" Target="https://app-web.statementrec.com/app#appuploadfiles/3a158ba7-6a30-e1a9-06b4-6944b61e025c" TargetMode="External"/><Relationship Id="rId1746" Type="http://schemas.openxmlformats.org/officeDocument/2006/relationships/hyperlink" Target="https://app-web.statementrec.com/app#appuploadfiles/3a159500-aa20-b9dc-0c0f-64630ae2f413" TargetMode="External"/><Relationship Id="rId1747" Type="http://schemas.openxmlformats.org/officeDocument/2006/relationships/hyperlink" Target="https://app-web.statementrec.com/app#appuploadfiles/3a15a14c-90fa-8d82-bd69-0b2260cc99ff" TargetMode="External"/><Relationship Id="rId1748" Type="http://schemas.openxmlformats.org/officeDocument/2006/relationships/hyperlink" Target="https://app-web.statementrec.com/app#appuploadfiles/3a15a199-7e44-dfc9-9538-cfd45c019beb" TargetMode="External"/><Relationship Id="rId1749" Type="http://schemas.openxmlformats.org/officeDocument/2006/relationships/hyperlink" Target="https://app-web.statementrec.com/app#appuploadfiles/3a15a2c5-f284-b7da-2e96-3380b062ca3a" TargetMode="External"/><Relationship Id="rId1750" Type="http://schemas.openxmlformats.org/officeDocument/2006/relationships/hyperlink" Target="https://app-web.statementrec.com/app#appuploadfiles/3a15a6ad-5a8e-7f1c-02a8-fc68844a65a8" TargetMode="External"/><Relationship Id="rId1751" Type="http://schemas.openxmlformats.org/officeDocument/2006/relationships/hyperlink" Target="https://app-web.statementrec.com/app#appuploadfiles/3a15a6f0-e99d-c2b1-4f7a-80f4d12ee6a2" TargetMode="External"/><Relationship Id="rId1752" Type="http://schemas.openxmlformats.org/officeDocument/2006/relationships/hyperlink" Target="https://app-web.statementrec.com/app#appuploadfiles/3a15a7ed-c516-6ce2-d98d-4a2f76b49595" TargetMode="External"/><Relationship Id="rId1753" Type="http://schemas.openxmlformats.org/officeDocument/2006/relationships/hyperlink" Target="https://app-web.statementrec.com/app#appuploadfiles/3a15a803-f507-0f88-0f73-a49599ae4a23" TargetMode="External"/><Relationship Id="rId1754" Type="http://schemas.openxmlformats.org/officeDocument/2006/relationships/hyperlink" Target="https://app-web.statementrec.com/app#appuploadfiles/3a15a9a3-acb1-2eeb-94bc-d2927ea62680" TargetMode="External"/><Relationship Id="rId1755" Type="http://schemas.openxmlformats.org/officeDocument/2006/relationships/hyperlink" Target="https://app-web.statementrec.com/app#appuploadfiles/3a15ab86-71d1-2db7-0be5-a3c02d9d508f" TargetMode="External"/><Relationship Id="rId1756" Type="http://schemas.openxmlformats.org/officeDocument/2006/relationships/hyperlink" Target="https://app-web.statementrec.com/app#appuploadfiles/3a15ac00-874d-73c2-dcc5-2ea897d00bd4" TargetMode="External"/><Relationship Id="rId1757" Type="http://schemas.openxmlformats.org/officeDocument/2006/relationships/hyperlink" Target="https://app-web.statementrec.com/app#appuploadfiles/3a15aced-ab2b-db70-9bd7-8f63aa6e087a" TargetMode="External"/><Relationship Id="rId1758" Type="http://schemas.openxmlformats.org/officeDocument/2006/relationships/hyperlink" Target="https://app-web.statementrec.com/app#appuploadfiles/3a15ad47-fa00-baef-501a-0f65ee0a2d3a" TargetMode="External"/><Relationship Id="rId1759" Type="http://schemas.openxmlformats.org/officeDocument/2006/relationships/hyperlink" Target="https://app-web.statementrec.com/app#appuploadfiles/3a15bd18-b652-901f-b15f-4a2e3cf329b8" TargetMode="External"/><Relationship Id="rId1760" Type="http://schemas.openxmlformats.org/officeDocument/2006/relationships/hyperlink" Target="https://app-web.statementrec.com/app#appuploadfiles/3a15c0ae-35af-4946-d08e-39d2a4975241" TargetMode="External"/><Relationship Id="rId1761" Type="http://schemas.openxmlformats.org/officeDocument/2006/relationships/hyperlink" Target="https://app-web.statementrec.com/app#appuploadfiles/3a15c0cd-29cd-fd9c-2488-21cefc8448a2" TargetMode="External"/><Relationship Id="rId1762" Type="http://schemas.openxmlformats.org/officeDocument/2006/relationships/hyperlink" Target="https://app-web.statementrec.com/app#appuploadfiles/3a15c6ad-fdb0-e829-7fbf-bbc674486e0f" TargetMode="External"/><Relationship Id="rId1763" Type="http://schemas.openxmlformats.org/officeDocument/2006/relationships/hyperlink" Target="https://app-web.statementrec.com/app#appuploadfiles/3a15c6f7-628b-f618-66f8-e2dfc4fd12cb" TargetMode="External"/><Relationship Id="rId1764" Type="http://schemas.openxmlformats.org/officeDocument/2006/relationships/hyperlink" Target="https://app-web.statementrec.com/app#appuploadfiles/3a15c7c2-5d11-80bf-62eb-544df86f0128" TargetMode="External"/><Relationship Id="rId1765" Type="http://schemas.openxmlformats.org/officeDocument/2006/relationships/hyperlink" Target="https://app-web.statementrec.com/app#appuploadfiles/3a15d4c7-118b-b68d-0479-b73a5cdcbfc4" TargetMode="External"/><Relationship Id="rId1766" Type="http://schemas.openxmlformats.org/officeDocument/2006/relationships/hyperlink" Target="https://app-web.statementrec.com/app#appuploadfiles/3a15d603-dd86-1da8-767b-00beb7f7142e" TargetMode="External"/><Relationship Id="rId1767" Type="http://schemas.openxmlformats.org/officeDocument/2006/relationships/hyperlink" Target="https://app-web.statementrec.com/app#appuploadfiles/3a15dd5c-1282-616b-0e81-6cad0866b660" TargetMode="External"/><Relationship Id="rId1768" Type="http://schemas.openxmlformats.org/officeDocument/2006/relationships/hyperlink" Target="https://app-web.statementrec.com/app#appuploadfiles/3a15dea6-9333-3b3e-c660-8f9370e03ef9" TargetMode="External"/><Relationship Id="rId1769" Type="http://schemas.openxmlformats.org/officeDocument/2006/relationships/hyperlink" Target="https://app-web.statementrec.com/app#appuploadfiles/3a15e510-7562-78c7-0591-3362c3d8c0cd" TargetMode="External"/><Relationship Id="rId1770" Type="http://schemas.openxmlformats.org/officeDocument/2006/relationships/hyperlink" Target="https://app-web.statementrec.com/app#appuploadfiles/3a15e53c-5eb6-0437-78c5-7ce7bc925fd8" TargetMode="External"/><Relationship Id="rId1771" Type="http://schemas.openxmlformats.org/officeDocument/2006/relationships/hyperlink" Target="https://app-web.statementrec.com/app#appuploadfiles/3a15e583-0aee-9130-aef4-0ab005069b0a" TargetMode="External"/><Relationship Id="rId1772" Type="http://schemas.openxmlformats.org/officeDocument/2006/relationships/hyperlink" Target="https://app-web.statementrec.com/app#appuploadfiles/3a15e59f-9641-bc83-a909-f04815d0b761" TargetMode="External"/><Relationship Id="rId1773" Type="http://schemas.openxmlformats.org/officeDocument/2006/relationships/hyperlink" Target="https://app-web.statementrec.com/app#appuploadfiles/3a15e9dc-0114-ae6e-4a5d-f269fef4464a" TargetMode="External"/><Relationship Id="rId1774" Type="http://schemas.openxmlformats.org/officeDocument/2006/relationships/hyperlink" Target="https://app-web.statementrec.com/app#appuploadfiles/3a15ea7a-3c16-d5ea-c156-cac527ff0f05" TargetMode="External"/><Relationship Id="rId1775" Type="http://schemas.openxmlformats.org/officeDocument/2006/relationships/hyperlink" Target="https://app-web.statementrec.com/app#appuploadfiles/3a15eea8-f382-5734-41b9-6faf10474306" TargetMode="External"/><Relationship Id="rId1776" Type="http://schemas.openxmlformats.org/officeDocument/2006/relationships/hyperlink" Target="https://app-web.statementrec.com/app#appuploadfiles/3a15ef5f-cb51-2cfd-97ce-7e3488e3271b" TargetMode="External"/><Relationship Id="rId1777" Type="http://schemas.openxmlformats.org/officeDocument/2006/relationships/hyperlink" Target="https://app-web.statementrec.com/app#appuploadfiles/3a15f43b-ca19-a6c0-7a4a-ae33dce4385a" TargetMode="External"/><Relationship Id="rId1778" Type="http://schemas.openxmlformats.org/officeDocument/2006/relationships/hyperlink" Target="https://app-web.statementrec.com/app#appuploadfiles/3a15f951-2ceb-86c5-5b50-8b0024d91ea7" TargetMode="External"/><Relationship Id="rId1779" Type="http://schemas.openxmlformats.org/officeDocument/2006/relationships/hyperlink" Target="https://app-web.statementrec.com/app#appuploadfiles/3a15fa90-386a-699b-8fc0-2a1c7b804ef3" TargetMode="External"/><Relationship Id="rId1780" Type="http://schemas.openxmlformats.org/officeDocument/2006/relationships/hyperlink" Target="https://app-web.statementrec.com/app#appuploadfiles/3a160475-6c21-ec80-08e4-dd992219b4d8" TargetMode="External"/><Relationship Id="rId1781" Type="http://schemas.openxmlformats.org/officeDocument/2006/relationships/hyperlink" Target="https://app-web.statementrec.com/app#appuploadfiles/3a1608cd-73f0-85a3-916c-744d6379dcb4" TargetMode="External"/><Relationship Id="rId1782" Type="http://schemas.openxmlformats.org/officeDocument/2006/relationships/hyperlink" Target="https://app-web.statementrec.com/app#appuploadfiles/3a160a0c-eb69-3117-048b-5ebb8add4637" TargetMode="External"/><Relationship Id="rId1783" Type="http://schemas.openxmlformats.org/officeDocument/2006/relationships/hyperlink" Target="https://app-web.statementrec.com/app#appuploadfiles/3a160ecd-be01-3990-7846-aea2e6805e40" TargetMode="External"/><Relationship Id="rId1784" Type="http://schemas.openxmlformats.org/officeDocument/2006/relationships/hyperlink" Target="https://app-web.statementrec.com/app#appuploadfiles/3a160edd-d9d8-0dde-3164-61163e05b27e" TargetMode="External"/><Relationship Id="rId1785" Type="http://schemas.openxmlformats.org/officeDocument/2006/relationships/hyperlink" Target="https://app-web.statementrec.com/app#appuploadfiles/3a160f65-4373-d467-fcc3-4fab731e2e11" TargetMode="External"/><Relationship Id="rId1786" Type="http://schemas.openxmlformats.org/officeDocument/2006/relationships/hyperlink" Target="https://app-web.statementrec.com/app#appuploadfiles/3a160f6f-58bb-a32a-6e5b-4179f4d0250d" TargetMode="External"/><Relationship Id="rId1787" Type="http://schemas.openxmlformats.org/officeDocument/2006/relationships/hyperlink" Target="https://app-web.statementrec.com/app#appuploadfiles/3a160fc4-d87a-6c3e-4e1d-cec9e1207c5e" TargetMode="External"/><Relationship Id="rId1788" Type="http://schemas.openxmlformats.org/officeDocument/2006/relationships/hyperlink" Target="https://app-web.statementrec.com/app#appuploadfiles/3a161501-8a5c-01a1-6ea8-ece3d97e3366" TargetMode="External"/><Relationship Id="rId1789" Type="http://schemas.openxmlformats.org/officeDocument/2006/relationships/hyperlink" Target="https://app-web.statementrec.com/app#appuploadfiles/3a162aab-278b-516f-b123-d45a77673fe9" TargetMode="External"/><Relationship Id="rId1790" Type="http://schemas.openxmlformats.org/officeDocument/2006/relationships/hyperlink" Target="https://app-web.statementrec.com/app#appuploadfiles/3a162cd3-13b1-dd94-bf5f-b80eca99ce7e" TargetMode="External"/><Relationship Id="rId1791" Type="http://schemas.openxmlformats.org/officeDocument/2006/relationships/hyperlink" Target="https://app-web.statementrec.com/app#appuploadfiles/3a162f59-34fe-065a-328a-db6f107afb9f" TargetMode="External"/><Relationship Id="rId1792" Type="http://schemas.openxmlformats.org/officeDocument/2006/relationships/hyperlink" Target="https://app-web.statementrec.com/app#appuploadfiles/3a1632d6-658c-3191-65e4-c3e75dd33e78" TargetMode="External"/><Relationship Id="rId1793" Type="http://schemas.openxmlformats.org/officeDocument/2006/relationships/hyperlink" Target="https://app-web.statementrec.com/app#appuploadfiles/3a163301-da43-037a-fa4a-71129bd186dc" TargetMode="External"/><Relationship Id="rId1794" Type="http://schemas.openxmlformats.org/officeDocument/2006/relationships/hyperlink" Target="https://app-web.statementrec.com/app#appuploadfiles/3a16379b-1c30-52d8-88e3-5118f158e56b" TargetMode="External"/><Relationship Id="rId1795" Type="http://schemas.openxmlformats.org/officeDocument/2006/relationships/hyperlink" Target="https://app-web.statementrec.com/app#appuploadfiles/3a1637f7-2384-73f3-4c73-f770ff359c85" TargetMode="External"/><Relationship Id="rId1796" Type="http://schemas.openxmlformats.org/officeDocument/2006/relationships/hyperlink" Target="https://app-web.statementrec.com/app#appuploadfiles/3a163b80-450d-1ee7-9fda-8f31e74bea15" TargetMode="External"/><Relationship Id="rId1797" Type="http://schemas.openxmlformats.org/officeDocument/2006/relationships/hyperlink" Target="https://app-web.statementrec.com/app#appuploadfiles/3a163c96-b615-2edd-0db9-344204f7d86f" TargetMode="External"/><Relationship Id="rId1798" Type="http://schemas.openxmlformats.org/officeDocument/2006/relationships/hyperlink" Target="https://app-web.statementrec.com/app#appuploadfiles/3a163c9b-42a9-96d6-9f13-2143150ee931" TargetMode="External"/><Relationship Id="rId1799" Type="http://schemas.openxmlformats.org/officeDocument/2006/relationships/hyperlink" Target="https://app-web.statementrec.com/app#appuploadfiles/3a163d71-ff52-9998-800a-2feee318b6ed" TargetMode="External"/><Relationship Id="rId1800" Type="http://schemas.openxmlformats.org/officeDocument/2006/relationships/hyperlink" Target="https://app-web.statementrec.com/app#appuploadfiles/3a164324-914b-aeee-13c0-86f6f88ed9cc" TargetMode="External"/><Relationship Id="rId1801" Type="http://schemas.openxmlformats.org/officeDocument/2006/relationships/hyperlink" Target="https://app-web.statementrec.com/app#appuploadfiles/3a164419-537e-da86-aa01-cdc66cfa3782" TargetMode="External"/><Relationship Id="rId1802" Type="http://schemas.openxmlformats.org/officeDocument/2006/relationships/hyperlink" Target="https://app-web.statementrec.com/app#appuploadfiles/3a165097-296d-5654-1efc-583a46ae57c3" TargetMode="External"/><Relationship Id="rId1803" Type="http://schemas.openxmlformats.org/officeDocument/2006/relationships/hyperlink" Target="https://app-web.statementrec.com/app#appuploadfiles/3a1651b1-34db-f137-ab50-faf5f81af628" TargetMode="External"/><Relationship Id="rId1804" Type="http://schemas.openxmlformats.org/officeDocument/2006/relationships/hyperlink" Target="https://app-web.statementrec.com/app#appuploadfiles/3a1652c8-435c-32e8-a88d-6808c54d4027" TargetMode="External"/><Relationship Id="rId1805" Type="http://schemas.openxmlformats.org/officeDocument/2006/relationships/hyperlink" Target="https://app-web.statementrec.com/app#appuploadfiles/3a1652fd-460c-b786-37f4-0f583c8f7d0e" TargetMode="External"/><Relationship Id="rId1806" Type="http://schemas.openxmlformats.org/officeDocument/2006/relationships/hyperlink" Target="https://app-web.statementrec.com/app#appuploadfiles/3a1656ad-ffcd-2d0b-21fd-8b9697185ca9" TargetMode="External"/><Relationship Id="rId1807" Type="http://schemas.openxmlformats.org/officeDocument/2006/relationships/hyperlink" Target="https://app-web.statementrec.com/app#appuploadfiles/3a165855-3d45-d5df-d4bf-e1e604439304" TargetMode="External"/><Relationship Id="rId1808" Type="http://schemas.openxmlformats.org/officeDocument/2006/relationships/hyperlink" Target="https://app-web.statementrec.com/app#appuploadfiles/3a165a87-030d-0f5c-dbdb-399b863cc532" TargetMode="External"/><Relationship Id="rId1809" Type="http://schemas.openxmlformats.org/officeDocument/2006/relationships/hyperlink" Target="https://app-web.statementrec.com/app#appuploadfiles/3a165afb-9587-b763-9857-5792eb066aec" TargetMode="External"/><Relationship Id="rId1810" Type="http://schemas.openxmlformats.org/officeDocument/2006/relationships/hyperlink" Target="https://app-web.statementrec.com/app#appuploadfiles/3a165b10-1e47-4e4f-bbe2-ba26818ace4c" TargetMode="External"/><Relationship Id="rId1811" Type="http://schemas.openxmlformats.org/officeDocument/2006/relationships/hyperlink" Target="https://app-web.statementrec.com/app#appuploadfiles/3a165c2a-698b-a5dc-df3b-fc400d2c4df4" TargetMode="External"/><Relationship Id="rId1812" Type="http://schemas.openxmlformats.org/officeDocument/2006/relationships/hyperlink" Target="https://app-web.statementrec.com/app#appuploadfiles/3a165c88-179f-0a47-1473-e96819d6b54a" TargetMode="External"/><Relationship Id="rId1813" Type="http://schemas.openxmlformats.org/officeDocument/2006/relationships/hyperlink" Target="https://app-web.statementrec.com/app#appuploadfiles/3a16608f-8fae-7503-3c83-f0048882a253" TargetMode="External"/><Relationship Id="rId1814" Type="http://schemas.openxmlformats.org/officeDocument/2006/relationships/hyperlink" Target="https://app-web.statementrec.com/app#appuploadfiles/3a1666aa-3ba0-61bf-de57-7bfe3e9df6b6" TargetMode="External"/><Relationship Id="rId1815" Type="http://schemas.openxmlformats.org/officeDocument/2006/relationships/hyperlink" Target="https://app-web.statementrec.com/app#appuploadfiles/3a1673ad-1326-7656-8ca9-69302f03d4a6" TargetMode="External"/><Relationship Id="rId1816" Type="http://schemas.openxmlformats.org/officeDocument/2006/relationships/hyperlink" Target="https://app-web.statementrec.com/app#appuploadfiles/3a167617-cd0c-8ba7-ebfd-b14fcfbfb02b" TargetMode="External"/><Relationship Id="rId1817" Type="http://schemas.openxmlformats.org/officeDocument/2006/relationships/hyperlink" Target="https://app-web.statementrec.com/app#appuploadfiles/3a167a9f-b32c-aedd-2cc1-dfb02e0adc11" TargetMode="External"/><Relationship Id="rId1818" Type="http://schemas.openxmlformats.org/officeDocument/2006/relationships/hyperlink" Target="https://app-web.statementrec.com/app#appuploadfiles/3a167ade-fe7d-5be4-e7a5-b39b4167d308" TargetMode="External"/><Relationship Id="rId1819" Type="http://schemas.openxmlformats.org/officeDocument/2006/relationships/hyperlink" Target="https://app-web.statementrec.com/app#appuploadfiles/3a167b37-8bdf-94e9-a76b-363eec372d26" TargetMode="External"/><Relationship Id="rId1820" Type="http://schemas.openxmlformats.org/officeDocument/2006/relationships/hyperlink" Target="https://app-web.statementrec.com/app#appuploadfiles/3a167c26-1b48-4142-70c5-770bb5a0a8af" TargetMode="External"/><Relationship Id="rId1821" Type="http://schemas.openxmlformats.org/officeDocument/2006/relationships/hyperlink" Target="https://app-web.statementrec.com/app#appuploadfiles/3a167c3c-c68f-1927-131c-4738b5bcfd6a" TargetMode="External"/><Relationship Id="rId1822" Type="http://schemas.openxmlformats.org/officeDocument/2006/relationships/hyperlink" Target="https://app-web.statementrec.com/app#appuploadfiles/3a168538-5f08-6e7b-6d4c-de74c3f2929b" TargetMode="External"/><Relationship Id="rId1823" Type="http://schemas.openxmlformats.org/officeDocument/2006/relationships/hyperlink" Target="https://app-web.statementrec.com/app#appuploadfiles/3a168ad5-e2bf-34a6-3b2c-63d17a6710f3" TargetMode="External"/><Relationship Id="rId1824" Type="http://schemas.openxmlformats.org/officeDocument/2006/relationships/hyperlink" Target="https://app-web.statementrec.com/app#appuploadfiles/3a16902c-5110-bd59-abc8-134d0a0499ac" TargetMode="External"/><Relationship Id="rId1825" Type="http://schemas.openxmlformats.org/officeDocument/2006/relationships/hyperlink" Target="https://app-web.statementrec.com/app#appuploadfiles/3a1698ee-c440-6a0a-3f1a-0ad617085bc4" TargetMode="External"/><Relationship Id="rId1826" Type="http://schemas.openxmlformats.org/officeDocument/2006/relationships/hyperlink" Target="https://app-web.statementrec.com/app#appuploadfiles/3a169e53-b5a6-b3bd-7f42-e10e3ec028b8" TargetMode="External"/><Relationship Id="rId1827" Type="http://schemas.openxmlformats.org/officeDocument/2006/relationships/hyperlink" Target="https://app-web.statementrec.com/app#appuploadfiles/3a169eca-7104-1e43-f9cb-959dfd9e80ae" TargetMode="External"/><Relationship Id="rId1828" Type="http://schemas.openxmlformats.org/officeDocument/2006/relationships/hyperlink" Target="https://app-web.statementrec.com/app#appuploadfiles/3a169ef9-a432-b625-dc82-ce9d285a560f" TargetMode="External"/><Relationship Id="rId1829" Type="http://schemas.openxmlformats.org/officeDocument/2006/relationships/hyperlink" Target="https://app-web.statementrec.com/app#appuploadfiles/3a169fff-274a-9d60-dc70-3a43654cc56d" TargetMode="External"/><Relationship Id="rId1830" Type="http://schemas.openxmlformats.org/officeDocument/2006/relationships/hyperlink" Target="https://app-web.statementrec.com/app#appuploadfiles/3a16a0d3-7a6c-020c-4fd8-9ecc80c60dad" TargetMode="External"/><Relationship Id="rId1831" Type="http://schemas.openxmlformats.org/officeDocument/2006/relationships/hyperlink" Target="https://app-web.statementrec.com/app#appuploadfiles/3a16a173-1276-6e45-e1c5-c26ce0b7b27b" TargetMode="External"/><Relationship Id="rId1832" Type="http://schemas.openxmlformats.org/officeDocument/2006/relationships/hyperlink" Target="https://app-web.statementrec.com/app#appuploadfiles/3a16a399-fc48-edc3-a6e8-65f6d5f80522" TargetMode="External"/><Relationship Id="rId1833" Type="http://schemas.openxmlformats.org/officeDocument/2006/relationships/hyperlink" Target="https://app-web.statementrec.com/app#appuploadfiles/3a16a3f9-0b93-209a-44d6-b98836b2965d" TargetMode="External"/><Relationship Id="rId1834" Type="http://schemas.openxmlformats.org/officeDocument/2006/relationships/hyperlink" Target="https://app-web.statementrec.com/app#appuploadfiles/3a16a457-6415-3b46-7890-27b7eaf9bd30" TargetMode="External"/><Relationship Id="rId1835" Type="http://schemas.openxmlformats.org/officeDocument/2006/relationships/hyperlink" Target="https://app-web.statementrec.com/app#appuploadfiles/3a16a8d0-fd66-4e6f-74a0-b23a951e557e" TargetMode="External"/><Relationship Id="rId1836" Type="http://schemas.openxmlformats.org/officeDocument/2006/relationships/hyperlink" Target="https://app-web.statementrec.com/app#appuploadfiles/3a16a8d6-09ec-2c72-32e7-84787f78cddd" TargetMode="External"/><Relationship Id="rId1837" Type="http://schemas.openxmlformats.org/officeDocument/2006/relationships/hyperlink" Target="https://app-web.statementrec.com/app#appuploadfiles/3a16a98d-eedf-f372-a355-7c363da499a9" TargetMode="External"/><Relationship Id="rId1838" Type="http://schemas.openxmlformats.org/officeDocument/2006/relationships/hyperlink" Target="https://app-web.statementrec.com/app#appuploadfiles/3a16a9da-cdfc-317b-6561-6a0be8b7553b" TargetMode="External"/><Relationship Id="rId1839" Type="http://schemas.openxmlformats.org/officeDocument/2006/relationships/hyperlink" Target="https://app-web.statementrec.com/app#appuploadfiles/3a16b2c5-f190-092e-f6e8-01111574252e" TargetMode="External"/><Relationship Id="rId1840" Type="http://schemas.openxmlformats.org/officeDocument/2006/relationships/hyperlink" Target="https://app-web.statementrec.com/app#appuploadfiles/3a16bfbb-a0a2-3caa-8ae9-a62aef1c44ea" TargetMode="External"/><Relationship Id="rId1841" Type="http://schemas.openxmlformats.org/officeDocument/2006/relationships/hyperlink" Target="https://app-web.statementrec.com/app#appuploadfiles/3a16c1ec-229d-8503-e6fd-95a34465b319" TargetMode="External"/><Relationship Id="rId1842" Type="http://schemas.openxmlformats.org/officeDocument/2006/relationships/hyperlink" Target="https://app-web.statementrec.com/app#appuploadfiles/3a16c217-903d-cef4-344b-bbf5f2878ce1" TargetMode="External"/><Relationship Id="rId1843" Type="http://schemas.openxmlformats.org/officeDocument/2006/relationships/hyperlink" Target="https://app-web.statementrec.com/app#appuploadfiles/3a16c7cf-3b52-ce55-952e-0cad13fd94c2" TargetMode="External"/><Relationship Id="rId1844" Type="http://schemas.openxmlformats.org/officeDocument/2006/relationships/hyperlink" Target="https://app-web.statementrec.com/app#appuploadfiles/3a16c804-1149-4ba4-a361-5fa8aeeb988a" TargetMode="External"/><Relationship Id="rId1845" Type="http://schemas.openxmlformats.org/officeDocument/2006/relationships/hyperlink" Target="https://app-web.statementrec.com/app#appuploadfiles/3a16c931-56ae-ac43-8ce9-0c1ebcc6b9ee" TargetMode="External"/><Relationship Id="rId1846" Type="http://schemas.openxmlformats.org/officeDocument/2006/relationships/hyperlink" Target="https://app-web.statementrec.com/app#appuploadfiles/3a16cca4-147e-b1f9-56b7-e81eb5726652" TargetMode="External"/><Relationship Id="rId1847" Type="http://schemas.openxmlformats.org/officeDocument/2006/relationships/hyperlink" Target="https://app-web.statementrec.com/app#appuploadfiles/3a16cd89-1e5c-1788-d598-017ffebf7b8c" TargetMode="External"/><Relationship Id="rId1848" Type="http://schemas.openxmlformats.org/officeDocument/2006/relationships/hyperlink" Target="https://app-web.statementrec.com/app#appuploadfiles/3a16d2e1-b8e9-3545-3155-8e50f0bbfe52" TargetMode="External"/><Relationship Id="rId1849" Type="http://schemas.openxmlformats.org/officeDocument/2006/relationships/hyperlink" Target="https://app-web.statementrec.com/app#appuploadfiles/3a16d728-bc36-c04e-e755-d98739bbd878" TargetMode="External"/><Relationship Id="rId1850" Type="http://schemas.openxmlformats.org/officeDocument/2006/relationships/hyperlink" Target="https://app-web.statementrec.com/app#appuploadfiles/3a16e1e8-cc79-a3dc-a49d-6926b85e3183" TargetMode="External"/><Relationship Id="rId1851" Type="http://schemas.openxmlformats.org/officeDocument/2006/relationships/hyperlink" Target="https://app-web.statementrec.com/app#appuploadfiles/3a16e76a-5099-8bc0-81eb-10cb4b9c1618" TargetMode="External"/><Relationship Id="rId1852" Type="http://schemas.openxmlformats.org/officeDocument/2006/relationships/hyperlink" Target="https://app-web.statementrec.com/app#appuploadfiles/3a16ec46-c37b-aae1-4bfc-0bec70b0b363" TargetMode="External"/><Relationship Id="rId1853" Type="http://schemas.openxmlformats.org/officeDocument/2006/relationships/hyperlink" Target="https://app-web.statementrec.com/app#appuploadfiles/3a16ec78-8c1c-bfd0-b4eb-6b4f963d870f" TargetMode="External"/><Relationship Id="rId1854" Type="http://schemas.openxmlformats.org/officeDocument/2006/relationships/hyperlink" Target="https://app-web.statementrec.com/app#appuploadfiles/3a16ec7d-c1c1-60bf-67f5-d5b466b4cdf4" TargetMode="External"/><Relationship Id="rId1855" Type="http://schemas.openxmlformats.org/officeDocument/2006/relationships/hyperlink" Target="https://app-web.statementrec.com/app#appuploadfiles/3a16f5c1-1983-210b-9af1-49abc8b020af" TargetMode="External"/><Relationship Id="rId1856" Type="http://schemas.openxmlformats.org/officeDocument/2006/relationships/hyperlink" Target="https://app-web.statementrec.com/app#appuploadfiles/3a16f612-1d1f-69bb-a5fa-4927b2e771c9" TargetMode="External"/><Relationship Id="rId1857" Type="http://schemas.openxmlformats.org/officeDocument/2006/relationships/hyperlink" Target="https://app-web.statementrec.com/app#appuploadfiles/3a173dc5-7fc6-f40a-f47f-84140bdbd914" TargetMode="External"/><Relationship Id="rId1858" Type="http://schemas.openxmlformats.org/officeDocument/2006/relationships/hyperlink" Target="https://app-web.statementrec.com/app#appuploadfiles/3a174d8a-15c9-d7ea-fe52-dca294886d0e" TargetMode="External"/><Relationship Id="rId1859" Type="http://schemas.openxmlformats.org/officeDocument/2006/relationships/hyperlink" Target="https://app-web.statementrec.com/app#appuploadfiles/3a174e30-9c01-3e45-8b17-e4a98175d09a" TargetMode="External"/><Relationship Id="rId1860" Type="http://schemas.openxmlformats.org/officeDocument/2006/relationships/hyperlink" Target="https://app-web.statementrec.com/app#appuploadfiles/3a1757ef-498b-8db7-7b43-b26e176197fa" TargetMode="External"/><Relationship Id="rId1861" Type="http://schemas.openxmlformats.org/officeDocument/2006/relationships/hyperlink" Target="https://app-web.statementrec.com/app#appuploadfiles/3a175de4-00dd-77e6-576b-e0b5331272ab" TargetMode="External"/><Relationship Id="rId1862" Type="http://schemas.openxmlformats.org/officeDocument/2006/relationships/hyperlink" Target="https://app-web.statementrec.com/app#appuploadfiles/3a175ff1-da65-ff5f-6ed5-3311ee05652a" TargetMode="External"/><Relationship Id="rId1863" Type="http://schemas.openxmlformats.org/officeDocument/2006/relationships/hyperlink" Target="https://app-web.statementrec.com/app#appuploadfiles/3a1761e1-5e61-98a8-d3c2-bfe7646dd80a" TargetMode="External"/><Relationship Id="rId1864" Type="http://schemas.openxmlformats.org/officeDocument/2006/relationships/hyperlink" Target="https://app-web.statementrec.com/app#appuploadfiles/3a176215-5d98-6657-1435-add41fa1249f" TargetMode="External"/><Relationship Id="rId1865" Type="http://schemas.openxmlformats.org/officeDocument/2006/relationships/hyperlink" Target="https://app-web.statementrec.com/app#appuploadfiles/3a177123-c1f5-10eb-78ce-89bf631f31f6" TargetMode="External"/><Relationship Id="rId1866" Type="http://schemas.openxmlformats.org/officeDocument/2006/relationships/hyperlink" Target="https://app-web.statementrec.com/app#appuploadfiles/3a17721b-681d-e38f-40be-0dfaf9eda72e" TargetMode="External"/><Relationship Id="rId1867" Type="http://schemas.openxmlformats.org/officeDocument/2006/relationships/hyperlink" Target="https://app-web.statementrec.com/app#appuploadfiles/3a17725c-5b4b-fd31-b729-08403d7cef6e" TargetMode="External"/><Relationship Id="rId1868" Type="http://schemas.openxmlformats.org/officeDocument/2006/relationships/hyperlink" Target="https://app-web.statementrec.com/app#appuploadfiles/3a1772bf-f8b9-5d7e-986e-2f5daf99d295" TargetMode="External"/><Relationship Id="rId1869" Type="http://schemas.openxmlformats.org/officeDocument/2006/relationships/hyperlink" Target="https://app-web.statementrec.com/app#appuploadfiles/3a177acf-5093-fd34-4b2c-a3f2ad1ad38c" TargetMode="External"/><Relationship Id="rId1870" Type="http://schemas.openxmlformats.org/officeDocument/2006/relationships/hyperlink" Target="https://app-web.statementrec.com/app#appuploadfiles/3a177c87-6bde-16a0-a669-d6fdbb18584d" TargetMode="External"/><Relationship Id="rId1871" Type="http://schemas.openxmlformats.org/officeDocument/2006/relationships/hyperlink" Target="https://app-web.statementrec.com/app#appuploadfiles/3a1780d3-c651-5771-c892-6b2aba0708d6" TargetMode="External"/><Relationship Id="rId1872" Type="http://schemas.openxmlformats.org/officeDocument/2006/relationships/hyperlink" Target="https://app-web.statementrec.com/app#appuploadfiles/3a178299-9377-5924-7adb-aafa61601108" TargetMode="External"/><Relationship Id="rId1873" Type="http://schemas.openxmlformats.org/officeDocument/2006/relationships/hyperlink" Target="https://app-web.statementrec.com/app#appuploadfiles/3a178750-6f69-d273-9968-3246bb8e53ec" TargetMode="External"/><Relationship Id="rId1874" Type="http://schemas.openxmlformats.org/officeDocument/2006/relationships/hyperlink" Target="https://app-web.statementrec.com/app#appuploadfiles/3a1798a8-c727-1368-d7bd-a4513518dd52" TargetMode="External"/><Relationship Id="rId1875" Type="http://schemas.openxmlformats.org/officeDocument/2006/relationships/hyperlink" Target="https://app-web.statementrec.com/app#appuploadfiles/3a179aee-86ab-8f52-394b-7ed141344043" TargetMode="External"/><Relationship Id="rId1876" Type="http://schemas.openxmlformats.org/officeDocument/2006/relationships/hyperlink" Target="https://app-web.statementrec.com/app#appuploadfiles/3a179bbf-212f-9bc1-507c-0d0f1ba3af7d" TargetMode="External"/><Relationship Id="rId1877" Type="http://schemas.openxmlformats.org/officeDocument/2006/relationships/hyperlink" Target="https://app-web.statementrec.com/app#appuploadfiles/3a179c50-4140-163a-972e-f37c8560b068" TargetMode="External"/><Relationship Id="rId1878" Type="http://schemas.openxmlformats.org/officeDocument/2006/relationships/hyperlink" Target="https://app-web.statementrec.com/app#appuploadfiles/3a17a006-507a-a5b4-339b-d344611fa303" TargetMode="External"/><Relationship Id="rId1879" Type="http://schemas.openxmlformats.org/officeDocument/2006/relationships/hyperlink" Target="https://app-web.statementrec.com/app#appuploadfiles/3a17a030-0fb0-d79d-4afa-0e23dd9945d9" TargetMode="External"/><Relationship Id="rId1880" Type="http://schemas.openxmlformats.org/officeDocument/2006/relationships/hyperlink" Target="https://app-web.statementrec.com/app#appuploadfiles/3a17a08a-f25c-b839-8e5c-1c8909b18fc6" TargetMode="External"/><Relationship Id="rId1881" Type="http://schemas.openxmlformats.org/officeDocument/2006/relationships/hyperlink" Target="https://app-web.statementrec.com/app#appuploadfiles/3a17a08c-9e23-7cff-7f9a-1c4df1f78f9f" TargetMode="External"/><Relationship Id="rId1882" Type="http://schemas.openxmlformats.org/officeDocument/2006/relationships/hyperlink" Target="https://app-web.statementrec.com/app#appuploadfiles/3a17a08e-0f78-39b3-44c4-a282dbb9fa80" TargetMode="External"/><Relationship Id="rId1883" Type="http://schemas.openxmlformats.org/officeDocument/2006/relationships/hyperlink" Target="https://app-web.statementrec.com/app#appuploadfiles/3a17a08e-64cf-4547-9291-d313a95b77a3" TargetMode="External"/><Relationship Id="rId1884" Type="http://schemas.openxmlformats.org/officeDocument/2006/relationships/hyperlink" Target="https://app-web.statementrec.com/app#appuploadfiles/3a17a08f-8e6d-779a-97e9-af48f54173ef" TargetMode="External"/><Relationship Id="rId1885" Type="http://schemas.openxmlformats.org/officeDocument/2006/relationships/hyperlink" Target="https://app-web.statementrec.com/app#appuploadfiles/3a17a0b6-0014-80b7-9903-f470e9882268" TargetMode="External"/><Relationship Id="rId1886" Type="http://schemas.openxmlformats.org/officeDocument/2006/relationships/hyperlink" Target="https://app-web.statementrec.com/app#appuploadfiles/3a17a241-70f6-bb46-a8ce-a288e24c34ce" TargetMode="External"/><Relationship Id="rId1887" Type="http://schemas.openxmlformats.org/officeDocument/2006/relationships/hyperlink" Target="https://app-web.statementrec.com/app#appuploadfiles/3a17a4a0-8f56-fd59-776f-f0ec034f3d28" TargetMode="External"/><Relationship Id="rId1888" Type="http://schemas.openxmlformats.org/officeDocument/2006/relationships/hyperlink" Target="https://app-web.statementrec.com/app#appuploadfiles/3a17a5fb-2b88-89cd-a2e5-9d22741f48b4" TargetMode="External"/><Relationship Id="rId1889" Type="http://schemas.openxmlformats.org/officeDocument/2006/relationships/hyperlink" Target="https://app-web.statementrec.com/app#appuploadfiles/3a17a707-a763-d256-af20-35a5ac0bf34d" TargetMode="External"/><Relationship Id="rId1890" Type="http://schemas.openxmlformats.org/officeDocument/2006/relationships/hyperlink" Target="https://app-web.statementrec.com/app#appuploadfiles/3a17aacb-f89d-0e0c-5e57-ae49f84aa96e" TargetMode="External"/><Relationship Id="rId1891" Type="http://schemas.openxmlformats.org/officeDocument/2006/relationships/hyperlink" Target="https://app-web.statementrec.com/app#appuploadfiles/3a17abb5-20d7-8288-5022-67c7860d5e9e" TargetMode="External"/><Relationship Id="rId1892" Type="http://schemas.openxmlformats.org/officeDocument/2006/relationships/hyperlink" Target="https://app-web.statementrec.com/app#appuploadfiles/3a17ba31-69ac-7134-5dcf-0031cde66e22" TargetMode="External"/><Relationship Id="rId1893" Type="http://schemas.openxmlformats.org/officeDocument/2006/relationships/hyperlink" Target="https://app-web.statementrec.com/app#appuploadfiles/3a17baca-e2b4-2def-c2c6-aee71a19918b" TargetMode="External"/><Relationship Id="rId1894" Type="http://schemas.openxmlformats.org/officeDocument/2006/relationships/hyperlink" Target="https://app-web.statementrec.com/app#appuploadfiles/3a17be6c-5b6c-43d0-6d34-fb402956957f" TargetMode="External"/><Relationship Id="rId1895" Type="http://schemas.openxmlformats.org/officeDocument/2006/relationships/hyperlink" Target="https://app-web.statementrec.com/app#appuploadfiles/3a17c3f7-be20-edfb-6a22-de86565d0023" TargetMode="External"/><Relationship Id="rId1896" Type="http://schemas.openxmlformats.org/officeDocument/2006/relationships/hyperlink" Target="https://app-web.statementrec.com/app#appuploadfiles/3a17c441-d47a-d89a-bfd7-bd671b53fbdc" TargetMode="External"/><Relationship Id="rId1897" Type="http://schemas.openxmlformats.org/officeDocument/2006/relationships/hyperlink" Target="https://app-web.statementrec.com/app#appuploadfiles/3a17c50d-faff-0dc4-dea9-5bbedcdacdf4" TargetMode="External"/><Relationship Id="rId1898" Type="http://schemas.openxmlformats.org/officeDocument/2006/relationships/hyperlink" Target="https://app-web.statementrec.com/app#appuploadfiles/3a17c56b-070c-a248-6966-c34dec9e0e3e" TargetMode="External"/><Relationship Id="rId1899" Type="http://schemas.openxmlformats.org/officeDocument/2006/relationships/hyperlink" Target="https://app-web.statementrec.com/app#appuploadfiles/3a17c5f7-a6bb-2250-fdc0-292ee6200c4c" TargetMode="External"/><Relationship Id="rId1900" Type="http://schemas.openxmlformats.org/officeDocument/2006/relationships/hyperlink" Target="https://app-web.statementrec.com/app#appuploadfiles/3a17c83d-5294-de69-9fa3-e4b491b5ad7b" TargetMode="External"/><Relationship Id="rId1901" Type="http://schemas.openxmlformats.org/officeDocument/2006/relationships/hyperlink" Target="https://app-web.statementrec.com/app#appuploadfiles/3a17d493-ac38-2783-83d7-2be113781990" TargetMode="External"/><Relationship Id="rId1902" Type="http://schemas.openxmlformats.org/officeDocument/2006/relationships/hyperlink" Target="https://app-web.statementrec.com/app#appuploadfiles/3a17df23-e4e3-421b-85cb-f81b5b3b7a0d" TargetMode="External"/><Relationship Id="rId1903" Type="http://schemas.openxmlformats.org/officeDocument/2006/relationships/hyperlink" Target="https://app-web.statementrec.com/app#appuploadfiles/3a17e2fc-6a3f-4a28-81ae-e634b368fbbb" TargetMode="External"/><Relationship Id="rId1904" Type="http://schemas.openxmlformats.org/officeDocument/2006/relationships/hyperlink" Target="https://app-web.statementrec.com/app#appuploadfiles/3a17e30f-87b8-4555-69e8-7419ef86c9d3" TargetMode="External"/><Relationship Id="rId1905" Type="http://schemas.openxmlformats.org/officeDocument/2006/relationships/hyperlink" Target="https://app-web.statementrec.com/app#appuploadfiles/3a17e3c2-f594-8d00-1af4-1b3f2483585b" TargetMode="External"/><Relationship Id="rId1906" Type="http://schemas.openxmlformats.org/officeDocument/2006/relationships/hyperlink" Target="https://app-web.statementrec.com/app#appuploadfiles/3a17e3e4-ce65-fadf-68f1-c930bb616247" TargetMode="External"/><Relationship Id="rId1907" Type="http://schemas.openxmlformats.org/officeDocument/2006/relationships/hyperlink" Target="https://app-web.statementrec.com/app#appuploadfiles/3a17e79c-7a65-3916-5aaa-9b11cd822612" TargetMode="External"/><Relationship Id="rId1908" Type="http://schemas.openxmlformats.org/officeDocument/2006/relationships/hyperlink" Target="https://app-web.statementrec.com/app#appuploadfiles/3a17e8c5-b8fb-cce9-6a77-7ac4a2602ee0" TargetMode="External"/><Relationship Id="rId1909" Type="http://schemas.openxmlformats.org/officeDocument/2006/relationships/hyperlink" Target="https://app-web.statementrec.com/app#appuploadfiles/3a17e8eb-c9de-311e-34a4-e2288d4125c3" TargetMode="External"/><Relationship Id="rId1910" Type="http://schemas.openxmlformats.org/officeDocument/2006/relationships/hyperlink" Target="https://app-web.statementrec.com/app#appuploadfiles/3a17ea32-81ac-2af9-e3a7-489d509283d6" TargetMode="External"/><Relationship Id="rId1911" Type="http://schemas.openxmlformats.org/officeDocument/2006/relationships/hyperlink" Target="https://app-web.statementrec.com/app#appuploadfiles/3a17ec6d-a520-2ac7-6a39-42753bcaf7d9" TargetMode="External"/><Relationship Id="rId1912" Type="http://schemas.openxmlformats.org/officeDocument/2006/relationships/hyperlink" Target="https://app-web.statementrec.com/app#appuploadfiles/3a17ed23-aa05-e646-2d6a-77943feab212" TargetMode="External"/><Relationship Id="rId1913" Type="http://schemas.openxmlformats.org/officeDocument/2006/relationships/hyperlink" Target="https://app-web.statementrec.com/app#appuploadfiles/3a17edf2-094c-0ef3-1d02-b8723d945bf4" TargetMode="External"/><Relationship Id="rId1914" Type="http://schemas.openxmlformats.org/officeDocument/2006/relationships/hyperlink" Target="https://app-web.statementrec.com/app#appuploadfiles/3a17eec3-a030-05e4-276d-374e0241e0ef" TargetMode="External"/><Relationship Id="rId1915" Type="http://schemas.openxmlformats.org/officeDocument/2006/relationships/hyperlink" Target="https://app-web.statementrec.com/app#appuploadfiles/3a17f01d-f513-777a-7a43-a0f5e5c7c55e" TargetMode="External"/><Relationship Id="rId1916" Type="http://schemas.openxmlformats.org/officeDocument/2006/relationships/hyperlink" Target="https://app-web.statementrec.com/app#appuploadfiles/3a180203-34e0-5ae9-7c7c-c449224d381a" TargetMode="External"/><Relationship Id="rId1917" Type="http://schemas.openxmlformats.org/officeDocument/2006/relationships/hyperlink" Target="https://app-web.statementrec.com/app#appuploadfiles/3a18028c-7837-72af-3c9e-5d88d279e7b3" TargetMode="External"/><Relationship Id="rId1918" Type="http://schemas.openxmlformats.org/officeDocument/2006/relationships/hyperlink" Target="https://app-web.statementrec.com/app#appuploadfiles/3a1803ff-87f8-3348-9079-1a478a3a30a3" TargetMode="External"/><Relationship Id="rId1919" Type="http://schemas.openxmlformats.org/officeDocument/2006/relationships/hyperlink" Target="https://app-web.statementrec.com/app#appuploadfiles/3a1806ae-ee11-ce2f-e06d-a4cb1a6b1bc4" TargetMode="External"/><Relationship Id="rId1920" Type="http://schemas.openxmlformats.org/officeDocument/2006/relationships/hyperlink" Target="https://app-web.statementrec.com/app#appuploadfiles/3a180871-1f69-97a1-8783-ffd04df1251e" TargetMode="External"/><Relationship Id="rId1921" Type="http://schemas.openxmlformats.org/officeDocument/2006/relationships/hyperlink" Target="https://app-web.statementrec.com/app#appuploadfiles/3a180ba3-9d68-78b8-4fb2-07c27d7acf0f" TargetMode="External"/><Relationship Id="rId1922" Type="http://schemas.openxmlformats.org/officeDocument/2006/relationships/hyperlink" Target="https://app-web.statementrec.com/app#appuploadfiles/3a180cc2-c2f6-c2ab-bd03-b2a2df10016d" TargetMode="External"/><Relationship Id="rId1923" Type="http://schemas.openxmlformats.org/officeDocument/2006/relationships/hyperlink" Target="https://app-web.statementrec.com/app#appuploadfiles/3a180e2c-94c1-70dc-5e3e-04cb3c9c4cc7" TargetMode="External"/><Relationship Id="rId1924" Type="http://schemas.openxmlformats.org/officeDocument/2006/relationships/hyperlink" Target="https://app-web.statementrec.com/app#appuploadfiles/3a181198-3c22-e9cb-96ec-295e163dacb7" TargetMode="External"/><Relationship Id="rId1925" Type="http://schemas.openxmlformats.org/officeDocument/2006/relationships/hyperlink" Target="https://app-web.statementrec.com/app#appuploadfiles/3a1811d2-9420-2742-1d9a-b89b43ca9038" TargetMode="External"/><Relationship Id="rId1926" Type="http://schemas.openxmlformats.org/officeDocument/2006/relationships/hyperlink" Target="https://app-web.statementrec.com/app#appuploadfiles/3a1811df-b2ec-1591-0e44-9605974dfee7" TargetMode="External"/><Relationship Id="rId1927" Type="http://schemas.openxmlformats.org/officeDocument/2006/relationships/hyperlink" Target="https://app-web.statementrec.com/app#appuploadfiles/3a181282-9b00-e1c6-d319-5ec62f2d24ef" TargetMode="External"/><Relationship Id="rId1928" Type="http://schemas.openxmlformats.org/officeDocument/2006/relationships/hyperlink" Target="https://app-web.statementrec.com/app#appuploadfiles/3a181621-16c5-1403-df27-d5877266099b" TargetMode="External"/><Relationship Id="rId1929" Type="http://schemas.openxmlformats.org/officeDocument/2006/relationships/hyperlink" Target="https://app-web.statementrec.com/app#appuploadfiles/3a181676-c359-538c-761a-20f93a41a1d2" TargetMode="External"/><Relationship Id="rId1930" Type="http://schemas.openxmlformats.org/officeDocument/2006/relationships/hyperlink" Target="https://app-web.statementrec.com/app#appuploadfiles/3a18170d-c88f-1d65-1386-0a69481a56b7" TargetMode="External"/><Relationship Id="rId1931" Type="http://schemas.openxmlformats.org/officeDocument/2006/relationships/hyperlink" Target="https://app-web.statementrec.com/app#appuploadfiles/3a182672-44da-c5a7-fcc5-da0ef371475e" TargetMode="External"/><Relationship Id="rId1932" Type="http://schemas.openxmlformats.org/officeDocument/2006/relationships/hyperlink" Target="https://app-web.statementrec.com/app#appuploadfiles/3a18269d-8cc5-21a5-83c7-09112451fc98" TargetMode="External"/><Relationship Id="rId1933" Type="http://schemas.openxmlformats.org/officeDocument/2006/relationships/hyperlink" Target="https://app-web.statementrec.com/app#appuploadfiles/3a182d8d-cfb7-deea-4662-174ee55e9296" TargetMode="External"/><Relationship Id="rId1934" Type="http://schemas.openxmlformats.org/officeDocument/2006/relationships/hyperlink" Target="https://app-web.statementrec.com/app#appuploadfiles/3a182fb6-82b5-8189-0037-faecbb5b05f9" TargetMode="External"/><Relationship Id="rId1935" Type="http://schemas.openxmlformats.org/officeDocument/2006/relationships/hyperlink" Target="https://app-web.statementrec.com/app#appuploadfiles/3a1831b9-b3ad-3d0d-796d-8116f1f467df" TargetMode="External"/><Relationship Id="rId1936" Type="http://schemas.openxmlformats.org/officeDocument/2006/relationships/hyperlink" Target="https://app-web.statementrec.com/app#appuploadfiles/3a1834d4-c46c-1376-7802-26e2f76d3b9b" TargetMode="External"/><Relationship Id="rId1937" Type="http://schemas.openxmlformats.org/officeDocument/2006/relationships/hyperlink" Target="https://app-web.statementrec.com/app#appuploadfiles/3a1834e1-93f6-ee9e-4d26-91fbc2466e7d" TargetMode="External"/><Relationship Id="rId1938" Type="http://schemas.openxmlformats.org/officeDocument/2006/relationships/hyperlink" Target="https://app-web.statementrec.com/app#appuploadfiles/3a183527-d8c5-c9dd-3dd7-dfda0de67768" TargetMode="External"/><Relationship Id="rId1939" Type="http://schemas.openxmlformats.org/officeDocument/2006/relationships/hyperlink" Target="https://app-web.statementrec.com/app#appuploadfiles/3a183535-03f0-86bf-050f-8ab0fa7a8021" TargetMode="External"/><Relationship Id="rId1940" Type="http://schemas.openxmlformats.org/officeDocument/2006/relationships/hyperlink" Target="https://app-web.statementrec.com/app#appuploadfiles/3a1839ea-28fc-52c5-cd55-4e7ef4f06822" TargetMode="External"/><Relationship Id="rId1941" Type="http://schemas.openxmlformats.org/officeDocument/2006/relationships/hyperlink" Target="https://app-web.statementrec.com/app#appuploadfiles/3a183a3b-765c-461b-2fd5-0f3c144ae823" TargetMode="External"/><Relationship Id="rId1942" Type="http://schemas.openxmlformats.org/officeDocument/2006/relationships/hyperlink" Target="https://app-web.statementrec.com/app#appuploadfiles/3a183b56-f42f-98a3-27eb-ac6fb43ad01e" TargetMode="External"/><Relationship Id="rId1943" Type="http://schemas.openxmlformats.org/officeDocument/2006/relationships/hyperlink" Target="https://app-web.statementrec.com/app#appuploadfiles/3a1849e0-97c3-f5c1-6da0-e7631301b22a" TargetMode="External"/><Relationship Id="rId1944" Type="http://schemas.openxmlformats.org/officeDocument/2006/relationships/hyperlink" Target="https://app-web.statementrec.com/app#appuploadfiles/3a184a7f-6613-7151-47aa-aecdfd07bb46" TargetMode="External"/><Relationship Id="rId1945" Type="http://schemas.openxmlformats.org/officeDocument/2006/relationships/hyperlink" Target="https://app-web.statementrec.com/app#appuploadfiles/3a184f16-513c-8eb0-0b13-7fa6099bf1ca" TargetMode="External"/><Relationship Id="rId1946" Type="http://schemas.openxmlformats.org/officeDocument/2006/relationships/hyperlink" Target="https://app-web.statementrec.com/app#appuploadfiles/3a1858d6-93ee-2d55-9f29-d2df1e1980d0" TargetMode="External"/><Relationship Id="rId1947" Type="http://schemas.openxmlformats.org/officeDocument/2006/relationships/hyperlink" Target="https://app-web.statementrec.com/app#appuploadfiles/3a185e57-1959-30ed-e504-c6fbd8083379" TargetMode="External"/><Relationship Id="rId1948" Type="http://schemas.openxmlformats.org/officeDocument/2006/relationships/hyperlink" Target="https://app-web.statementrec.com/app#appuploadfiles/3a185ef7-9e9e-e9b8-b6d5-8a1a11fec109" TargetMode="External"/><Relationship Id="rId1949" Type="http://schemas.openxmlformats.org/officeDocument/2006/relationships/hyperlink" Target="https://app-web.statementrec.com/app#appuploadfiles/3a186084-152a-c3da-9ac0-696c6dc6e758" TargetMode="External"/><Relationship Id="rId1950" Type="http://schemas.openxmlformats.org/officeDocument/2006/relationships/hyperlink" Target="https://app-web.statementrec.com/app#appuploadfiles/3a1869af-1c6a-e468-8297-66c468ec7ecd" TargetMode="External"/><Relationship Id="rId1951" Type="http://schemas.openxmlformats.org/officeDocument/2006/relationships/hyperlink" Target="https://app-web.statementrec.com/app#appuploadfiles/3a186a1f-af38-dcbb-2eda-6413bbc22a6c" TargetMode="External"/><Relationship Id="rId1952" Type="http://schemas.openxmlformats.org/officeDocument/2006/relationships/hyperlink" Target="https://app-web.statementrec.com/app#appuploadfiles/3a186d7a-8d5e-bbd0-ff08-d6eb3a892778" TargetMode="External"/><Relationship Id="rId1953" Type="http://schemas.openxmlformats.org/officeDocument/2006/relationships/hyperlink" Target="https://app-web.statementrec.com/app#appuploadfiles/3a186df9-60f5-c926-dab6-77c64f4c4f6a" TargetMode="External"/><Relationship Id="rId1954" Type="http://schemas.openxmlformats.org/officeDocument/2006/relationships/hyperlink" Target="https://app-web.statementrec.com/app#appuploadfiles/3a187205-4371-65ae-a510-c35fe1d58351" TargetMode="External"/><Relationship Id="rId1955" Type="http://schemas.openxmlformats.org/officeDocument/2006/relationships/hyperlink" Target="https://app-web.statementrec.com/app#appuploadfiles/3a18729b-8e6f-9ea6-401d-ccbeeec3b117" TargetMode="External"/><Relationship Id="rId1956" Type="http://schemas.openxmlformats.org/officeDocument/2006/relationships/hyperlink" Target="https://app-web.statementrec.com/app#appuploadfiles/3a1872f1-bf31-acd4-654e-ebd9a7d2519e" TargetMode="External"/><Relationship Id="rId1957" Type="http://schemas.openxmlformats.org/officeDocument/2006/relationships/hyperlink" Target="https://app-web.statementrec.com/app#appuploadfiles/3a1875a0-9feb-98a3-b2f2-c99b5a742fc6" TargetMode="External"/><Relationship Id="rId1958" Type="http://schemas.openxmlformats.org/officeDocument/2006/relationships/hyperlink" Target="https://app-web.statementrec.com/app#appuploadfiles/3a187809-8986-24a1-6fed-eaf3904f9162" TargetMode="External"/><Relationship Id="rId1959" Type="http://schemas.openxmlformats.org/officeDocument/2006/relationships/hyperlink" Target="https://app-web.statementrec.com/app#appuploadfiles/3a18790e-ab8f-577c-0348-8e335007683e" TargetMode="External"/><Relationship Id="rId1960" Type="http://schemas.openxmlformats.org/officeDocument/2006/relationships/hyperlink" Target="https://app-web.statementrec.com/app#appuploadfiles/3a187ddc-7bba-7224-0e37-e27e2df163ca" TargetMode="External"/><Relationship Id="rId1961" Type="http://schemas.openxmlformats.org/officeDocument/2006/relationships/hyperlink" Target="https://app-web.statementrec.com/app#appuploadfiles/3a188201-c117-1e10-c95a-c31fa7218bb2" TargetMode="External"/><Relationship Id="rId1962" Type="http://schemas.openxmlformats.org/officeDocument/2006/relationships/hyperlink" Target="https://app-web.statementrec.com/app#appuploadfiles/3a188315-a5b1-64ef-39ce-d4548426f871" TargetMode="External"/><Relationship Id="rId1963" Type="http://schemas.openxmlformats.org/officeDocument/2006/relationships/hyperlink" Target="https://app-web.statementrec.com/app#appuploadfiles/3a188832-2d78-b456-803c-773c91c880ff" TargetMode="External"/><Relationship Id="rId1964" Type="http://schemas.openxmlformats.org/officeDocument/2006/relationships/hyperlink" Target="https://app-web.statementrec.com/app#appuploadfiles/3a188d43-48c9-63c7-7d57-26150b6c41a1" TargetMode="External"/><Relationship Id="rId1965" Type="http://schemas.openxmlformats.org/officeDocument/2006/relationships/hyperlink" Target="https://app-web.statementrec.com/app#appuploadfiles/3a18983c-60b7-df61-dfc5-ebcaaf41d0f3" TargetMode="External"/><Relationship Id="rId1966" Type="http://schemas.openxmlformats.org/officeDocument/2006/relationships/hyperlink" Target="https://app-web.statementrec.com/app#appuploadfiles/3a189b6b-a338-aa16-a500-4c120193b261" TargetMode="External"/><Relationship Id="rId1967" Type="http://schemas.openxmlformats.org/officeDocument/2006/relationships/hyperlink" Target="https://app-web.statementrec.com/app#appuploadfiles/3a18a0ec-6c93-6485-a0fd-8cec8ce1b6f0" TargetMode="External"/><Relationship Id="rId1968" Type="http://schemas.openxmlformats.org/officeDocument/2006/relationships/hyperlink" Target="https://app-web.statementrec.com/app#appuploadfiles/3a18a19f-810e-6d4c-1b58-1366065a6871" TargetMode="External"/><Relationship Id="rId1969" Type="http://schemas.openxmlformats.org/officeDocument/2006/relationships/hyperlink" Target="https://app-web.statementrec.com/app#appuploadfiles/3a18a202-c93f-a530-ffd5-4df2383c15c3" TargetMode="External"/><Relationship Id="rId1970" Type="http://schemas.openxmlformats.org/officeDocument/2006/relationships/hyperlink" Target="https://app-web.statementrec.com/app#appuploadfiles/3a18a233-d884-8925-db21-d614df5f180f" TargetMode="External"/><Relationship Id="rId1971" Type="http://schemas.openxmlformats.org/officeDocument/2006/relationships/hyperlink" Target="https://app-web.statementrec.com/app#appuploadfiles/3a18a5e9-7b1f-9b7c-8664-0a057b11b3d9" TargetMode="External"/><Relationship Id="rId1972" Type="http://schemas.openxmlformats.org/officeDocument/2006/relationships/hyperlink" Target="https://app-web.statementrec.com/app#appuploadfiles/3a18a63d-92a2-fc39-68ac-1ead738383f2" TargetMode="External"/><Relationship Id="rId1973" Type="http://schemas.openxmlformats.org/officeDocument/2006/relationships/hyperlink" Target="https://app-web.statementrec.com/app#appuploadfiles/3a18a6c1-73d1-f9ca-3189-2c5dbfcf8fa9" TargetMode="External"/><Relationship Id="rId1974" Type="http://schemas.openxmlformats.org/officeDocument/2006/relationships/hyperlink" Target="https://app-web.statementrec.com/app#appuploadfiles/3a18baa0-104a-22e5-b6de-b819169fe20a" TargetMode="External"/><Relationship Id="rId1975" Type="http://schemas.openxmlformats.org/officeDocument/2006/relationships/hyperlink" Target="https://app-web.statementrec.com/app#appuploadfiles/3a18becd-6c5c-5b56-ffe3-fb6c7f4de3d7" TargetMode="External"/><Relationship Id="rId1976" Type="http://schemas.openxmlformats.org/officeDocument/2006/relationships/hyperlink" Target="https://app-web.statementrec.com/app#appuploadfiles/3a18c05d-eddd-b3d5-26cd-c34319709e97" TargetMode="External"/><Relationship Id="rId1977" Type="http://schemas.openxmlformats.org/officeDocument/2006/relationships/hyperlink" Target="https://app-web.statementrec.com/app#appuploadfiles/3a18c0ed-84fa-a8f0-0c99-741c0b11bd25" TargetMode="External"/><Relationship Id="rId1978" Type="http://schemas.openxmlformats.org/officeDocument/2006/relationships/hyperlink" Target="https://app-web.statementrec.com/app#appuploadfiles/3a18c687-94fa-5892-d35d-4297d2825b41" TargetMode="External"/><Relationship Id="rId1979" Type="http://schemas.openxmlformats.org/officeDocument/2006/relationships/hyperlink" Target="https://app-web.statementrec.com/app#appuploadfiles/3a18ca3f-7726-6db0-bfee-0c31b267f794" TargetMode="External"/><Relationship Id="rId1980" Type="http://schemas.openxmlformats.org/officeDocument/2006/relationships/hyperlink" Target="https://app-web.statementrec.com/app#appuploadfiles/3a18ca84-b5f0-d17c-311c-95ab7f525d5b" TargetMode="External"/><Relationship Id="rId1981" Type="http://schemas.openxmlformats.org/officeDocument/2006/relationships/hyperlink" Target="https://app-web.statementrec.com/app#appuploadfiles/3a18ca84-c3c1-3253-2371-5b4081ae245e" TargetMode="External"/><Relationship Id="rId1982" Type="http://schemas.openxmlformats.org/officeDocument/2006/relationships/hyperlink" Target="https://app-web.statementrec.com/app#appuploadfiles/3a18cac9-daca-fbc2-e65e-d14864958bfd" TargetMode="External"/><Relationship Id="rId1983" Type="http://schemas.openxmlformats.org/officeDocument/2006/relationships/hyperlink" Target="https://app-web.statementrec.com/app#appuploadfiles/3a18cb8f-8634-7d6d-fce8-10adb053d584" TargetMode="External"/><Relationship Id="rId1984" Type="http://schemas.openxmlformats.org/officeDocument/2006/relationships/hyperlink" Target="https://app-web.statementrec.com/app#appuploadfiles/3a18cffb-a946-828b-7cbd-a1e975c6e09e" TargetMode="External"/><Relationship Id="rId1985" Type="http://schemas.openxmlformats.org/officeDocument/2006/relationships/hyperlink" Target="https://app-web.statementrec.com/app#appuploadfiles/3a18d93e-6bc2-3759-d123-e50132dd2631" TargetMode="External"/><Relationship Id="rId1986" Type="http://schemas.openxmlformats.org/officeDocument/2006/relationships/hyperlink" Target="https://app-web.statementrec.com/app#appuploadfiles/3a18d986-a00e-6d6c-4248-af98473ebc9c" TargetMode="External"/><Relationship Id="rId1987" Type="http://schemas.openxmlformats.org/officeDocument/2006/relationships/hyperlink" Target="https://app-web.statementrec.com/app#appuploadfiles/3a18da5d-38f9-336b-88bc-527422cf6f88" TargetMode="External"/><Relationship Id="rId1988" Type="http://schemas.openxmlformats.org/officeDocument/2006/relationships/hyperlink" Target="https://app-web.statementrec.com/app#appuploadfiles/3a18deeb-d293-455b-3c58-8f5440edf348" TargetMode="External"/><Relationship Id="rId1989" Type="http://schemas.openxmlformats.org/officeDocument/2006/relationships/hyperlink" Target="https://app-web.statementrec.com/app#appuploadfiles/3a18df06-9ab3-8957-5e2a-39488e2bb4ef" TargetMode="External"/><Relationship Id="rId1990" Type="http://schemas.openxmlformats.org/officeDocument/2006/relationships/hyperlink" Target="https://app-web.statementrec.com/app#appuploadfiles/3a18dfc0-23ba-e604-a992-7f3ae2c5f544" TargetMode="External"/><Relationship Id="rId1991" Type="http://schemas.openxmlformats.org/officeDocument/2006/relationships/hyperlink" Target="https://app-web.statementrec.com/app#appuploadfiles/3a18e46c-06e0-3c1c-be03-a66b2346e9b7" TargetMode="External"/><Relationship Id="rId1992" Type="http://schemas.openxmlformats.org/officeDocument/2006/relationships/hyperlink" Target="https://app-web.statementrec.com/app#appuploadfiles/3a18e4a3-f64e-e79b-8ec0-d7724ec8868e" TargetMode="External"/><Relationship Id="rId1993" Type="http://schemas.openxmlformats.org/officeDocument/2006/relationships/hyperlink" Target="https://app-web.statementrec.com/app#appuploadfiles/3a18ea8d-907c-cd8a-60c7-f476069c2787" TargetMode="External"/><Relationship Id="rId1994" Type="http://schemas.openxmlformats.org/officeDocument/2006/relationships/hyperlink" Target="https://app-web.statementrec.com/app#appuploadfiles/3a18ee86-af4d-2d4b-4c0c-49fd8aa1b027" TargetMode="External"/><Relationship Id="rId1995" Type="http://schemas.openxmlformats.org/officeDocument/2006/relationships/hyperlink" Target="https://app-web.statementrec.com/app#appuploadfiles/3a18eefc-7101-45da-74f1-86544970e87f" TargetMode="External"/><Relationship Id="rId1996" Type="http://schemas.openxmlformats.org/officeDocument/2006/relationships/hyperlink" Target="https://app-web.statementrec.com/app#appuploadfiles/3a18ef45-e135-308c-418c-aed74971c2a9" TargetMode="External"/><Relationship Id="rId1997" Type="http://schemas.openxmlformats.org/officeDocument/2006/relationships/hyperlink" Target="https://app-web.statementrec.com/app#appuploadfiles/3a18ff05-1c7f-90ab-c4ff-cc4aa0c9a91d" TargetMode="External"/><Relationship Id="rId1998" Type="http://schemas.openxmlformats.org/officeDocument/2006/relationships/hyperlink" Target="https://app-web.statementrec.com/app#appuploadfiles/3a18ffc4-0026-fc76-0b80-189d82e5377f" TargetMode="External"/><Relationship Id="rId1999" Type="http://schemas.openxmlformats.org/officeDocument/2006/relationships/hyperlink" Target="https://app-web.statementrec.com/app#appuploadfiles/3a1903a4-39c0-b54e-7125-18d02a47a6e5" TargetMode="External"/><Relationship Id="rId2000" Type="http://schemas.openxmlformats.org/officeDocument/2006/relationships/hyperlink" Target="https://app-web.statementrec.com/app#appuploadfiles/3a190554-5c53-4494-cadf-77030809982a" TargetMode="External"/><Relationship Id="rId2001" Type="http://schemas.openxmlformats.org/officeDocument/2006/relationships/hyperlink" Target="https://app-web.statementrec.com/app#appuploadfiles/3a19096e-ca4f-7fdc-2d9c-3bea068acd7d" TargetMode="External"/><Relationship Id="rId2002" Type="http://schemas.openxmlformats.org/officeDocument/2006/relationships/hyperlink" Target="https://app-web.statementrec.com/app#appuploadfiles/3a190972-aca2-1f1c-f5fc-525a8ff79a99" TargetMode="External"/><Relationship Id="rId2003" Type="http://schemas.openxmlformats.org/officeDocument/2006/relationships/hyperlink" Target="https://app-web.statementrec.com/app#appuploadfiles/3a190d55-1a5a-6154-bc32-b89758655787" TargetMode="External"/><Relationship Id="rId2004" Type="http://schemas.openxmlformats.org/officeDocument/2006/relationships/hyperlink" Target="https://app-web.statementrec.com/app#appuploadfiles/3a190e6a-48b1-a485-cbf0-a179db9cb6fa" TargetMode="External"/><Relationship Id="rId2005" Type="http://schemas.openxmlformats.org/officeDocument/2006/relationships/hyperlink" Target="https://app-web.statementrec.com/app#appuploadfiles/3a190fdc-a6e1-8125-2636-58671c858d0f" TargetMode="External"/><Relationship Id="rId2006" Type="http://schemas.openxmlformats.org/officeDocument/2006/relationships/hyperlink" Target="https://app-web.statementrec.com/app#appuploadfiles/3a1911f3-f26f-1ae7-214e-8cf054b2f602" TargetMode="External"/><Relationship Id="rId2007" Type="http://schemas.openxmlformats.org/officeDocument/2006/relationships/hyperlink" Target="https://app-web.statementrec.com/app#appuploadfiles/3a191229-f4a5-ceab-06ba-d172c34ae63b" TargetMode="External"/><Relationship Id="rId2008" Type="http://schemas.openxmlformats.org/officeDocument/2006/relationships/hyperlink" Target="https://app-web.statementrec.com/app#appuploadfiles/3a19123c-5f06-109c-8e25-d593829d1046" TargetMode="External"/><Relationship Id="rId2009" Type="http://schemas.openxmlformats.org/officeDocument/2006/relationships/hyperlink" Target="https://app-web.statementrec.com/app#appuploadfiles/3a1912c0-e2b0-d34a-891a-fbe78971e2e5" TargetMode="External"/><Relationship Id="rId2010" Type="http://schemas.openxmlformats.org/officeDocument/2006/relationships/hyperlink" Target="https://app-web.statementrec.com/app#appuploadfiles/3a192401-82af-a17e-98d4-2c492b91bfd7" TargetMode="External"/><Relationship Id="rId2011" Type="http://schemas.openxmlformats.org/officeDocument/2006/relationships/hyperlink" Target="https://app-web.statementrec.com/app#appuploadfiles/3a192711-3c42-bcc3-1f83-f1a782934945" TargetMode="External"/><Relationship Id="rId2012" Type="http://schemas.openxmlformats.org/officeDocument/2006/relationships/hyperlink" Target="https://app-web.statementrec.com/app#appuploadfiles/3a1927c8-126f-785a-db45-37a35698bc26" TargetMode="External"/><Relationship Id="rId2013" Type="http://schemas.openxmlformats.org/officeDocument/2006/relationships/hyperlink" Target="https://app-web.statementrec.com/app#appuploadfiles/3a1927ff-455b-f786-b3e3-67feff72d4b8" TargetMode="External"/><Relationship Id="rId2014" Type="http://schemas.openxmlformats.org/officeDocument/2006/relationships/hyperlink" Target="https://app-web.statementrec.com/app#appuploadfiles/3a192801-1b0e-ba98-e8af-0b7a64eaa697" TargetMode="External"/><Relationship Id="rId2015" Type="http://schemas.openxmlformats.org/officeDocument/2006/relationships/hyperlink" Target="https://app-web.statementrec.com/app#appuploadfiles/3a192863-c25e-0677-6ef3-f4028760ad91" TargetMode="External"/><Relationship Id="rId2016" Type="http://schemas.openxmlformats.org/officeDocument/2006/relationships/hyperlink" Target="https://app-web.statementrec.com/app#appuploadfiles/3a192bdb-e945-d362-08c0-5640f08fea8e" TargetMode="External"/><Relationship Id="rId2017" Type="http://schemas.openxmlformats.org/officeDocument/2006/relationships/hyperlink" Target="https://app-web.statementrec.com/app#appuploadfiles/3a192c5e-0617-a542-f60b-4c803c8dba0f" TargetMode="External"/><Relationship Id="rId2018" Type="http://schemas.openxmlformats.org/officeDocument/2006/relationships/hyperlink" Target="https://app-web.statementrec.com/app#appuploadfiles/3a1930fc-ea87-924f-f684-5976801b2a47" TargetMode="External"/><Relationship Id="rId2019" Type="http://schemas.openxmlformats.org/officeDocument/2006/relationships/hyperlink" Target="https://app-web.statementrec.com/app#appuploadfiles/3a193102-fb27-2412-0cc7-299ee2693f4e" TargetMode="External"/><Relationship Id="rId2020" Type="http://schemas.openxmlformats.org/officeDocument/2006/relationships/hyperlink" Target="https://app-web.statementrec.com/app#appuploadfiles/3a19371d-328b-964c-6e31-fdbacd90ae2f" TargetMode="External"/><Relationship Id="rId2021" Type="http://schemas.openxmlformats.org/officeDocument/2006/relationships/hyperlink" Target="https://app-web.statementrec.com/app#appuploadfiles/3a193d5d-e99f-5bb5-2a68-4acbaa94d568" TargetMode="External"/><Relationship Id="rId2022" Type="http://schemas.openxmlformats.org/officeDocument/2006/relationships/hyperlink" Target="https://app-web.statementrec.com/app#appuploadfiles/3a194337-23b8-7a03-8279-d68456b2d555" TargetMode="External"/><Relationship Id="rId2023" Type="http://schemas.openxmlformats.org/officeDocument/2006/relationships/hyperlink" Target="https://app-web.statementrec.com/app#appuploadfiles/3a19455a-da7f-87f8-63d1-5c967cda1432" TargetMode="External"/><Relationship Id="rId2024" Type="http://schemas.openxmlformats.org/officeDocument/2006/relationships/hyperlink" Target="https://app-web.statementrec.com/app#appuploadfiles/3a19459f-f9ea-2a01-dd61-4e1a884a5a9c" TargetMode="External"/><Relationship Id="rId2025" Type="http://schemas.openxmlformats.org/officeDocument/2006/relationships/hyperlink" Target="https://app-web.statementrec.com/app#appuploadfiles/3a1946ee-348f-a98d-10cf-a2a00eee168d" TargetMode="External"/><Relationship Id="rId2026" Type="http://schemas.openxmlformats.org/officeDocument/2006/relationships/hyperlink" Target="https://app-web.statementrec.com/app#appuploadfiles/3a194b09-1c04-053f-4d53-cb6e5307930a" TargetMode="External"/><Relationship Id="rId2027" Type="http://schemas.openxmlformats.org/officeDocument/2006/relationships/hyperlink" Target="https://app-web.statementrec.com/app#appuploadfiles/3a194b3e-224e-8637-b78f-766c810a4113" TargetMode="External"/><Relationship Id="rId2028" Type="http://schemas.openxmlformats.org/officeDocument/2006/relationships/hyperlink" Target="https://app-web.statementrec.com/app#appuploadfiles/3a194b44-3ee2-85d2-72bd-fdd81addd71c" TargetMode="External"/><Relationship Id="rId2029" Type="http://schemas.openxmlformats.org/officeDocument/2006/relationships/hyperlink" Target="https://app-web.statementrec.com/app#appuploadfiles/3a194ba6-35a0-cf7f-9107-bdc85638d7d6" TargetMode="External"/><Relationship Id="rId2030" Type="http://schemas.openxmlformats.org/officeDocument/2006/relationships/hyperlink" Target="https://app-web.statementrec.com/app#appuploadfiles/3a194c1a-336d-01ec-6616-c4f0eb19440f" TargetMode="External"/><Relationship Id="rId2031" Type="http://schemas.openxmlformats.org/officeDocument/2006/relationships/hyperlink" Target="https://app-web.statementrec.com/app#appuploadfiles/3a194c54-3036-eeab-38db-5ef4030e69e8" TargetMode="External"/><Relationship Id="rId2032" Type="http://schemas.openxmlformats.org/officeDocument/2006/relationships/hyperlink" Target="https://app-web.statementrec.com/app#appuploadfiles/3a19503d-c6ad-0eb0-c951-55d20ccd95ca" TargetMode="External"/><Relationship Id="rId2033" Type="http://schemas.openxmlformats.org/officeDocument/2006/relationships/hyperlink" Target="https://app-web.statementrec.com/app#appuploadfiles/3a195060-720c-284e-7a39-527a0b1aa53a" TargetMode="External"/><Relationship Id="rId2034" Type="http://schemas.openxmlformats.org/officeDocument/2006/relationships/hyperlink" Target="https://app-web.statementrec.com/app#appuploadfiles/3a1950ba-de3e-2fd5-c694-ad79155b18f7" TargetMode="External"/><Relationship Id="rId2035" Type="http://schemas.openxmlformats.org/officeDocument/2006/relationships/hyperlink" Target="https://app-web.statementrec.com/app#appuploadfiles/3a195534-fc92-025d-34d4-80b43fa76947" TargetMode="External"/><Relationship Id="rId2036" Type="http://schemas.openxmlformats.org/officeDocument/2006/relationships/hyperlink" Target="https://app-web.statementrec.com/app#appuploadfiles/3a195610-406f-4389-04ec-f7e3d56e4af9" TargetMode="External"/><Relationship Id="rId2037" Type="http://schemas.openxmlformats.org/officeDocument/2006/relationships/hyperlink" Target="https://app-web.statementrec.com/app#appuploadfiles/3a195648-b279-3a72-9090-98e78447e5a8" TargetMode="External"/><Relationship Id="rId2038" Type="http://schemas.openxmlformats.org/officeDocument/2006/relationships/hyperlink" Target="https://app-web.statementrec.com/app#appuploadfiles/3a19564a-1bcc-5d22-acac-b500dd6bafb1" TargetMode="External"/><Relationship Id="rId2039" Type="http://schemas.openxmlformats.org/officeDocument/2006/relationships/hyperlink" Target="https://app-web.statementrec.com/app#appuploadfiles/3a195d72-eaef-7e76-a8e2-31e77049ede8" TargetMode="External"/><Relationship Id="rId2040" Type="http://schemas.openxmlformats.org/officeDocument/2006/relationships/hyperlink" Target="https://app-web.statementrec.com/app#appuploadfiles/3a196b95-50ea-41b5-138a-94dba040ce82" TargetMode="External"/><Relationship Id="rId2041" Type="http://schemas.openxmlformats.org/officeDocument/2006/relationships/hyperlink" Target="https://app-web.statementrec.com/app#appuploadfiles/3a196c17-1661-fa2b-a899-08563a872797" TargetMode="External"/><Relationship Id="rId2042" Type="http://schemas.openxmlformats.org/officeDocument/2006/relationships/hyperlink" Target="https://app-web.statementrec.com/app#appuploadfiles/3a196d0c-1023-2943-cf32-59d9c393ff39" TargetMode="External"/><Relationship Id="rId2043" Type="http://schemas.openxmlformats.org/officeDocument/2006/relationships/hyperlink" Target="https://app-web.statementrec.com/app#appuploadfiles/3a196f01-e6dc-2adb-b629-9210986c492a" TargetMode="External"/><Relationship Id="rId2044" Type="http://schemas.openxmlformats.org/officeDocument/2006/relationships/hyperlink" Target="https://app-web.statementrec.com/app#appuploadfiles/3a196f05-3198-8440-4401-f8213d3225dc" TargetMode="External"/><Relationship Id="rId2045" Type="http://schemas.openxmlformats.org/officeDocument/2006/relationships/hyperlink" Target="https://app-web.statementrec.com/app#appuploadfiles/3a196ffe-8243-b682-dddc-15e19c356080" TargetMode="External"/><Relationship Id="rId2046" Type="http://schemas.openxmlformats.org/officeDocument/2006/relationships/hyperlink" Target="https://app-web.statementrec.com/app#appuploadfiles/3a19700a-3f39-8d86-f432-cb4fac71d728" TargetMode="External"/><Relationship Id="rId2047" Type="http://schemas.openxmlformats.org/officeDocument/2006/relationships/hyperlink" Target="https://app-web.statementrec.com/app#appuploadfiles/3a197035-ce92-a895-562c-49810b64a5f4" TargetMode="External"/><Relationship Id="rId2048" Type="http://schemas.openxmlformats.org/officeDocument/2006/relationships/hyperlink" Target="https://app-web.statementrec.com/app#appuploadfiles/3a1972b6-8b0e-9ad1-a722-ea331b7a1fe6" TargetMode="External"/><Relationship Id="rId2049" Type="http://schemas.openxmlformats.org/officeDocument/2006/relationships/hyperlink" Target="https://app-web.statementrec.com/app#appuploadfiles/3a197384-e2f1-0018-bfec-3ed0081a0d05" TargetMode="External"/><Relationship Id="rId2050" Type="http://schemas.openxmlformats.org/officeDocument/2006/relationships/hyperlink" Target="https://app-web.statementrec.com/app#appuploadfiles/3a197385-0b4b-4b90-7e11-ee798edd572e" TargetMode="External"/><Relationship Id="rId2051" Type="http://schemas.openxmlformats.org/officeDocument/2006/relationships/hyperlink" Target="https://app-web.statementrec.com/app#appuploadfiles/3a19753d-681a-eb87-bcc0-6970171df733" TargetMode="External"/><Relationship Id="rId2052" Type="http://schemas.openxmlformats.org/officeDocument/2006/relationships/hyperlink" Target="https://app-web.statementrec.com/app#appuploadfiles/3a1975ca-0286-f09c-322b-7726061015a1" TargetMode="External"/><Relationship Id="rId2053" Type="http://schemas.openxmlformats.org/officeDocument/2006/relationships/hyperlink" Target="https://app-web.statementrec.com/app#appuploadfiles/3a197684-18ff-9c0d-09a0-7d0f8351b180" TargetMode="External"/><Relationship Id="rId2054" Type="http://schemas.openxmlformats.org/officeDocument/2006/relationships/hyperlink" Target="https://app-web.statementrec.com/app#appuploadfiles/3a197a42-a547-ede0-41a3-13f9a8fb42ab" TargetMode="External"/><Relationship Id="rId2055" Type="http://schemas.openxmlformats.org/officeDocument/2006/relationships/hyperlink" Target="https://app-web.statementrec.com/app#appuploadfiles/3a197a7b-604a-6d15-6f78-f995efdca5e7" TargetMode="External"/><Relationship Id="rId2056" Type="http://schemas.openxmlformats.org/officeDocument/2006/relationships/hyperlink" Target="https://app-web.statementrec.com/app#appuploadfiles/3a197e43-b74a-e104-430d-013faf2ecc42" TargetMode="External"/><Relationship Id="rId2057" Type="http://schemas.openxmlformats.org/officeDocument/2006/relationships/hyperlink" Target="https://app-web.statementrec.com/app#appuploadfiles/3a197f03-dceb-07ed-bbd9-58356aaebe2d" TargetMode="External"/><Relationship Id="rId2058" Type="http://schemas.openxmlformats.org/officeDocument/2006/relationships/hyperlink" Target="https://app-web.statementrec.com/app#appuploadfiles/3a197f78-21c0-cfe9-93e1-dbb506793249" TargetMode="External"/><Relationship Id="rId2059" Type="http://schemas.openxmlformats.org/officeDocument/2006/relationships/hyperlink" Target="https://app-web.statementrec.com/app#appuploadfiles/3a197fdc-592a-7378-0dbf-883f7a49e74c" TargetMode="External"/><Relationship Id="rId2060" Type="http://schemas.openxmlformats.org/officeDocument/2006/relationships/hyperlink" Target="https://app-web.statementrec.com/app#appuploadfiles/3a198d9b-12ed-b1a8-1f3f-169e5056d208" TargetMode="External"/><Relationship Id="rId2061" Type="http://schemas.openxmlformats.org/officeDocument/2006/relationships/hyperlink" Target="https://app-web.statementrec.com/app#appuploadfiles/3a199088-6581-b4df-4333-7c2c5aee8b07" TargetMode="External"/><Relationship Id="rId2062" Type="http://schemas.openxmlformats.org/officeDocument/2006/relationships/hyperlink" Target="https://app-web.statementrec.com/app#appuploadfiles/3a199295-c3c0-2e6b-c4e0-55dfb73caa77" TargetMode="External"/><Relationship Id="rId2063" Type="http://schemas.openxmlformats.org/officeDocument/2006/relationships/hyperlink" Target="https://app-web.statementrec.com/app#appuploadfiles/3a19934b-6f10-72de-d5e8-2f41bca38021" TargetMode="External"/><Relationship Id="rId2064" Type="http://schemas.openxmlformats.org/officeDocument/2006/relationships/hyperlink" Target="https://app-web.statementrec.com/app#appuploadfiles/3a1993d1-39e7-afe4-cb85-c353f506b388" TargetMode="External"/><Relationship Id="rId2065" Type="http://schemas.openxmlformats.org/officeDocument/2006/relationships/hyperlink" Target="https://app-web.statementrec.com/app#appuploadfiles/3a199402-f2c9-de19-0620-c3bae782d00e" TargetMode="External"/><Relationship Id="rId2066" Type="http://schemas.openxmlformats.org/officeDocument/2006/relationships/hyperlink" Target="https://app-web.statementrec.com/app#appuploadfiles/3a19942f-b73c-da87-570f-5220becdd86a" TargetMode="External"/><Relationship Id="rId2067" Type="http://schemas.openxmlformats.org/officeDocument/2006/relationships/hyperlink" Target="https://app-web.statementrec.com/app#appuploadfiles/3a19959e-4d47-d962-47ea-c787ba1001c1" TargetMode="External"/><Relationship Id="rId2068" Type="http://schemas.openxmlformats.org/officeDocument/2006/relationships/hyperlink" Target="https://app-web.statementrec.com/app#appuploadfiles/3a19980c-72f5-8116-aeb0-4082d4982a93" TargetMode="External"/><Relationship Id="rId2069" Type="http://schemas.openxmlformats.org/officeDocument/2006/relationships/hyperlink" Target="https://app-web.statementrec.com/app#appuploadfiles/3a199de2-b166-6732-08fc-8319d49ee65c" TargetMode="External"/><Relationship Id="rId2070" Type="http://schemas.openxmlformats.org/officeDocument/2006/relationships/hyperlink" Target="https://app-web.statementrec.com/app#appuploadfiles/3a199f8e-d553-7385-e6c8-954a4a2271a4" TargetMode="External"/><Relationship Id="rId2071" Type="http://schemas.openxmlformats.org/officeDocument/2006/relationships/hyperlink" Target="https://app-web.statementrec.com/app#appuploadfiles/3a19a147-e259-6dda-ec6f-280e66acef68" TargetMode="External"/><Relationship Id="rId2072" Type="http://schemas.openxmlformats.org/officeDocument/2006/relationships/hyperlink" Target="https://app-web.statementrec.com/app#appuploadfiles/3a19a267-5f2a-f276-cf43-108c998e6d6a" TargetMode="External"/><Relationship Id="rId2073" Type="http://schemas.openxmlformats.org/officeDocument/2006/relationships/hyperlink" Target="https://app-web.statementrec.com/app#appuploadfiles/3a19b371-c580-b630-fec2-cc1082d48526" TargetMode="External"/><Relationship Id="rId2074" Type="http://schemas.openxmlformats.org/officeDocument/2006/relationships/hyperlink" Target="https://app-web.statementrec.com/app#appuploadfiles/3a19b71a-66f7-bc95-627c-8dc2a0ffea8b" TargetMode="External"/><Relationship Id="rId2075" Type="http://schemas.openxmlformats.org/officeDocument/2006/relationships/hyperlink" Target="https://app-web.statementrec.com/app#appuploadfiles/3a19b818-10a0-2bf3-6edf-bb6d2e7eb299" TargetMode="External"/><Relationship Id="rId2076" Type="http://schemas.openxmlformats.org/officeDocument/2006/relationships/hyperlink" Target="https://app-web.statementrec.com/app#appuploadfiles/3a19b8e7-25ab-ad1c-4117-eb03f8b352db" TargetMode="External"/><Relationship Id="rId2077" Type="http://schemas.openxmlformats.org/officeDocument/2006/relationships/hyperlink" Target="https://app-web.statementrec.com/app#appuploadfiles/3a19bc25-745f-f9b1-5784-115c4bb9ca67" TargetMode="External"/><Relationship Id="rId2078" Type="http://schemas.openxmlformats.org/officeDocument/2006/relationships/hyperlink" Target="https://app-web.statementrec.com/app#appuploadfiles/3a19bc26-b994-9bda-5d97-0873a7ec9995" TargetMode="External"/><Relationship Id="rId2079" Type="http://schemas.openxmlformats.org/officeDocument/2006/relationships/hyperlink" Target="https://app-web.statementrec.com/app#appuploadfiles/3a19bcdd-f74c-2cf4-b263-182ecf9c905d" TargetMode="External"/><Relationship Id="rId2080" Type="http://schemas.openxmlformats.org/officeDocument/2006/relationships/hyperlink" Target="https://app-web.statementrec.com/app#appuploadfiles/3a19bd2a-3ab4-e238-2f96-0adabaf80321" TargetMode="External"/><Relationship Id="rId2081" Type="http://schemas.openxmlformats.org/officeDocument/2006/relationships/hyperlink" Target="https://app-web.statementrec.com/app#appuploadfiles/3a19bd2e-438d-a542-ed81-db13382b11bf" TargetMode="External"/><Relationship Id="rId2082" Type="http://schemas.openxmlformats.org/officeDocument/2006/relationships/hyperlink" Target="https://app-web.statementrec.com/app#appuploadfiles/3a19bd45-4ba7-19fb-0c4b-165d838a9305" TargetMode="External"/><Relationship Id="rId2083" Type="http://schemas.openxmlformats.org/officeDocument/2006/relationships/hyperlink" Target="https://app-web.statementrec.com/app#appuploadfiles/3a19bd4b-71b6-163b-b80a-1e8b7d56fd75" TargetMode="External"/><Relationship Id="rId2084" Type="http://schemas.openxmlformats.org/officeDocument/2006/relationships/hyperlink" Target="https://app-web.statementrec.com/app#appuploadfiles/3a19bdb1-d411-6043-e9ab-267c0f28524f" TargetMode="External"/><Relationship Id="rId2085" Type="http://schemas.openxmlformats.org/officeDocument/2006/relationships/hyperlink" Target="https://app-web.statementrec.com/app#appuploadfiles/3a19bf12-0a40-0ac4-e778-5c9ca2adc77d" TargetMode="External"/><Relationship Id="rId2086" Type="http://schemas.openxmlformats.org/officeDocument/2006/relationships/hyperlink" Target="https://app-web.statementrec.com/app#appuploadfiles/3a19c151-b0b8-c828-a3d1-d1bc239e304e" TargetMode="External"/><Relationship Id="rId2087" Type="http://schemas.openxmlformats.org/officeDocument/2006/relationships/hyperlink" Target="https://app-web.statementrec.com/app#appuploadfiles/3a19c1a9-a283-10c8-c7a4-85a66ff7323f" TargetMode="External"/><Relationship Id="rId2088" Type="http://schemas.openxmlformats.org/officeDocument/2006/relationships/hyperlink" Target="https://app-web.statementrec.com/app#appuploadfiles/3a19c215-3dd7-c0ba-325d-9ffd06ce8650" TargetMode="External"/><Relationship Id="rId2089" Type="http://schemas.openxmlformats.org/officeDocument/2006/relationships/hyperlink" Target="https://app-web.statementrec.com/app#appuploadfiles/3a19c5d7-b646-34f9-d7ec-d1b1967e0ce7" TargetMode="External"/><Relationship Id="rId2090" Type="http://schemas.openxmlformats.org/officeDocument/2006/relationships/hyperlink" Target="https://app-web.statementrec.com/app#appuploadfiles/3a19c6ca-a0bb-4f9b-2287-30aea8c043c4" TargetMode="External"/><Relationship Id="rId2091" Type="http://schemas.openxmlformats.org/officeDocument/2006/relationships/hyperlink" Target="https://app-web.statementrec.com/app#appuploadfiles/3a19c8f4-63ad-5308-5c96-52a340736729" TargetMode="External"/><Relationship Id="rId2092" Type="http://schemas.openxmlformats.org/officeDocument/2006/relationships/hyperlink" Target="https://app-web.statementrec.com/app#appuploadfiles/3a19cbf7-921b-3b14-e4dd-9273710d88f9" TargetMode="External"/><Relationship Id="rId2093" Type="http://schemas.openxmlformats.org/officeDocument/2006/relationships/hyperlink" Target="https://app-web.statementrec.com/app#appuploadfiles/3a19d55c-c155-21be-84d4-1096add65103" TargetMode="External"/><Relationship Id="rId2094" Type="http://schemas.openxmlformats.org/officeDocument/2006/relationships/hyperlink" Target="https://app-web.statementrec.com/app#appuploadfiles/3a19d5ce-b8ce-eeca-b92c-b14ea0603dfe" TargetMode="External"/><Relationship Id="rId2095" Type="http://schemas.openxmlformats.org/officeDocument/2006/relationships/hyperlink" Target="https://app-web.statementrec.com/app#appuploadfiles/3a19d63d-2f32-a87f-6bfb-9d4f6d30037a" TargetMode="External"/><Relationship Id="rId2096" Type="http://schemas.openxmlformats.org/officeDocument/2006/relationships/hyperlink" Target="https://app-web.statementrec.com/app#appuploadfiles/3a19d646-07c0-0f68-c400-a254458d6862" TargetMode="External"/><Relationship Id="rId2097" Type="http://schemas.openxmlformats.org/officeDocument/2006/relationships/hyperlink" Target="https://app-web.statementrec.com/app#appuploadfiles/3a19d64b-fbf4-3bab-37a6-8e7d3eb7bc15" TargetMode="External"/><Relationship Id="rId2098" Type="http://schemas.openxmlformats.org/officeDocument/2006/relationships/hyperlink" Target="https://app-web.statementrec.com/app#appuploadfiles/3a19d683-548a-38ac-84d0-b3a6bd845f4c" TargetMode="External"/><Relationship Id="rId2099" Type="http://schemas.openxmlformats.org/officeDocument/2006/relationships/hyperlink" Target="https://app-web.statementrec.com/app#appuploadfiles/3a19d694-03be-b388-b7be-546921c5ee1c" TargetMode="External"/><Relationship Id="rId2100" Type="http://schemas.openxmlformats.org/officeDocument/2006/relationships/hyperlink" Target="https://app-web.statementrec.com/app#appuploadfiles/3a19d695-d1f4-2606-0942-a2694cfb7107" TargetMode="External"/><Relationship Id="rId2101" Type="http://schemas.openxmlformats.org/officeDocument/2006/relationships/hyperlink" Target="https://app-web.statementrec.com/app#appuploadfiles/3a19d758-39ba-fb90-a8fd-07ee752c224e" TargetMode="External"/><Relationship Id="rId2102" Type="http://schemas.openxmlformats.org/officeDocument/2006/relationships/hyperlink" Target="https://app-web.statementrec.com/app#appuploadfiles/3a19d770-7000-f7a6-efd7-692a2ca0a57b" TargetMode="External"/><Relationship Id="rId2103" Type="http://schemas.openxmlformats.org/officeDocument/2006/relationships/hyperlink" Target="https://app-web.statementrec.com/app#appuploadfiles/3a19dacc-5b54-6cb6-27eb-74f3c1a1446a" TargetMode="External"/><Relationship Id="rId2104" Type="http://schemas.openxmlformats.org/officeDocument/2006/relationships/hyperlink" Target="https://app-web.statementrec.com/app#appuploadfiles/3a19daf1-de09-f5fb-b114-f0d4b9cbe454" TargetMode="External"/><Relationship Id="rId2105" Type="http://schemas.openxmlformats.org/officeDocument/2006/relationships/hyperlink" Target="https://app-web.statementrec.com/app#appuploadfiles/3a19db6d-2bfa-d3a0-4524-4040fa1bcdc5" TargetMode="External"/><Relationship Id="rId2106" Type="http://schemas.openxmlformats.org/officeDocument/2006/relationships/hyperlink" Target="https://app-web.statementrec.com/app#appuploadfiles/3a19dc59-f1f8-607d-2c27-fb8149ea91f9" TargetMode="External"/><Relationship Id="rId2107" Type="http://schemas.openxmlformats.org/officeDocument/2006/relationships/hyperlink" Target="https://app-web.statementrec.com/app#appuploadfiles/3a19dc62-6579-b0a7-0c06-380965d91183" TargetMode="External"/><Relationship Id="rId2108" Type="http://schemas.openxmlformats.org/officeDocument/2006/relationships/hyperlink" Target="https://app-web.statementrec.com/app#appuploadfiles/3a19dcd6-d971-6055-57bd-d2b02981cc45" TargetMode="External"/><Relationship Id="rId2109" Type="http://schemas.openxmlformats.org/officeDocument/2006/relationships/hyperlink" Target="https://app-web.statementrec.com/app#appuploadfiles/3a19e020-958f-d81a-b5b2-1cf3fc5057f2" TargetMode="External"/><Relationship Id="rId2110" Type="http://schemas.openxmlformats.org/officeDocument/2006/relationships/hyperlink" Target="https://app-web.statementrec.com/app#appuploadfiles/3a19e06e-aaa7-593d-d678-5b796a0095d0" TargetMode="External"/><Relationship Id="rId2111" Type="http://schemas.openxmlformats.org/officeDocument/2006/relationships/hyperlink" Target="https://app-web.statementrec.com/app#appuploadfiles/3a19e0a3-4c0c-82e6-4e9d-81936a8bcccd" TargetMode="External"/><Relationship Id="rId2112" Type="http://schemas.openxmlformats.org/officeDocument/2006/relationships/hyperlink" Target="https://app-web.statementrec.com/app#appuploadfiles/3a19e189-1df6-0feb-ffba-b5833d12d91c" TargetMode="External"/><Relationship Id="rId2113" Type="http://schemas.openxmlformats.org/officeDocument/2006/relationships/hyperlink" Target="https://app-web.statementrec.com/app#appuploadfiles/3a19e197-81c9-c7d3-a803-23b44e82b278" TargetMode="External"/><Relationship Id="rId2114" Type="http://schemas.openxmlformats.org/officeDocument/2006/relationships/hyperlink" Target="https://app-web.statementrec.com/app#appuploadfiles/3a19e25f-361e-43da-08f5-d6927a74c5e0" TargetMode="External"/><Relationship Id="rId2115" Type="http://schemas.openxmlformats.org/officeDocument/2006/relationships/hyperlink" Target="https://app-web.statementrec.com/app#appuploadfiles/3a19e699-fdf4-6e21-0587-b22ffe2c14ac" TargetMode="External"/><Relationship Id="rId2116" Type="http://schemas.openxmlformats.org/officeDocument/2006/relationships/hyperlink" Target="https://app-web.statementrec.com/app#appuploadfiles/3a19e704-dbd3-1c9f-c14a-ee614a1ca45a" TargetMode="External"/><Relationship Id="rId2117" Type="http://schemas.openxmlformats.org/officeDocument/2006/relationships/hyperlink" Target="https://app-web.statementrec.com/app#appuploadfiles/3a19e724-5138-b0ed-1871-f007eacae043" TargetMode="External"/><Relationship Id="rId2118" Type="http://schemas.openxmlformats.org/officeDocument/2006/relationships/hyperlink" Target="https://app-web.statementrec.com/app#appuploadfiles/3a19ea91-aa35-dc29-b67f-7d3b0e109fd1" TargetMode="External"/><Relationship Id="rId2119" Type="http://schemas.openxmlformats.org/officeDocument/2006/relationships/hyperlink" Target="https://app-web.statementrec.com/app#appuploadfiles/3a19eb03-983d-8594-102d-921683bd029f" TargetMode="External"/><Relationship Id="rId2120" Type="http://schemas.openxmlformats.org/officeDocument/2006/relationships/hyperlink" Target="https://app-web.statementrec.com/app#appuploadfiles/3a19eb22-6821-d4ac-4cfd-232f490c8a5d" TargetMode="External"/><Relationship Id="rId2121" Type="http://schemas.openxmlformats.org/officeDocument/2006/relationships/hyperlink" Target="https://app-web.statementrec.com/app#appuploadfiles/3a19ebc8-2a9d-f080-7724-fba94c612190" TargetMode="External"/><Relationship Id="rId2122" Type="http://schemas.openxmlformats.org/officeDocument/2006/relationships/hyperlink" Target="https://app-web.statementrec.com/app#appuploadfiles/3a19ef36-b297-89f3-330d-2584154080d6" TargetMode="External"/><Relationship Id="rId2123" Type="http://schemas.openxmlformats.org/officeDocument/2006/relationships/hyperlink" Target="https://app-web.statementrec.com/app#appuploadfiles/3a19f823-f452-f747-1aec-7008300bdf35" TargetMode="External"/><Relationship Id="rId2124" Type="http://schemas.openxmlformats.org/officeDocument/2006/relationships/hyperlink" Target="https://app-web.statementrec.com/app#appuploadfiles/3a19fa05-5d15-a2f9-419e-b110a11d3582" TargetMode="External"/><Relationship Id="rId2125" Type="http://schemas.openxmlformats.org/officeDocument/2006/relationships/hyperlink" Target="https://app-web.statementrec.com/app#appuploadfiles/3a19fa2d-10f5-2a49-8f04-716cd06f3d17" TargetMode="External"/><Relationship Id="rId2126" Type="http://schemas.openxmlformats.org/officeDocument/2006/relationships/hyperlink" Target="https://app-web.statementrec.com/app#appuploadfiles/3a19fa39-e11d-a46e-f0f2-a8afbfd81ce4" TargetMode="External"/><Relationship Id="rId2127" Type="http://schemas.openxmlformats.org/officeDocument/2006/relationships/hyperlink" Target="https://app-web.statementrec.com/app#appuploadfiles/3a19fabe-e62b-4d8f-239c-c74bbf774233" TargetMode="External"/><Relationship Id="rId2128" Type="http://schemas.openxmlformats.org/officeDocument/2006/relationships/hyperlink" Target="https://app-web.statementrec.com/app#appuploadfiles/3a19fae9-19a9-f6f2-d6d8-e451f7fbbba6" TargetMode="External"/><Relationship Id="rId2129" Type="http://schemas.openxmlformats.org/officeDocument/2006/relationships/hyperlink" Target="https://app-web.statementrec.com/app#appuploadfiles/3a19faec-7bf7-b368-d73c-107ef2a6cb72" TargetMode="External"/><Relationship Id="rId2130" Type="http://schemas.openxmlformats.org/officeDocument/2006/relationships/hyperlink" Target="https://app-web.statementrec.com/app#appuploadfiles/3a19fc1e-ee6b-dad8-d1dd-7bbf0b353f74" TargetMode="External"/><Relationship Id="rId2131" Type="http://schemas.openxmlformats.org/officeDocument/2006/relationships/hyperlink" Target="https://app-web.statementrec.com/app#appuploadfiles/3a19fe98-0296-b206-047a-e4ccc38a7aaf" TargetMode="External"/><Relationship Id="rId2132" Type="http://schemas.openxmlformats.org/officeDocument/2006/relationships/hyperlink" Target="https://app-web.statementrec.com/app#appuploadfiles/3a19fe99-3dc2-fcbd-4e4f-615f773d1dd4" TargetMode="External"/><Relationship Id="rId2133" Type="http://schemas.openxmlformats.org/officeDocument/2006/relationships/hyperlink" Target="https://app-web.statementrec.com/app#appuploadfiles/3a19ff8c-1cba-4d15-cf20-9ba3ee1ef941" TargetMode="External"/><Relationship Id="rId2134" Type="http://schemas.openxmlformats.org/officeDocument/2006/relationships/hyperlink" Target="https://app-web.statementrec.com/app#appuploadfiles/3a19ff92-765c-8850-ac69-c1b6eb1e4c51" TargetMode="External"/><Relationship Id="rId2135" Type="http://schemas.openxmlformats.org/officeDocument/2006/relationships/hyperlink" Target="https://app-web.statementrec.com/app#appuploadfiles/3a1a007b-a9e2-59e3-ff20-bed571191010" TargetMode="External"/><Relationship Id="rId2136" Type="http://schemas.openxmlformats.org/officeDocument/2006/relationships/hyperlink" Target="https://app-web.statementrec.com/app#appuploadfiles/3a1a04b1-34d8-1be6-991c-50315a879910" TargetMode="External"/><Relationship Id="rId2137" Type="http://schemas.openxmlformats.org/officeDocument/2006/relationships/hyperlink" Target="https://app-web.statementrec.com/app#appuploadfiles/3a1a04d7-5293-a0c4-d0c4-8cfc0c47f575" TargetMode="External"/><Relationship Id="rId2138" Type="http://schemas.openxmlformats.org/officeDocument/2006/relationships/hyperlink" Target="https://app-web.statementrec.com/app#appuploadfiles/3a1a04f5-faf5-fd86-aab5-86d1c2a19794" TargetMode="External"/><Relationship Id="rId2139" Type="http://schemas.openxmlformats.org/officeDocument/2006/relationships/hyperlink" Target="https://app-web.statementrec.com/app#appuploadfiles/3a1a0731-532d-2601-b358-9e737fba3ccc" TargetMode="External"/><Relationship Id="rId2140" Type="http://schemas.openxmlformats.org/officeDocument/2006/relationships/hyperlink" Target="https://app-web.statementrec.com/app#appuploadfiles/3a1a09ac-b501-e462-0e1e-e1cd3015bd68" TargetMode="External"/><Relationship Id="rId2141" Type="http://schemas.openxmlformats.org/officeDocument/2006/relationships/hyperlink" Target="https://app-web.statementrec.com/app#appuploadfiles/3a1a09b6-28ea-946a-ef78-5d712926bd53" TargetMode="External"/><Relationship Id="rId2142" Type="http://schemas.openxmlformats.org/officeDocument/2006/relationships/hyperlink" Target="https://app-web.statementrec.com/app#appuploadfiles/3a1a09c7-0dfa-b995-c340-0f6fd93d7979" TargetMode="External"/><Relationship Id="rId2143" Type="http://schemas.openxmlformats.org/officeDocument/2006/relationships/hyperlink" Target="https://app-web.statementrec.com/app#appuploadfiles/3a1a0a02-e1b6-ba99-9742-3f1ef1d96ef7" TargetMode="External"/><Relationship Id="rId2144" Type="http://schemas.openxmlformats.org/officeDocument/2006/relationships/hyperlink" Target="https://app-web.statementrec.com/app#appuploadfiles/3a1a0a5c-9703-b512-6bdb-2c1dd6cd20ba" TargetMode="External"/><Relationship Id="rId2145" Type="http://schemas.openxmlformats.org/officeDocument/2006/relationships/hyperlink" Target="https://app-web.statementrec.com/app#appuploadfiles/3a1a0cbb-5037-ec5a-5570-98e6e1599743" TargetMode="External"/><Relationship Id="rId2146" Type="http://schemas.openxmlformats.org/officeDocument/2006/relationships/hyperlink" Target="https://app-web.statementrec.com/app#appuploadfiles/3a1a0ecb-800d-4638-09b9-d21829786004" TargetMode="External"/><Relationship Id="rId2147" Type="http://schemas.openxmlformats.org/officeDocument/2006/relationships/hyperlink" Target="https://app-web.statementrec.com/app#appuploadfiles/3a1a0ee5-c82d-f7e9-39b2-0b29eb730c54" TargetMode="External"/><Relationship Id="rId2148" Type="http://schemas.openxmlformats.org/officeDocument/2006/relationships/hyperlink" Target="https://app-web.statementrec.com/app#appuploadfiles/3a1a1008-bd10-d2fc-3c67-df4fcc987d5c" TargetMode="External"/><Relationship Id="rId2149" Type="http://schemas.openxmlformats.org/officeDocument/2006/relationships/hyperlink" Target="https://app-web.statementrec.com/app#appuploadfiles/3a1a1060-5450-3e43-e704-98609cf05b33" TargetMode="External"/><Relationship Id="rId2150" Type="http://schemas.openxmlformats.org/officeDocument/2006/relationships/hyperlink" Target="https://app-web.statementrec.com/app#appuploadfiles/3a1a1115-8ceb-543e-99bb-1d11076513d8" TargetMode="External"/><Relationship Id="rId2151" Type="http://schemas.openxmlformats.org/officeDocument/2006/relationships/hyperlink" Target="https://app-web.statementrec.com/app#appuploadfiles/3a1a141e-d62f-91ec-d3fb-1675707e225f" TargetMode="External"/><Relationship Id="rId2152" Type="http://schemas.openxmlformats.org/officeDocument/2006/relationships/hyperlink" Target="https://app-web.statementrec.com/app#appuploadfiles/3a1a1ddc-592d-d1ac-1cbe-43a427b7a2e4" TargetMode="External"/><Relationship Id="rId2153" Type="http://schemas.openxmlformats.org/officeDocument/2006/relationships/hyperlink" Target="https://app-web.statementrec.com/app#appuploadfiles/3a1a20c4-c97c-638d-2d02-065d2e1f9b81" TargetMode="External"/><Relationship Id="rId2154" Type="http://schemas.openxmlformats.org/officeDocument/2006/relationships/hyperlink" Target="https://app-web.statementrec.com/app#appuploadfiles/3a1a22f8-a12a-7545-f034-a5de158b30fd" TargetMode="External"/><Relationship Id="rId2155" Type="http://schemas.openxmlformats.org/officeDocument/2006/relationships/hyperlink" Target="https://app-web.statementrec.com/app#appuploadfiles/3a1a2365-2586-7ec7-8eb8-519a6e9dc5d6" TargetMode="External"/><Relationship Id="rId2156" Type="http://schemas.openxmlformats.org/officeDocument/2006/relationships/hyperlink" Target="https://app-web.statementrec.com/app#appuploadfiles/3a1a2383-7c44-2bff-f62d-a21a3f06982e" TargetMode="External"/><Relationship Id="rId2157" Type="http://schemas.openxmlformats.org/officeDocument/2006/relationships/hyperlink" Target="https://app-web.statementrec.com/app#appuploadfiles/3a1a23b3-5d08-86c0-7c89-f2a4ceed5d76" TargetMode="External"/><Relationship Id="rId2158" Type="http://schemas.openxmlformats.org/officeDocument/2006/relationships/hyperlink" Target="https://app-web.statementrec.com/app#appuploadfiles/3a1a2421-5d75-e30e-0c7c-2b6e151b21da" TargetMode="External"/><Relationship Id="rId2159" Type="http://schemas.openxmlformats.org/officeDocument/2006/relationships/hyperlink" Target="https://app-web.statementrec.com/app#appuploadfiles/3a1a244f-ee60-1052-a681-8f9d64aefba4" TargetMode="External"/><Relationship Id="rId2160" Type="http://schemas.openxmlformats.org/officeDocument/2006/relationships/hyperlink" Target="https://app-web.statementrec.com/app#appuploadfiles/3a1a247c-0733-1495-0c02-8ca97cc81672" TargetMode="External"/><Relationship Id="rId2161" Type="http://schemas.openxmlformats.org/officeDocument/2006/relationships/hyperlink" Target="https://app-web.statementrec.com/app#appuploadfiles/3a1a249d-6a13-45b2-0d24-2b28ee29ad6e" TargetMode="External"/><Relationship Id="rId2162" Type="http://schemas.openxmlformats.org/officeDocument/2006/relationships/hyperlink" Target="https://app-web.statementrec.com/app#appuploadfiles/3a1a25d6-9deb-7ce6-2713-7b035706cb33" TargetMode="External"/><Relationship Id="rId2163" Type="http://schemas.openxmlformats.org/officeDocument/2006/relationships/hyperlink" Target="https://app-web.statementrec.com/app#appuploadfiles/3a1a284f-f863-e46e-16f9-265d914ad18c" TargetMode="External"/><Relationship Id="rId2164" Type="http://schemas.openxmlformats.org/officeDocument/2006/relationships/hyperlink" Target="https://app-web.statementrec.com/app#appuploadfiles/3a1a285c-3399-2177-38ed-7ef13f7fbbd5" TargetMode="External"/><Relationship Id="rId2165" Type="http://schemas.openxmlformats.org/officeDocument/2006/relationships/hyperlink" Target="https://app-web.statementrec.com/app#appuploadfiles/3a1a2875-6425-a130-15d7-b7f6f410bcff" TargetMode="External"/><Relationship Id="rId2166" Type="http://schemas.openxmlformats.org/officeDocument/2006/relationships/hyperlink" Target="https://app-web.statementrec.com/app#appuploadfiles/3a1a29b8-52c1-5a45-3a50-a90e6db7e5b6" TargetMode="External"/><Relationship Id="rId2167" Type="http://schemas.openxmlformats.org/officeDocument/2006/relationships/hyperlink" Target="https://app-web.statementrec.com/app#appuploadfiles/3a1a29b9-f4c9-2381-d81d-0b67fd94a5c6" TargetMode="External"/><Relationship Id="rId2168" Type="http://schemas.openxmlformats.org/officeDocument/2006/relationships/hyperlink" Target="https://app-web.statementrec.com/app#appuploadfiles/3a1a2eb9-8c02-a059-e1b6-215041d087e4" TargetMode="External"/><Relationship Id="rId2169" Type="http://schemas.openxmlformats.org/officeDocument/2006/relationships/hyperlink" Target="https://app-web.statementrec.com/app#appuploadfiles/3a1a2f0b-3783-49f3-1269-57b3aa1c1d01" TargetMode="External"/><Relationship Id="rId2170" Type="http://schemas.openxmlformats.org/officeDocument/2006/relationships/hyperlink" Target="https://app-web.statementrec.com/app#appuploadfiles/3a1a2f16-c272-9125-e2c6-48b35ab1626d" TargetMode="External"/><Relationship Id="rId2171" Type="http://schemas.openxmlformats.org/officeDocument/2006/relationships/hyperlink" Target="https://app-web.statementrec.com/app#appuploadfiles/3a1a3248-97d3-4e57-5f0d-9191c732b4d0" TargetMode="External"/><Relationship Id="rId2172" Type="http://schemas.openxmlformats.org/officeDocument/2006/relationships/hyperlink" Target="https://app-web.statementrec.com/app#appuploadfiles/3a1a3272-ce78-b473-1a81-6c956118a4ff" TargetMode="External"/><Relationship Id="rId2173" Type="http://schemas.openxmlformats.org/officeDocument/2006/relationships/hyperlink" Target="https://app-web.statementrec.com/app#appuploadfiles/3a1a32b5-0416-066b-9503-6b25507463c7" TargetMode="External"/><Relationship Id="rId2174" Type="http://schemas.openxmlformats.org/officeDocument/2006/relationships/hyperlink" Target="https://app-web.statementrec.com/app#appuploadfiles/3a1a32fe-d6a9-b6cd-bba2-f19b5abb813c" TargetMode="External"/><Relationship Id="rId2175" Type="http://schemas.openxmlformats.org/officeDocument/2006/relationships/hyperlink" Target="https://app-web.statementrec.com/app#appuploadfiles/3a1a33a4-bf35-6237-cda0-9e2b45627b79" TargetMode="External"/><Relationship Id="rId2176" Type="http://schemas.openxmlformats.org/officeDocument/2006/relationships/hyperlink" Target="https://app-web.statementrec.com/app#appuploadfiles/3a1a33da-53de-642e-f85c-280a603f1b57" TargetMode="External"/><Relationship Id="rId2177" Type="http://schemas.openxmlformats.org/officeDocument/2006/relationships/hyperlink" Target="https://app-web.statementrec.com/app#appuploadfiles/3a1a33da-b308-59da-40d6-11ae8b68fe9d" TargetMode="External"/><Relationship Id="rId2178" Type="http://schemas.openxmlformats.org/officeDocument/2006/relationships/hyperlink" Target="https://app-web.statementrec.com/app#appuploadfiles/3a1a422f-cef1-e398-d718-94b147e2e099" TargetMode="External"/><Relationship Id="rId2179" Type="http://schemas.openxmlformats.org/officeDocument/2006/relationships/hyperlink" Target="https://app-web.statementrec.com/app#appuploadfiles/3a1a42f2-d3e2-f4ee-8424-f64029af0504" TargetMode="External"/><Relationship Id="rId2180" Type="http://schemas.openxmlformats.org/officeDocument/2006/relationships/hyperlink" Target="https://app-web.statementrec.com/app#appuploadfiles/3a1a4343-e9c9-d680-f18b-da2530359fdf" TargetMode="External"/><Relationship Id="rId2181" Type="http://schemas.openxmlformats.org/officeDocument/2006/relationships/hyperlink" Target="https://app-web.statementrec.com/app#appuploadfiles/3a1a46e6-1abb-676f-a295-0b82637052d4" TargetMode="External"/><Relationship Id="rId2182" Type="http://schemas.openxmlformats.org/officeDocument/2006/relationships/hyperlink" Target="https://app-web.statementrec.com/app#appuploadfiles/3a1a47cd-218e-1514-c711-64a07cbbac30" TargetMode="External"/><Relationship Id="rId2183" Type="http://schemas.openxmlformats.org/officeDocument/2006/relationships/hyperlink" Target="https://app-web.statementrec.com/app#appuploadfiles/3a1a48a6-e30b-0b95-cf6b-d5f2769ce44d" TargetMode="External"/><Relationship Id="rId2184" Type="http://schemas.openxmlformats.org/officeDocument/2006/relationships/hyperlink" Target="https://app-web.statementrec.com/app#appuploadfiles/3a1a499a-1bc5-a9e3-1291-a466bc67ef2d" TargetMode="External"/><Relationship Id="rId2185" Type="http://schemas.openxmlformats.org/officeDocument/2006/relationships/hyperlink" Target="https://app-web.statementrec.com/app#appuploadfiles/3a1a4e77-9092-ac34-5921-41bf11c0ccc7" TargetMode="External"/><Relationship Id="rId2186" Type="http://schemas.openxmlformats.org/officeDocument/2006/relationships/hyperlink" Target="https://app-web.statementrec.com/app#appuploadfiles/3a1a4eca-4bef-0109-bfbd-3baa669f3392" TargetMode="External"/><Relationship Id="rId2187" Type="http://schemas.openxmlformats.org/officeDocument/2006/relationships/hyperlink" Target="https://app-web.statementrec.com/app#appuploadfiles/3a1a4ecf-cf33-261e-69ab-33c83d50117e" TargetMode="External"/><Relationship Id="rId2188" Type="http://schemas.openxmlformats.org/officeDocument/2006/relationships/hyperlink" Target="https://app-web.statementrec.com/app#appuploadfiles/3a1a5195-ce59-627e-83ae-5080e0c6c5a1" TargetMode="External"/><Relationship Id="rId2189" Type="http://schemas.openxmlformats.org/officeDocument/2006/relationships/hyperlink" Target="https://app-web.statementrec.com/app#appuploadfiles/3a1a5288-3dc5-e298-666e-6e6c45fad896" TargetMode="External"/><Relationship Id="rId2190" Type="http://schemas.openxmlformats.org/officeDocument/2006/relationships/hyperlink" Target="https://app-web.statementrec.com/app#appuploadfiles/3a1a528e-61ec-1954-adb3-43bf5021a731" TargetMode="External"/><Relationship Id="rId2191" Type="http://schemas.openxmlformats.org/officeDocument/2006/relationships/hyperlink" Target="https://app-web.statementrec.com/app#appuploadfiles/3a1a52aa-7135-5e38-10ec-5297d5648044" TargetMode="External"/><Relationship Id="rId2192" Type="http://schemas.openxmlformats.org/officeDocument/2006/relationships/hyperlink" Target="https://app-web.statementrec.com/app#appuploadfiles/3a1a52ca-3b6f-dd21-e7bb-cd7109ddb1f7" TargetMode="External"/><Relationship Id="rId2193" Type="http://schemas.openxmlformats.org/officeDocument/2006/relationships/hyperlink" Target="https://app-web.statementrec.com/app#appuploadfiles/3a1a5313-6e9e-97ac-98f1-7bdbaa73b2a6" TargetMode="External"/><Relationship Id="rId2194" Type="http://schemas.openxmlformats.org/officeDocument/2006/relationships/hyperlink" Target="https://app-web.statementrec.com/app#appuploadfiles/3a1a57fd-d852-ade1-fa8b-95a3b8415347" TargetMode="External"/><Relationship Id="rId2195" Type="http://schemas.openxmlformats.org/officeDocument/2006/relationships/hyperlink" Target="https://app-web.statementrec.com/app#appuploadfiles/3a1a67e2-71d6-d6d2-ab50-4de028636969" TargetMode="External"/><Relationship Id="rId2196" Type="http://schemas.openxmlformats.org/officeDocument/2006/relationships/hyperlink" Target="https://app-web.statementrec.com/app#appuploadfiles/3a1a6833-5ec2-e6f7-3917-d5bca4327a66" TargetMode="External"/><Relationship Id="rId2197" Type="http://schemas.openxmlformats.org/officeDocument/2006/relationships/hyperlink" Target="https://app-web.statementrec.com/app#appuploadfiles/3a1a6bf6-777a-3f8d-8e9a-a7524b1eb503" TargetMode="External"/><Relationship Id="rId2198" Type="http://schemas.openxmlformats.org/officeDocument/2006/relationships/hyperlink" Target="https://app-web.statementrec.com/app#appuploadfiles/3a1a6df3-eb35-3e30-94c2-a43496c9d627" TargetMode="External"/><Relationship Id="rId2199" Type="http://schemas.openxmlformats.org/officeDocument/2006/relationships/hyperlink" Target="https://app-web.statementrec.com/app#appuploadfiles/3a1a6f3e-b1e8-dfe0-3b42-cbe52c792376" TargetMode="External"/><Relationship Id="rId2200" Type="http://schemas.openxmlformats.org/officeDocument/2006/relationships/hyperlink" Target="https://app-web.statementrec.com/app#appuploadfiles/3a1a7026-bc18-b63c-6a89-5ee211aaf862" TargetMode="External"/><Relationship Id="rId2201" Type="http://schemas.openxmlformats.org/officeDocument/2006/relationships/hyperlink" Target="https://app-web.statementrec.com/app#appuploadfiles/3a1a7028-d16e-d237-a0be-284ff56f9f5c" TargetMode="External"/><Relationship Id="rId2202" Type="http://schemas.openxmlformats.org/officeDocument/2006/relationships/hyperlink" Target="https://app-web.statementrec.com/app#appuploadfiles/3a1a7166-8f4a-cc04-efcb-691406178328" TargetMode="External"/><Relationship Id="rId2203" Type="http://schemas.openxmlformats.org/officeDocument/2006/relationships/hyperlink" Target="https://app-web.statementrec.com/app#appuploadfiles/3a1a719b-8403-9189-7094-80c17c421c72" TargetMode="External"/><Relationship Id="rId2204" Type="http://schemas.openxmlformats.org/officeDocument/2006/relationships/hyperlink" Target="https://app-web.statementrec.com/app#appuploadfiles/3a1a7432-187b-3ac7-b756-d2557241a159" TargetMode="External"/><Relationship Id="rId2205" Type="http://schemas.openxmlformats.org/officeDocument/2006/relationships/hyperlink" Target="https://app-web.statementrec.com/app#appuploadfiles/3a1a7566-a3c5-38bf-64ae-950353257b79" TargetMode="External"/><Relationship Id="rId2206" Type="http://schemas.openxmlformats.org/officeDocument/2006/relationships/hyperlink" Target="https://app-web.statementrec.com/app#appuploadfiles/3a1a7a65-9ddd-1bae-f07b-93dd9c9ef060" TargetMode="External"/><Relationship Id="rId2207" Type="http://schemas.openxmlformats.org/officeDocument/2006/relationships/hyperlink" Target="https://app-web.statementrec.com/app#appuploadfiles/3a1a7ad4-2d8c-37b4-625a-7d0a0f71415b" TargetMode="External"/><Relationship Id="rId2208" Type="http://schemas.openxmlformats.org/officeDocument/2006/relationships/hyperlink" Target="https://app-web.statementrec.com/app#appuploadfiles/3a1a7b36-e838-0575-26d2-b21f0a445bbb" TargetMode="External"/><Relationship Id="rId2209" Type="http://schemas.openxmlformats.org/officeDocument/2006/relationships/hyperlink" Target="https://app-web.statementrec.com/app#appuploadfiles/3a1a8a18-a524-c0de-293a-128e48775910" TargetMode="External"/><Relationship Id="rId2210" Type="http://schemas.openxmlformats.org/officeDocument/2006/relationships/hyperlink" Target="https://app-web.statementrec.com/app#appuploadfiles/3a1a8fee-4499-7b5f-d293-f9828d7aa8a0" TargetMode="External"/><Relationship Id="rId2211" Type="http://schemas.openxmlformats.org/officeDocument/2006/relationships/hyperlink" Target="https://app-web.statementrec.com/app#appuploadfiles/3a1a902a-d96e-7a62-561f-a0b34604578f" TargetMode="External"/><Relationship Id="rId2212" Type="http://schemas.openxmlformats.org/officeDocument/2006/relationships/hyperlink" Target="https://app-web.statementrec.com/app#appuploadfiles/3a1a9a16-de67-503f-9e28-615950f8f569" TargetMode="External"/><Relationship Id="rId2213" Type="http://schemas.openxmlformats.org/officeDocument/2006/relationships/hyperlink" Target="https://app-web.statementrec.com/app#appuploadfiles/3a1a9a7a-41e1-6bd9-5026-463c8714e594" TargetMode="External"/><Relationship Id="rId2214" Type="http://schemas.openxmlformats.org/officeDocument/2006/relationships/hyperlink" Target="https://app-web.statementrec.com/app#appuploadfiles/3a1a9eee-3c63-4ef0-eafb-b15bb8111462" TargetMode="External"/><Relationship Id="rId2215" Type="http://schemas.openxmlformats.org/officeDocument/2006/relationships/hyperlink" Target="https://app-web.statementrec.com/app#appuploadfiles/3a1a9fda-782e-d9c7-9689-fb5f91e88fc3" TargetMode="External"/><Relationship Id="rId2216" Type="http://schemas.openxmlformats.org/officeDocument/2006/relationships/hyperlink" Target="https://app-web.statementrec.com/app#appuploadfiles/3a1aa5e2-d3b6-7a98-35ed-937f843ec98a" TargetMode="External"/><Relationship Id="rId2217" Type="http://schemas.openxmlformats.org/officeDocument/2006/relationships/hyperlink" Target="https://app-web.statementrec.com/app#appuploadfiles/3a1aad06-96eb-56fe-8dfc-028f0d723f96" TargetMode="External"/><Relationship Id="rId2218" Type="http://schemas.openxmlformats.org/officeDocument/2006/relationships/hyperlink" Target="https://app-web.statementrec.com/app#appuploadfiles/3a1aadf5-24d6-400b-0966-d1a3efbadbc9" TargetMode="External"/><Relationship Id="rId2219" Type="http://schemas.openxmlformats.org/officeDocument/2006/relationships/hyperlink" Target="https://app-web.statementrec.com/app#appuploadfiles/3a1aae30-d982-5027-62c6-b34c5dc8c64f" TargetMode="External"/><Relationship Id="rId2220" Type="http://schemas.openxmlformats.org/officeDocument/2006/relationships/hyperlink" Target="https://app-web.statementrec.com/app#appuploadfiles/3a1ab358-672a-3fd2-da24-cfdacf5e27d0" TargetMode="External"/><Relationship Id="rId2221" Type="http://schemas.openxmlformats.org/officeDocument/2006/relationships/hyperlink" Target="https://app-web.statementrec.com/app#appuploadfiles/3a1ab35d-d603-0f62-aa5c-a40ca476451e" TargetMode="External"/><Relationship Id="rId2222" Type="http://schemas.openxmlformats.org/officeDocument/2006/relationships/hyperlink" Target="https://app-web.statementrec.com/app#appuploadfiles/3a1ab3af-2130-526a-5b23-69dfd63c721b" TargetMode="External"/><Relationship Id="rId2223" Type="http://schemas.openxmlformats.org/officeDocument/2006/relationships/hyperlink" Target="https://app-web.statementrec.com/app#appuploadfiles/3a1ab417-462e-dbda-310b-413c57b11c78" TargetMode="External"/><Relationship Id="rId2224" Type="http://schemas.openxmlformats.org/officeDocument/2006/relationships/hyperlink" Target="https://app-web.statementrec.com/app#appuploadfiles/3a1ab99e-646c-1570-b129-cc016d1a361a" TargetMode="External"/><Relationship Id="rId2225" Type="http://schemas.openxmlformats.org/officeDocument/2006/relationships/hyperlink" Target="https://app-web.statementrec.com/app#appuploadfiles/3a1abadb-bc7f-4beb-7262-11afc77c1772" TargetMode="External"/><Relationship Id="rId2226" Type="http://schemas.openxmlformats.org/officeDocument/2006/relationships/hyperlink" Target="https://app-web.statementrec.com/app#appuploadfiles/3a1abd75-662a-d821-c445-b4e5f8a8b2a4" TargetMode="External"/><Relationship Id="rId2227" Type="http://schemas.openxmlformats.org/officeDocument/2006/relationships/hyperlink" Target="https://app-web.statementrec.com/app#appuploadfiles/3a1abeb3-adba-07ae-39f6-31407a991664" TargetMode="External"/><Relationship Id="rId2228" Type="http://schemas.openxmlformats.org/officeDocument/2006/relationships/hyperlink" Target="https://app-web.statementrec.com/app#appuploadfiles/3a1ac294-dabd-124e-4b16-e4595f061caf" TargetMode="External"/><Relationship Id="rId2229" Type="http://schemas.openxmlformats.org/officeDocument/2006/relationships/hyperlink" Target="https://app-web.statementrec.com/app#appuploadfiles/3a1ac8db-5ee3-298e-ae6f-1a44d8c9b3ec" TargetMode="External"/><Relationship Id="rId2230" Type="http://schemas.openxmlformats.org/officeDocument/2006/relationships/hyperlink" Target="https://app-web.statementrec.com/app#appuploadfiles/3a1ad367-b221-92dc-d379-cff83093899f" TargetMode="External"/><Relationship Id="rId2231" Type="http://schemas.openxmlformats.org/officeDocument/2006/relationships/hyperlink" Target="https://app-web.statementrec.com/app#appuploadfiles/3a1ad873-dbaa-e161-b277-431ae81638d3" TargetMode="External"/><Relationship Id="rId2232" Type="http://schemas.openxmlformats.org/officeDocument/2006/relationships/hyperlink" Target="https://app-web.statementrec.com/app#appuploadfiles/3a1adcda-dc0d-9d25-b3a5-823e894fa611" TargetMode="External"/><Relationship Id="rId2233" Type="http://schemas.openxmlformats.org/officeDocument/2006/relationships/hyperlink" Target="https://app-web.statementrec.com/app#appuploadfiles/3a1add83-7e02-72bf-04d3-9858a88e342b" TargetMode="External"/><Relationship Id="rId2234" Type="http://schemas.openxmlformats.org/officeDocument/2006/relationships/hyperlink" Target="https://app-web.statementrec.com/app#appuploadfiles/3a1ae19c-ed41-a5a3-d104-ea5cf9386270" TargetMode="External"/><Relationship Id="rId2235" Type="http://schemas.openxmlformats.org/officeDocument/2006/relationships/hyperlink" Target="https://app-web.statementrec.com/app#appuploadfiles/3a1ae27c-40ae-1754-3bea-c8c3c356bbe0" TargetMode="External"/><Relationship Id="rId2236" Type="http://schemas.openxmlformats.org/officeDocument/2006/relationships/hyperlink" Target="https://app-web.statementrec.com/app#appuploadfiles/3a1ae2b9-21a9-2afa-1698-57e500706e6b" TargetMode="External"/><Relationship Id="rId2237" Type="http://schemas.openxmlformats.org/officeDocument/2006/relationships/hyperlink" Target="https://app-web.statementrec.com/app#appuploadfiles/3a1ae327-4a44-04b8-b905-f9af4ff3d961" TargetMode="External"/><Relationship Id="rId2238" Type="http://schemas.openxmlformats.org/officeDocument/2006/relationships/hyperlink" Target="https://app-web.statementrec.com/app#appuploadfiles/3a1ae471-5c1f-cbdf-d391-386260cabd6e" TargetMode="External"/><Relationship Id="rId2239" Type="http://schemas.openxmlformats.org/officeDocument/2006/relationships/hyperlink" Target="https://app-web.statementrec.com/app#appuploadfiles/3a1ae6a8-ac8a-aab6-dc02-9d812575e736" TargetMode="External"/><Relationship Id="rId2240" Type="http://schemas.openxmlformats.org/officeDocument/2006/relationships/hyperlink" Target="https://app-web.statementrec.com/app#appuploadfiles/3a1ae6aa-7edb-b6e3-ddc4-d0409447ba81" TargetMode="External"/><Relationship Id="rId2241" Type="http://schemas.openxmlformats.org/officeDocument/2006/relationships/hyperlink" Target="https://app-web.statementrec.com/app#appuploadfiles/3a1ae6d7-4538-ca46-8725-41ad9b681566" TargetMode="External"/><Relationship Id="rId2242" Type="http://schemas.openxmlformats.org/officeDocument/2006/relationships/hyperlink" Target="https://app-web.statementrec.com/app#appuploadfiles/3a1ae6ec-d15f-f100-0538-2244d89ad319" TargetMode="External"/><Relationship Id="rId2243" Type="http://schemas.openxmlformats.org/officeDocument/2006/relationships/hyperlink" Target="https://app-web.statementrec.com/app#appuploadfiles/3a1ae7a2-391f-e1c1-bb29-9e80d215f009" TargetMode="External"/><Relationship Id="rId2244" Type="http://schemas.openxmlformats.org/officeDocument/2006/relationships/hyperlink" Target="https://app-web.statementrec.com/app#appuploadfiles/3a1ae81a-cf51-2120-29d7-89b3d77bb872" TargetMode="External"/><Relationship Id="rId2245" Type="http://schemas.openxmlformats.org/officeDocument/2006/relationships/hyperlink" Target="https://app-web.statementrec.com/app#appuploadfiles/3a1ae855-a1df-9be0-3458-ab6df964dd90" TargetMode="External"/><Relationship Id="rId2246" Type="http://schemas.openxmlformats.org/officeDocument/2006/relationships/hyperlink" Target="https://app-web.statementrec.com/app#appuploadfiles/3a1af198-7d8c-f967-f001-5d65d8855d69" TargetMode="External"/><Relationship Id="rId2247" Type="http://schemas.openxmlformats.org/officeDocument/2006/relationships/hyperlink" Target="https://app-web.statementrec.com/app#appuploadfiles/3a1af6a1-e5d3-dc3d-2473-ff9e4e788386" TargetMode="External"/><Relationship Id="rId2248" Type="http://schemas.openxmlformats.org/officeDocument/2006/relationships/hyperlink" Target="https://app-web.statementrec.com/app#appuploadfiles/3a1af6e2-9504-891e-0076-e9f5f4d5ae5f" TargetMode="External"/><Relationship Id="rId2249" Type="http://schemas.openxmlformats.org/officeDocument/2006/relationships/hyperlink" Target="https://app-web.statementrec.com/app#appuploadfiles/3a1afb5b-a416-9323-6914-502bb825d83a" TargetMode="External"/><Relationship Id="rId2250" Type="http://schemas.openxmlformats.org/officeDocument/2006/relationships/hyperlink" Target="https://app-web.statementrec.com/app#appuploadfiles/3a1afbec-0ad7-c13d-c51e-c97b21703569" TargetMode="External"/><Relationship Id="rId2251" Type="http://schemas.openxmlformats.org/officeDocument/2006/relationships/hyperlink" Target="https://app-web.statementrec.com/app#appuploadfiles/3a1afbfe-d353-2c0e-9406-28961d4d0683" TargetMode="External"/><Relationship Id="rId2252" Type="http://schemas.openxmlformats.org/officeDocument/2006/relationships/hyperlink" Target="https://app-web.statementrec.com/app#appuploadfiles/3a1afcc8-4574-11a3-a035-35947fa02dc4" TargetMode="External"/><Relationship Id="rId2253" Type="http://schemas.openxmlformats.org/officeDocument/2006/relationships/hyperlink" Target="https://app-web.statementrec.com/app#appuploadfiles/3a1afe0e-5f28-35c7-9f59-23bd96e541ca" TargetMode="External"/><Relationship Id="rId2254" Type="http://schemas.openxmlformats.org/officeDocument/2006/relationships/hyperlink" Target="https://app-web.statementrec.com/app#appuploadfiles/3a1b0028-d7de-a9d0-1520-9e1f0a2b16ae" TargetMode="External"/><Relationship Id="rId2255" Type="http://schemas.openxmlformats.org/officeDocument/2006/relationships/hyperlink" Target="https://app-web.statementrec.com/app#appuploadfiles/3a1b00e4-3970-c520-f065-68c3db70d7b2" TargetMode="External"/><Relationship Id="rId2256" Type="http://schemas.openxmlformats.org/officeDocument/2006/relationships/hyperlink" Target="https://app-web.statementrec.com/app#appuploadfiles/3a1b0204-905f-a61e-d87a-9e2982d5c2e2" TargetMode="External"/><Relationship Id="rId2257" Type="http://schemas.openxmlformats.org/officeDocument/2006/relationships/hyperlink" Target="https://app-web.statementrec.com/app#appuploadfiles/3a1b0212-032c-81e4-a080-289b09d0b4c8" TargetMode="External"/><Relationship Id="rId2258" Type="http://schemas.openxmlformats.org/officeDocument/2006/relationships/hyperlink" Target="https://app-web.statementrec.com/app#appuploadfiles/3a1b0be3-5bcd-acff-5e07-19a89a01a4e8" TargetMode="External"/><Relationship Id="rId2259" Type="http://schemas.openxmlformats.org/officeDocument/2006/relationships/hyperlink" Target="https://app-web.statementrec.com/app#appuploadfiles/3a1b19fa-704a-fbff-9797-09d68a08a238" TargetMode="External"/><Relationship Id="rId2260" Type="http://schemas.openxmlformats.org/officeDocument/2006/relationships/hyperlink" Target="https://app-web.statementrec.com/app#appuploadfiles/3a1b1b25-1ab3-0718-c994-8a911bd58685" TargetMode="External"/><Relationship Id="rId2261" Type="http://schemas.openxmlformats.org/officeDocument/2006/relationships/hyperlink" Target="https://app-web.statementrec.com/app#appuploadfiles/3a1b1c5b-f835-73cc-a573-3a8f2801f4b8" TargetMode="External"/><Relationship Id="rId2262" Type="http://schemas.openxmlformats.org/officeDocument/2006/relationships/hyperlink" Target="https://app-web.statementrec.com/app#appuploadfiles/3a1b1cc5-4de1-12aa-5bed-1123fb38abe5" TargetMode="External"/><Relationship Id="rId2263" Type="http://schemas.openxmlformats.org/officeDocument/2006/relationships/hyperlink" Target="https://app-web.statementrec.com/app#appuploadfiles/3a1b1f33-63d9-b1cf-165a-aef947e844b0" TargetMode="External"/><Relationship Id="rId2264" Type="http://schemas.openxmlformats.org/officeDocument/2006/relationships/hyperlink" Target="https://app-web.statementrec.com/app#appuploadfiles/3a1b1f97-01e7-6144-df15-60930915f459" TargetMode="External"/><Relationship Id="rId2265" Type="http://schemas.openxmlformats.org/officeDocument/2006/relationships/hyperlink" Target="https://app-web.statementrec.com/app#appuploadfiles/3a1b208f-cd6d-f546-5729-bbd34c24b50e" TargetMode="External"/><Relationship Id="rId2266" Type="http://schemas.openxmlformats.org/officeDocument/2006/relationships/hyperlink" Target="https://app-web.statementrec.com/app#appuploadfiles/3a1b2090-2ed1-1cab-62f0-d8cb6cd1847f" TargetMode="External"/><Relationship Id="rId2267" Type="http://schemas.openxmlformats.org/officeDocument/2006/relationships/hyperlink" Target="https://app-web.statementrec.com/app#appuploadfiles/3a1b237f-37d7-4851-760a-a5b308273f81" TargetMode="External"/><Relationship Id="rId2268" Type="http://schemas.openxmlformats.org/officeDocument/2006/relationships/hyperlink" Target="https://app-web.statementrec.com/app#appuploadfiles/3a1b25b1-50b5-7604-0df5-e4096408023e" TargetMode="External"/><Relationship Id="rId2269" Type="http://schemas.openxmlformats.org/officeDocument/2006/relationships/hyperlink" Target="https://app-web.statementrec.com/app#appuploadfiles/3a1b2997-65d5-dcbe-45b7-759abc2a8442" TargetMode="External"/><Relationship Id="rId2270" Type="http://schemas.openxmlformats.org/officeDocument/2006/relationships/hyperlink" Target="https://app-web.statementrec.com/app#appuploadfiles/3a1b2a35-a230-a47d-2ee6-5b2ee957cde5" TargetMode="External"/><Relationship Id="rId2271" Type="http://schemas.openxmlformats.org/officeDocument/2006/relationships/hyperlink" Target="https://app-web.statementrec.com/app#appuploadfiles/3a1b2a5b-5d30-5b7c-76b6-49525a266ef2" TargetMode="External"/><Relationship Id="rId2272" Type="http://schemas.openxmlformats.org/officeDocument/2006/relationships/hyperlink" Target="https://app-web.statementrec.com/app#appuploadfiles/3a1b2a5f-de65-4784-8130-9e7c08af1d48" TargetMode="External"/><Relationship Id="rId2273" Type="http://schemas.openxmlformats.org/officeDocument/2006/relationships/hyperlink" Target="https://app-web.statementrec.com/app#appuploadfiles/3a1b2abc-5be4-18a1-8428-43020fc5b263" TargetMode="External"/><Relationship Id="rId2274" Type="http://schemas.openxmlformats.org/officeDocument/2006/relationships/hyperlink" Target="https://app-web.statementrec.com/app#appuploadfiles/3a1b2b2e-e836-f6e0-3883-d5ee007f0ee0" TargetMode="External"/><Relationship Id="rId2275" Type="http://schemas.openxmlformats.org/officeDocument/2006/relationships/hyperlink" Target="https://app-web.statementrec.com/app#appuploadfiles/3a1b2ee6-8ce0-f026-032b-501df792d6b2" TargetMode="External"/><Relationship Id="rId2276" Type="http://schemas.openxmlformats.org/officeDocument/2006/relationships/hyperlink" Target="https://app-web.statementrec.com/app#appuploadfiles/3a1b3024-11e8-31d0-4386-3debea4491e5" TargetMode="External"/><Relationship Id="rId2277" Type="http://schemas.openxmlformats.org/officeDocument/2006/relationships/hyperlink" Target="https://app-web.statementrec.com/app#appuploadfiles/3a1b3ede-4a98-6987-5385-42081e052122" TargetMode="External"/><Relationship Id="rId2278" Type="http://schemas.openxmlformats.org/officeDocument/2006/relationships/hyperlink" Target="https://app-web.statementrec.com/app#appuploadfiles/3a1b3f15-3031-9939-7e04-09bc41ccf53f" TargetMode="External"/><Relationship Id="rId2279" Type="http://schemas.openxmlformats.org/officeDocument/2006/relationships/hyperlink" Target="https://app-web.statementrec.com/app#appuploadfiles/3a1b3f79-6ee7-4c89-70a4-3475f9ed6b63" TargetMode="External"/><Relationship Id="rId2280" Type="http://schemas.openxmlformats.org/officeDocument/2006/relationships/hyperlink" Target="https://app-web.statementrec.com/app#appuploadfiles/3a1b4386-517f-1346-b102-1bca5dc23c06" TargetMode="External"/><Relationship Id="rId2281" Type="http://schemas.openxmlformats.org/officeDocument/2006/relationships/hyperlink" Target="https://app-web.statementrec.com/app#appuploadfiles/3a1b43aa-2aeb-a111-b4c3-911905568768" TargetMode="External"/><Relationship Id="rId2282" Type="http://schemas.openxmlformats.org/officeDocument/2006/relationships/hyperlink" Target="https://app-web.statementrec.com/app#appuploadfiles/3a1b442f-55d1-6ade-91ea-e4cb6a1c8371" TargetMode="External"/><Relationship Id="rId2283" Type="http://schemas.openxmlformats.org/officeDocument/2006/relationships/hyperlink" Target="https://app-web.statementrec.com/app#appuploadfiles/3a1b44a9-f037-5fe1-3cef-b26fa8ed3da4" TargetMode="External"/><Relationship Id="rId2284" Type="http://schemas.openxmlformats.org/officeDocument/2006/relationships/hyperlink" Target="https://app-web.statementrec.com/app#appuploadfiles/3a1b4956-0add-bf98-1bb3-f23a154949fb" TargetMode="External"/><Relationship Id="rId2285" Type="http://schemas.openxmlformats.org/officeDocument/2006/relationships/hyperlink" Target="https://app-web.statementrec.com/app#appuploadfiles/3a1b49f4-3e7b-56b9-c329-5cf3819d2251" TargetMode="External"/><Relationship Id="rId2286" Type="http://schemas.openxmlformats.org/officeDocument/2006/relationships/hyperlink" Target="https://app-web.statementrec.com/app#appuploadfiles/3a1b4d4c-55bb-a812-ac22-d04ca529ccf4" TargetMode="External"/><Relationship Id="rId2287" Type="http://schemas.openxmlformats.org/officeDocument/2006/relationships/hyperlink" Target="https://app-web.statementrec.com/app#appuploadfiles/3a1b52a2-e8f2-d38f-9d96-84622731e152" TargetMode="External"/><Relationship Id="rId2288" Type="http://schemas.openxmlformats.org/officeDocument/2006/relationships/hyperlink" Target="https://app-web.statementrec.com/app#appuploadfiles/3a1b53b9-c545-0daa-db69-17f23f99f5c7" TargetMode="External"/><Relationship Id="rId2289" Type="http://schemas.openxmlformats.org/officeDocument/2006/relationships/hyperlink" Target="https://app-web.statementrec.com/app#appuploadfiles/3a1b5400-5331-2300-c806-c5cf62cf2e2b" TargetMode="External"/><Relationship Id="rId2290" Type="http://schemas.openxmlformats.org/officeDocument/2006/relationships/hyperlink" Target="https://app-web.statementrec.com/app#appuploadfiles/3a1b5447-92e1-4f78-8d60-9c41fc9dcbcb" TargetMode="External"/><Relationship Id="rId2291" Type="http://schemas.openxmlformats.org/officeDocument/2006/relationships/hyperlink" Target="https://app-web.statementrec.com/app#appuploadfiles/3a1b5524-e336-df4c-3660-13bc5162436b" TargetMode="External"/><Relationship Id="rId2292" Type="http://schemas.openxmlformats.org/officeDocument/2006/relationships/hyperlink" Target="https://app-web.statementrec.com/app#appuploadfiles/3a1b552c-ee3a-74dc-990c-4b8489dfaf9a" TargetMode="External"/><Relationship Id="rId2293" Type="http://schemas.openxmlformats.org/officeDocument/2006/relationships/hyperlink" Target="https://app-web.statementrec.com/app#appuploadfiles/3a1b5543-478c-da1e-7316-499718440484" TargetMode="External"/><Relationship Id="rId2294" Type="http://schemas.openxmlformats.org/officeDocument/2006/relationships/hyperlink" Target="https://app-web.statementrec.com/app#appuploadfiles/3a1b6273-d61e-4170-8996-14ff5c318c6b" TargetMode="External"/><Relationship Id="rId2295" Type="http://schemas.openxmlformats.org/officeDocument/2006/relationships/hyperlink" Target="https://app-web.statementrec.com/app#appuploadfiles/3a1b6453-4793-da0c-6690-8220c6c9d333" TargetMode="External"/><Relationship Id="rId2296" Type="http://schemas.openxmlformats.org/officeDocument/2006/relationships/hyperlink" Target="https://app-web.statementrec.com/app#appuploadfiles/3a1b681e-b36d-22af-846e-f8bf896c304d" TargetMode="External"/><Relationship Id="rId2297" Type="http://schemas.openxmlformats.org/officeDocument/2006/relationships/hyperlink" Target="https://app-web.statementrec.com/app#appuploadfiles/3a1b6c99-90b7-7611-46c2-fd290e8c671b" TargetMode="External"/><Relationship Id="rId2298" Type="http://schemas.openxmlformats.org/officeDocument/2006/relationships/hyperlink" Target="https://app-web.statementrec.com/app#appuploadfiles/3a1b777c-dcae-62e6-17e4-4d7d80ee6889" TargetMode="External"/><Relationship Id="rId2299" Type="http://schemas.openxmlformats.org/officeDocument/2006/relationships/hyperlink" Target="https://app-web.statementrec.com/app#appuploadfiles/3a1b8683-e1f6-9a48-b82c-a2eac176b270" TargetMode="External"/><Relationship Id="rId2300" Type="http://schemas.openxmlformats.org/officeDocument/2006/relationships/hyperlink" Target="https://app-web.statementrec.com/app#appuploadfiles/3a1b8683-e68d-54a2-9e45-c50f80279654" TargetMode="External"/><Relationship Id="rId2301" Type="http://schemas.openxmlformats.org/officeDocument/2006/relationships/hyperlink" Target="https://app-web.statementrec.com/app#appuploadfiles/3a1b86b5-7928-673d-56cb-de7c44010e0a" TargetMode="External"/><Relationship Id="rId2302" Type="http://schemas.openxmlformats.org/officeDocument/2006/relationships/hyperlink" Target="https://app-web.statementrec.com/app#appuploadfiles/3a1b877f-7962-2114-e9f6-65a7ebb63aba" TargetMode="External"/><Relationship Id="rId2303" Type="http://schemas.openxmlformats.org/officeDocument/2006/relationships/hyperlink" Target="https://app-web.statementrec.com/app#appuploadfiles/3a1b879b-4bc2-243f-4417-dd62dacd8ce3" TargetMode="External"/><Relationship Id="rId2304" Type="http://schemas.openxmlformats.org/officeDocument/2006/relationships/hyperlink" Target="https://app-web.statementrec.com/app#appuploadfiles/3a1b87d7-0fa2-a292-3908-490615a351d1" TargetMode="External"/><Relationship Id="rId2305" Type="http://schemas.openxmlformats.org/officeDocument/2006/relationships/hyperlink" Target="https://app-web.statementrec.com/app#appuploadfiles/3a1b8c00-7e5a-f131-28ef-f53312acfc8e" TargetMode="External"/><Relationship Id="rId2306" Type="http://schemas.openxmlformats.org/officeDocument/2006/relationships/hyperlink" Target="https://app-web.statementrec.com/app#appuploadfiles/3a1b8c68-ce02-c0f3-6d16-258bce8235ee" TargetMode="External"/><Relationship Id="rId2307" Type="http://schemas.openxmlformats.org/officeDocument/2006/relationships/hyperlink" Target="https://app-web.statementrec.com/app#appuploadfiles/3a1b8c9c-48b5-c0b8-e6d1-cbda492ef3b1" TargetMode="External"/><Relationship Id="rId2308" Type="http://schemas.openxmlformats.org/officeDocument/2006/relationships/hyperlink" Target="https://app-web.statementrec.com/app#appuploadfiles/3a1b8d15-4339-cd74-f299-76284ff35889" TargetMode="External"/><Relationship Id="rId2309" Type="http://schemas.openxmlformats.org/officeDocument/2006/relationships/hyperlink" Target="https://app-web.statementrec.com/app#appuploadfiles/3a1b90f2-3097-35ca-3636-578571296679" TargetMode="External"/><Relationship Id="rId2310" Type="http://schemas.openxmlformats.org/officeDocument/2006/relationships/hyperlink" Target="https://app-web.statementrec.com/app#appuploadfiles/3a1b9193-b029-0198-ce7d-d5c71e4b270b" TargetMode="External"/><Relationship Id="rId2311" Type="http://schemas.openxmlformats.org/officeDocument/2006/relationships/hyperlink" Target="https://app-web.statementrec.com/app#appuploadfiles/3a1b929b-82ba-741f-5567-3e54e63521f2" TargetMode="External"/><Relationship Id="rId2312" Type="http://schemas.openxmlformats.org/officeDocument/2006/relationships/hyperlink" Target="https://app-web.statementrec.com/app#appuploadfiles/3a1b94f8-f4b4-a07e-9393-ac68f65bf23d" TargetMode="External"/><Relationship Id="rId2313" Type="http://schemas.openxmlformats.org/officeDocument/2006/relationships/hyperlink" Target="https://app-web.statementrec.com/app#appuploadfiles/3a1b95c1-d752-10cb-aedf-7ee709bc066f" TargetMode="External"/><Relationship Id="rId2314" Type="http://schemas.openxmlformats.org/officeDocument/2006/relationships/hyperlink" Target="https://app-web.statementrec.com/app#appuploadfiles/3a1b95ca-e178-fb2e-9873-584cc6baf628" TargetMode="External"/><Relationship Id="rId2315" Type="http://schemas.openxmlformats.org/officeDocument/2006/relationships/hyperlink" Target="https://app-web.statementrec.com/app#appuploadfiles/3a1b9666-2a42-983e-d9bf-afc5550ff645" TargetMode="External"/><Relationship Id="rId2316" Type="http://schemas.openxmlformats.org/officeDocument/2006/relationships/hyperlink" Target="https://app-web.statementrec.com/app#appuploadfiles/3a1b96b9-5ee5-e8b9-845b-7d09489c65e2" TargetMode="External"/><Relationship Id="rId2317" Type="http://schemas.openxmlformats.org/officeDocument/2006/relationships/hyperlink" Target="https://app-web.statementrec.com/app#appuploadfiles/3a1b96c6-0634-44d6-35b6-27e19db19b83" TargetMode="External"/><Relationship Id="rId2318" Type="http://schemas.openxmlformats.org/officeDocument/2006/relationships/hyperlink" Target="https://app-web.statementrec.com/app#appuploadfiles/3a1b971d-34b0-ac39-5123-7622599f764c" TargetMode="External"/><Relationship Id="rId2319" Type="http://schemas.openxmlformats.org/officeDocument/2006/relationships/hyperlink" Target="https://app-web.statementrec.com/app#appuploadfiles/3a1b9bf7-1a11-07c1-d8c1-9540f8aa2d7f" TargetMode="External"/><Relationship Id="rId2320" Type="http://schemas.openxmlformats.org/officeDocument/2006/relationships/hyperlink" Target="https://app-web.statementrec.com/app#appuploadfiles/3a1b9d44-34a1-6f57-0881-e008f5662413" TargetMode="External"/><Relationship Id="rId2321" Type="http://schemas.openxmlformats.org/officeDocument/2006/relationships/hyperlink" Target="https://app-web.statementrec.com/app#appuploadfiles/3a1b9d4f-b6f6-300b-045e-f4c8b839429c" TargetMode="External"/><Relationship Id="rId2322" Type="http://schemas.openxmlformats.org/officeDocument/2006/relationships/hyperlink" Target="https://app-web.statementrec.com/app#appuploadfiles/3a1baab9-d50c-0a61-6230-39faa6208f8c" TargetMode="External"/><Relationship Id="rId2323" Type="http://schemas.openxmlformats.org/officeDocument/2006/relationships/hyperlink" Target="https://app-web.statementrec.com/app#appuploadfiles/3a1bab20-a2d6-17c0-e607-63f72934b824" TargetMode="External"/><Relationship Id="rId2324" Type="http://schemas.openxmlformats.org/officeDocument/2006/relationships/hyperlink" Target="https://app-web.statementrec.com/app#appuploadfiles/3a1babd2-dfb8-d10f-a1a7-697830365fde" TargetMode="External"/><Relationship Id="rId2325" Type="http://schemas.openxmlformats.org/officeDocument/2006/relationships/hyperlink" Target="https://app-web.statementrec.com/app#appuploadfiles/3a1bac7c-dab9-b946-8f15-958bda9e2911" TargetMode="External"/><Relationship Id="rId2326" Type="http://schemas.openxmlformats.org/officeDocument/2006/relationships/hyperlink" Target="https://app-web.statementrec.com/app#appuploadfiles/3a1baf77-c95d-c477-7a9b-39b17d4531fd" TargetMode="External"/><Relationship Id="rId2327" Type="http://schemas.openxmlformats.org/officeDocument/2006/relationships/hyperlink" Target="https://app-web.statementrec.com/app#appuploadfiles/3a1bb0da-0c22-f01e-ba3a-9635834d70de" TargetMode="External"/><Relationship Id="rId2328" Type="http://schemas.openxmlformats.org/officeDocument/2006/relationships/hyperlink" Target="https://app-web.statementrec.com/app#appuploadfiles/3a1bb20d-0161-556a-f608-000916ff5868" TargetMode="External"/><Relationship Id="rId2329" Type="http://schemas.openxmlformats.org/officeDocument/2006/relationships/hyperlink" Target="https://app-web.statementrec.com/app#appuploadfiles/3a1bb508-6fca-f9b7-90e9-9294b38b803c" TargetMode="External"/><Relationship Id="rId2330" Type="http://schemas.openxmlformats.org/officeDocument/2006/relationships/hyperlink" Target="https://app-web.statementrec.com/app#appuploadfiles/3a1bb5d2-6286-c67e-2dd7-2d0aea2ef373" TargetMode="External"/><Relationship Id="rId2331" Type="http://schemas.openxmlformats.org/officeDocument/2006/relationships/hyperlink" Target="https://app-web.statementrec.com/app#appuploadfiles/3a1bb5e5-b411-fde4-f966-c8a19e864e38" TargetMode="External"/><Relationship Id="rId2332" Type="http://schemas.openxmlformats.org/officeDocument/2006/relationships/hyperlink" Target="https://app-web.statementrec.com/app#appuploadfiles/3a1bb7af-ff3f-0cdb-a42e-7563a530f326" TargetMode="External"/><Relationship Id="rId2333" Type="http://schemas.openxmlformats.org/officeDocument/2006/relationships/hyperlink" Target="https://app-web.statementrec.com/app#appuploadfiles/3a1bb8a0-2cd6-599f-d2f2-c5667547a96b" TargetMode="External"/><Relationship Id="rId2334" Type="http://schemas.openxmlformats.org/officeDocument/2006/relationships/hyperlink" Target="https://app-web.statementrec.com/app#appuploadfiles/3a1bb97e-184f-6193-7a4c-eae679618f22" TargetMode="External"/><Relationship Id="rId2335" Type="http://schemas.openxmlformats.org/officeDocument/2006/relationships/hyperlink" Target="https://app-web.statementrec.com/app#appuploadfiles/3a1bb9e4-5c12-ffc0-40b8-ce302b97586f" TargetMode="External"/><Relationship Id="rId2336" Type="http://schemas.openxmlformats.org/officeDocument/2006/relationships/hyperlink" Target="https://app-web.statementrec.com/app#appuploadfiles/3a1bbebc-c4cb-4e54-578d-ce40eb9effa2" TargetMode="External"/><Relationship Id="rId2337" Type="http://schemas.openxmlformats.org/officeDocument/2006/relationships/hyperlink" Target="https://app-web.statementrec.com/app#appuploadfiles/3a1bbf00-2252-d81d-22ba-5739c9c004e1" TargetMode="External"/><Relationship Id="rId2338" Type="http://schemas.openxmlformats.org/officeDocument/2006/relationships/hyperlink" Target="https://app-web.statementrec.com/app#appuploadfiles/3a1bbf2c-b27f-5158-97c6-4dffe435bc1d" TargetMode="External"/><Relationship Id="rId2339" Type="http://schemas.openxmlformats.org/officeDocument/2006/relationships/hyperlink" Target="https://app-web.statementrec.com/app#appuploadfiles/3a1bc126-21c0-41bd-f2d3-d252918f9023" TargetMode="External"/><Relationship Id="rId2340" Type="http://schemas.openxmlformats.org/officeDocument/2006/relationships/hyperlink" Target="https://app-web.statementrec.com/app#appuploadfiles/3a1bc175-3604-ac5c-3f30-9418a79bc4bf" TargetMode="External"/><Relationship Id="rId2341" Type="http://schemas.openxmlformats.org/officeDocument/2006/relationships/hyperlink" Target="https://app-web.statementrec.com/app#appuploadfiles/3a1bc5bc-0171-9aec-001a-11a45bca11ad" TargetMode="External"/><Relationship Id="rId2342" Type="http://schemas.openxmlformats.org/officeDocument/2006/relationships/hyperlink" Target="https://app-web.statementrec.com/app#appuploadfiles/3a1bc7d2-5f1b-53cf-8989-ac28c434f7d4" TargetMode="External"/><Relationship Id="rId2343" Type="http://schemas.openxmlformats.org/officeDocument/2006/relationships/hyperlink" Target="https://app-web.statementrec.com/app#appuploadfiles/3a1bc9bf-3886-3913-446f-893d629e44fc" TargetMode="External"/><Relationship Id="rId2344" Type="http://schemas.openxmlformats.org/officeDocument/2006/relationships/hyperlink" Target="https://app-web.statementrec.com/app#appuploadfiles/3a1bce66-ad8d-47cf-4f7d-19a61275f679" TargetMode="External"/><Relationship Id="rId2345" Type="http://schemas.openxmlformats.org/officeDocument/2006/relationships/hyperlink" Target="https://app-web.statementrec.com/app#appuploadfiles/3a1bcf08-7a83-e97b-8a3b-5aa1910ca04c" TargetMode="External"/><Relationship Id="rId2346" Type="http://schemas.openxmlformats.org/officeDocument/2006/relationships/hyperlink" Target="https://app-web.statementrec.com/app#appuploadfiles/3a1bcf4f-739d-d43e-fb3f-ad14dfd05ada" TargetMode="External"/><Relationship Id="rId2347" Type="http://schemas.openxmlformats.org/officeDocument/2006/relationships/hyperlink" Target="https://app-web.statementrec.com/app#appuploadfiles/3a1bcffa-a75d-ad25-be5a-4b79852d68a7" TargetMode="External"/><Relationship Id="rId2348" Type="http://schemas.openxmlformats.org/officeDocument/2006/relationships/hyperlink" Target="https://app-web.statementrec.com/app#appuploadfiles/3a1bd0eb-ae3d-4951-cf9b-98510617468e" TargetMode="External"/><Relationship Id="rId2349" Type="http://schemas.openxmlformats.org/officeDocument/2006/relationships/hyperlink" Target="https://app-web.statementrec.com/app#appuploadfiles/3a1bd107-c54d-fa5b-094d-26fcb96d7b33" TargetMode="External"/><Relationship Id="rId2350" Type="http://schemas.openxmlformats.org/officeDocument/2006/relationships/hyperlink" Target="https://app-web.statementrec.com/app#appuploadfiles/3a1bd109-8025-92dd-b2b0-8e21f217f41b" TargetMode="External"/><Relationship Id="rId2351" Type="http://schemas.openxmlformats.org/officeDocument/2006/relationships/hyperlink" Target="https://app-web.statementrec.com/app#appuploadfiles/3a1bd367-d82b-16f0-1356-af6bb6cd2549" TargetMode="External"/><Relationship Id="rId2352" Type="http://schemas.openxmlformats.org/officeDocument/2006/relationships/hyperlink" Target="https://app-web.statementrec.com/app#appuploadfiles/3a1bd413-2b57-70b6-dece-7d33f3457ba2" TargetMode="External"/><Relationship Id="rId2353" Type="http://schemas.openxmlformats.org/officeDocument/2006/relationships/hyperlink" Target="https://app-web.statementrec.com/app#appuploadfiles/3a1bd417-3d02-e86d-a3ed-4de3c2c73b23" TargetMode="External"/><Relationship Id="rId2354" Type="http://schemas.openxmlformats.org/officeDocument/2006/relationships/hyperlink" Target="https://app-web.statementrec.com/app#appuploadfiles/3a1bd4a2-41a4-0276-f943-ad1847629f41" TargetMode="External"/><Relationship Id="rId2355" Type="http://schemas.openxmlformats.org/officeDocument/2006/relationships/hyperlink" Target="https://app-web.statementrec.com/app#appuploadfiles/3a1bd853-fa4c-17ba-14a5-7198601e0c88" TargetMode="External"/><Relationship Id="rId2356" Type="http://schemas.openxmlformats.org/officeDocument/2006/relationships/hyperlink" Target="https://app-web.statementrec.com/app#appuploadfiles/3a1bddfb-7c45-771b-f652-6558a07f3d67" TargetMode="External"/><Relationship Id="rId2357" Type="http://schemas.openxmlformats.org/officeDocument/2006/relationships/hyperlink" Target="https://app-web.statementrec.com/app#appuploadfiles/3a1bde8e-3b24-1534-1c06-09ed82f9380d" TargetMode="External"/><Relationship Id="rId2358" Type="http://schemas.openxmlformats.org/officeDocument/2006/relationships/hyperlink" Target="https://app-web.statementrec.com/app#appuploadfiles/3a1bdefe-9c22-c978-4e79-63b8783ec490" TargetMode="External"/><Relationship Id="rId2359" Type="http://schemas.openxmlformats.org/officeDocument/2006/relationships/hyperlink" Target="https://app-web.statementrec.com/app#appuploadfiles/3a1be04f-c26f-ad88-1173-21aedd932d42" TargetMode="External"/><Relationship Id="rId2360" Type="http://schemas.openxmlformats.org/officeDocument/2006/relationships/hyperlink" Target="https://app-web.statementrec.com/app#appuploadfiles/3a1be07a-443e-41c9-ff1f-9c06dad8ae52" TargetMode="External"/><Relationship Id="rId2361" Type="http://schemas.openxmlformats.org/officeDocument/2006/relationships/hyperlink" Target="https://app-web.statementrec.com/app#appuploadfiles/3a1be37d-6123-61fb-fb57-9a7d43c67379" TargetMode="External"/><Relationship Id="rId2362" Type="http://schemas.openxmlformats.org/officeDocument/2006/relationships/hyperlink" Target="https://app-web.statementrec.com/app#appuploadfiles/3a1bed12-961c-0b27-87e1-c5ecd35d1ab9" TargetMode="External"/><Relationship Id="rId2363" Type="http://schemas.openxmlformats.org/officeDocument/2006/relationships/hyperlink" Target="https://app-web.statementrec.com/app#appuploadfiles/3a1bf39f-25fe-e45f-6f01-c103df6ddb6e" TargetMode="External"/><Relationship Id="rId2364" Type="http://schemas.openxmlformats.org/officeDocument/2006/relationships/hyperlink" Target="https://app-web.statementrec.com/app#appuploadfiles/3a1bf3b2-e016-14de-5722-baa3e0592b40" TargetMode="External"/><Relationship Id="rId2365" Type="http://schemas.openxmlformats.org/officeDocument/2006/relationships/hyperlink" Target="https://app-web.statementrec.com/app#appuploadfiles/3a1bf78f-35ae-5deb-7ce3-a83ba8ea3950" TargetMode="External"/><Relationship Id="rId2366" Type="http://schemas.openxmlformats.org/officeDocument/2006/relationships/hyperlink" Target="https://app-web.statementrec.com/app#appuploadfiles/3a1bf7a7-d3e7-9781-e862-492a46ff05bf" TargetMode="External"/><Relationship Id="rId2367" Type="http://schemas.openxmlformats.org/officeDocument/2006/relationships/hyperlink" Target="https://app-web.statementrec.com/app#appuploadfiles/3a1bf7cd-7819-9650-4730-f83302ec44d0" TargetMode="External"/><Relationship Id="rId2368" Type="http://schemas.openxmlformats.org/officeDocument/2006/relationships/hyperlink" Target="https://app-web.statementrec.com/app#appuploadfiles/3a1bf7d5-62b0-b6ea-c894-8f1fe3ee188d" TargetMode="External"/><Relationship Id="rId2369" Type="http://schemas.openxmlformats.org/officeDocument/2006/relationships/hyperlink" Target="https://app-web.statementrec.com/app#appuploadfiles/3a1bf7dc-71a2-3810-c934-ddfa3707cd23" TargetMode="External"/><Relationship Id="rId2370" Type="http://schemas.openxmlformats.org/officeDocument/2006/relationships/hyperlink" Target="https://app-web.statementrec.com/app#appuploadfiles/3a1bf7ed-86ae-0c77-fdf3-5420115dbb30" TargetMode="External"/><Relationship Id="rId2371" Type="http://schemas.openxmlformats.org/officeDocument/2006/relationships/hyperlink" Target="https://app-web.statementrec.com/app#appuploadfiles/3a1bf8a1-b657-1441-da48-dd745694945b" TargetMode="External"/><Relationship Id="rId2372" Type="http://schemas.openxmlformats.org/officeDocument/2006/relationships/hyperlink" Target="https://app-web.statementrec.com/app#appuploadfiles/3a1bfced-0c2f-b39b-3a0e-1666ca24fee5" TargetMode="External"/><Relationship Id="rId2373" Type="http://schemas.openxmlformats.org/officeDocument/2006/relationships/hyperlink" Target="https://app-web.statementrec.com/app#appuploadfiles/3a1bfd25-da87-0d8d-a033-3938260da889" TargetMode="External"/><Relationship Id="rId2374" Type="http://schemas.openxmlformats.org/officeDocument/2006/relationships/hyperlink" Target="https://app-web.statementrec.com/app#appuploadfiles/3a1bfd52-5232-5581-f484-90ab71e82605" TargetMode="External"/><Relationship Id="rId2375" Type="http://schemas.openxmlformats.org/officeDocument/2006/relationships/hyperlink" Target="https://app-web.statementrec.com/app#appuploadfiles/3a1bfe18-3d42-ec90-ce5d-512135a876f7" TargetMode="External"/><Relationship Id="rId2376" Type="http://schemas.openxmlformats.org/officeDocument/2006/relationships/hyperlink" Target="https://app-web.statementrec.com/app#appuploadfiles/3a1bfe5d-cbc8-ef29-772f-d6393836b7ed" TargetMode="External"/><Relationship Id="rId2377" Type="http://schemas.openxmlformats.org/officeDocument/2006/relationships/hyperlink" Target="https://app-web.statementrec.com/app#appuploadfiles/3a1bff10-807a-af89-46c2-c3b37571f73d" TargetMode="External"/><Relationship Id="rId2378" Type="http://schemas.openxmlformats.org/officeDocument/2006/relationships/hyperlink" Target="https://app-web.statementrec.com/app#appuploadfiles/3a1c024a-89e2-d3e6-1c07-2ac2d09691f4" TargetMode="External"/><Relationship Id="rId2379" Type="http://schemas.openxmlformats.org/officeDocument/2006/relationships/hyperlink" Target="https://app-web.statementrec.com/app#appuploadfiles/3a1c0307-a495-4c54-c44c-754666d33c64" TargetMode="External"/><Relationship Id="rId2380" Type="http://schemas.openxmlformats.org/officeDocument/2006/relationships/hyperlink" Target="https://app-web.statementrec.com/app#appuploadfiles/3a1c034e-56e4-7250-309e-f940afe02eca" TargetMode="External"/><Relationship Id="rId2381" Type="http://schemas.openxmlformats.org/officeDocument/2006/relationships/hyperlink" Target="https://app-web.statementrec.com/app#appuploadfiles/3a1c0384-ac8f-924a-9233-d3c4e50d368b" TargetMode="External"/><Relationship Id="rId2382" Type="http://schemas.openxmlformats.org/officeDocument/2006/relationships/hyperlink" Target="https://app-web.statementrec.com/app#appuploadfiles/3a1c038d-6d02-03d8-e9a9-a6d60f52bf85" TargetMode="External"/><Relationship Id="rId2383" Type="http://schemas.openxmlformats.org/officeDocument/2006/relationships/hyperlink" Target="https://app-web.statementrec.com/app#appuploadfiles/3a1c039c-d6a9-c60a-9246-ee6403808c68" TargetMode="External"/><Relationship Id="rId2384" Type="http://schemas.openxmlformats.org/officeDocument/2006/relationships/hyperlink" Target="https://app-web.statementrec.com/app#appuploadfiles/3a1c0764-e5b2-61d8-c634-dadf0405adef" TargetMode="External"/><Relationship Id="rId2385" Type="http://schemas.openxmlformats.org/officeDocument/2006/relationships/hyperlink" Target="https://app-web.statementrec.com/app#appuploadfiles/3a1c0798-0f33-b07d-d57d-1d079ed4ef6e" TargetMode="External"/><Relationship Id="rId2386" Type="http://schemas.openxmlformats.org/officeDocument/2006/relationships/hyperlink" Target="https://app-web.statementrec.com/app#appuploadfiles/3a1c1717-e9c2-4895-3f12-b7a71b20dbde" TargetMode="External"/><Relationship Id="rId2387" Type="http://schemas.openxmlformats.org/officeDocument/2006/relationships/hyperlink" Target="https://app-web.statementrec.com/app#appuploadfiles/3a1c1734-baed-57e1-4bdb-6ed5396d1134" TargetMode="External"/><Relationship Id="rId2388" Type="http://schemas.openxmlformats.org/officeDocument/2006/relationships/hyperlink" Target="https://app-web.statementrec.com/app#appuploadfiles/3a1c1766-10cf-38d3-8994-134f18e983e1" TargetMode="External"/><Relationship Id="rId2389" Type="http://schemas.openxmlformats.org/officeDocument/2006/relationships/hyperlink" Target="https://app-web.statementrec.com/app#appuploadfiles/3a1c17cb-2e67-6827-0f8d-b109bc0a4120" TargetMode="External"/><Relationship Id="rId2390" Type="http://schemas.openxmlformats.org/officeDocument/2006/relationships/hyperlink" Target="https://app-web.statementrec.com/app#appuploadfiles/3a1c1c09-59f2-8dc2-3860-82979a92014e" TargetMode="External"/><Relationship Id="rId2391" Type="http://schemas.openxmlformats.org/officeDocument/2006/relationships/hyperlink" Target="https://app-web.statementrec.com/app#appuploadfiles/3a1c1c80-0e4a-32df-ce3b-8362156073ff" TargetMode="External"/><Relationship Id="rId2392" Type="http://schemas.openxmlformats.org/officeDocument/2006/relationships/hyperlink" Target="https://app-web.statementrec.com/app#appuploadfiles/3a1c1cc8-13ae-d00b-bf28-347ea77b956c" TargetMode="External"/><Relationship Id="rId2393" Type="http://schemas.openxmlformats.org/officeDocument/2006/relationships/hyperlink" Target="https://app-web.statementrec.com/app#appuploadfiles/3a1c1e36-913f-f521-ee36-5553d7d70d39" TargetMode="External"/><Relationship Id="rId2394" Type="http://schemas.openxmlformats.org/officeDocument/2006/relationships/hyperlink" Target="https://app-web.statementrec.com/app#appuploadfiles/3a1c1e45-fd42-410e-0064-0cdd01297ff6" TargetMode="External"/><Relationship Id="rId2395" Type="http://schemas.openxmlformats.org/officeDocument/2006/relationships/hyperlink" Target="https://app-web.statementrec.com/app#appuploadfiles/3a1c1ebd-d928-ce68-1095-e4a5ad1cc57b" TargetMode="External"/><Relationship Id="rId2396" Type="http://schemas.openxmlformats.org/officeDocument/2006/relationships/hyperlink" Target="https://app-web.statementrec.com/app#appuploadfiles/3a1c2184-994a-e3c6-4721-ae2e21eadb5b" TargetMode="External"/><Relationship Id="rId2397" Type="http://schemas.openxmlformats.org/officeDocument/2006/relationships/hyperlink" Target="https://app-web.statementrec.com/app#appuploadfiles/3a1c21eb-4ba3-affc-7478-a77fd9cec32d" TargetMode="External"/><Relationship Id="rId2398" Type="http://schemas.openxmlformats.org/officeDocument/2006/relationships/hyperlink" Target="https://app-web.statementrec.com/app#appuploadfiles/3a1c25e4-7545-f2db-b43f-d404ca8c2775" TargetMode="External"/><Relationship Id="rId2399" Type="http://schemas.openxmlformats.org/officeDocument/2006/relationships/hyperlink" Target="https://app-web.statementrec.com/app#appuploadfiles/3a1c2644-1458-f642-e5c7-75aa9c7754ae" TargetMode="External"/><Relationship Id="rId2400" Type="http://schemas.openxmlformats.org/officeDocument/2006/relationships/hyperlink" Target="https://app-web.statementrec.com/app#appuploadfiles/3a1c2674-7f09-4517-1cfc-85b023e74218" TargetMode="External"/><Relationship Id="rId2401" Type="http://schemas.openxmlformats.org/officeDocument/2006/relationships/hyperlink" Target="https://app-web.statementrec.com/app#appuploadfiles/3a1c26de-7ecc-69b1-f0e8-3db1e0c00af8" TargetMode="External"/><Relationship Id="rId2402" Type="http://schemas.openxmlformats.org/officeDocument/2006/relationships/hyperlink" Target="https://app-web.statementrec.com/app#appuploadfiles/3a1c2723-e09c-5a59-8d8b-cea1781190c8" TargetMode="External"/><Relationship Id="rId2403" Type="http://schemas.openxmlformats.org/officeDocument/2006/relationships/hyperlink" Target="https://app-web.statementrec.com/app#appuploadfiles/3a1c2a77-f18f-bcc8-fc78-98ee28d37298" TargetMode="External"/><Relationship Id="rId2404" Type="http://schemas.openxmlformats.org/officeDocument/2006/relationships/hyperlink" Target="https://app-web.statementrec.com/app#appuploadfiles/3a1c2bc6-a1d6-e2ee-9142-bb6707097b3a" TargetMode="External"/><Relationship Id="rId2405" Type="http://schemas.openxmlformats.org/officeDocument/2006/relationships/hyperlink" Target="https://app-web.statementrec.com/app#appuploadfiles/3a1c2c2b-d847-db46-05e9-aa8283737d6b" TargetMode="External"/><Relationship Id="rId2406" Type="http://schemas.openxmlformats.org/officeDocument/2006/relationships/hyperlink" Target="https://app-web.statementrec.com/app#appuploadfiles/3a1c2c3b-f96e-3421-5e6d-b33ba3cb3300" TargetMode="External"/><Relationship Id="rId2407" Type="http://schemas.openxmlformats.org/officeDocument/2006/relationships/hyperlink" Target="https://app-web.statementrec.com/app#appuploadfiles/3a1c2c84-0cdb-d248-9b85-23d1ac45eb04" TargetMode="External"/><Relationship Id="rId2408" Type="http://schemas.openxmlformats.org/officeDocument/2006/relationships/hyperlink" Target="https://app-web.statementrec.com/app#appuploadfiles/3a1c2e13-9ad5-a9f7-f9c6-a6137dd0ff71" TargetMode="External"/><Relationship Id="rId2409" Type="http://schemas.openxmlformats.org/officeDocument/2006/relationships/hyperlink" Target="https://app-web.statementrec.com/app#appuploadfiles/3a1c3132-d094-4c53-9a51-bb54e47d3fb4" TargetMode="External"/><Relationship Id="rId2410" Type="http://schemas.openxmlformats.org/officeDocument/2006/relationships/hyperlink" Target="https://app-web.statementrec.com/app#appuploadfiles/3a1c3710-c0f9-b0af-207c-87abe2fb8db1" TargetMode="External"/><Relationship Id="rId2411" Type="http://schemas.openxmlformats.org/officeDocument/2006/relationships/hyperlink" Target="https://app-web.statementrec.com/app#appuploadfiles/3a1c3756-78ff-bf7e-4a11-afa40224d59a" TargetMode="External"/><Relationship Id="rId2412" Type="http://schemas.openxmlformats.org/officeDocument/2006/relationships/hyperlink" Target="https://app-web.statementrec.com/app#appuploadfiles/3a1c3ba9-90ce-b9b2-f9d7-b274e220572e" TargetMode="External"/><Relationship Id="rId2413" Type="http://schemas.openxmlformats.org/officeDocument/2006/relationships/hyperlink" Target="https://app-web.statementrec.com/app#appuploadfiles/3a1c4042-9d5d-2778-a435-50cc1711c6ba" TargetMode="External"/><Relationship Id="rId2414" Type="http://schemas.openxmlformats.org/officeDocument/2006/relationships/hyperlink" Target="https://app-web.statementrec.com/app#appuploadfiles/3a1c40e6-6ab3-f686-1b3e-36da97334b63" TargetMode="External"/><Relationship Id="rId2415" Type="http://schemas.openxmlformats.org/officeDocument/2006/relationships/hyperlink" Target="https://app-web.statementrec.com/app#appuploadfiles/3a1c4117-128d-1569-0059-f4366b26b92a" TargetMode="External"/><Relationship Id="rId2416" Type="http://schemas.openxmlformats.org/officeDocument/2006/relationships/hyperlink" Target="https://app-web.statementrec.com/app#appuploadfiles/3a1c4167-18e9-bde6-ffcb-120fd436e8b5" TargetMode="External"/><Relationship Id="rId2417" Type="http://schemas.openxmlformats.org/officeDocument/2006/relationships/hyperlink" Target="https://app-web.statementrec.com/app#appuploadfiles/3a1c4471-d82e-092f-2592-bc1ea3ced6a4" TargetMode="External"/><Relationship Id="rId2418" Type="http://schemas.openxmlformats.org/officeDocument/2006/relationships/hyperlink" Target="https://app-web.statementrec.com/app#appuploadfiles/3a1c4ae6-fa26-c5d2-a087-bf49645053c3" TargetMode="External"/><Relationship Id="rId2419" Type="http://schemas.openxmlformats.org/officeDocument/2006/relationships/hyperlink" Target="https://app-web.statementrec.com/app#appuploadfiles/3a1c4b93-9b15-a94f-6546-d0e0311adabc" TargetMode="External"/><Relationship Id="rId2420" Type="http://schemas.openxmlformats.org/officeDocument/2006/relationships/hyperlink" Target="https://app-web.statementrec.com/app#appuploadfiles/3a1c56b3-4fa9-c281-8e74-af5d36872444" TargetMode="External"/><Relationship Id="rId2421" Type="http://schemas.openxmlformats.org/officeDocument/2006/relationships/hyperlink" Target="https://app-web.statementrec.com/app#appuploadfiles/3a1c57ba-18cf-e3a7-f520-6cd0c18bdfaf" TargetMode="External"/><Relationship Id="rId2422" Type="http://schemas.openxmlformats.org/officeDocument/2006/relationships/hyperlink" Target="https://app-web.statementrec.com/app#appuploadfiles/3a1c6035-0168-a5f1-a540-41346be63c5e" TargetMode="External"/><Relationship Id="rId2423" Type="http://schemas.openxmlformats.org/officeDocument/2006/relationships/hyperlink" Target="https://app-web.statementrec.com/app#appuploadfiles/3a1c64ba-4d42-64a5-88c9-8c0fd170605c" TargetMode="External"/><Relationship Id="rId2424" Type="http://schemas.openxmlformats.org/officeDocument/2006/relationships/hyperlink" Target="https://app-web.statementrec.com/app#appuploadfiles/3a1c6a22-c3ad-00f5-fc79-3098c5a48f12" TargetMode="External"/><Relationship Id="rId2425" Type="http://schemas.openxmlformats.org/officeDocument/2006/relationships/hyperlink" Target="https://app-web.statementrec.com/app#appuploadfiles/3a1c6a23-ad9b-1e1a-64cd-39ba3119c75a" TargetMode="External"/><Relationship Id="rId2426" Type="http://schemas.openxmlformats.org/officeDocument/2006/relationships/hyperlink" Target="https://app-web.statementrec.com/app#appuploadfiles/3a1c6d1e-f61d-f8e3-5588-de95891285f7" TargetMode="External"/><Relationship Id="rId2427" Type="http://schemas.openxmlformats.org/officeDocument/2006/relationships/hyperlink" Target="https://app-web.statementrec.com/app#appuploadfiles/3a1c6f09-a6ab-9b41-b24b-e9e182ac7a9e" TargetMode="External"/><Relationship Id="rId2428" Type="http://schemas.openxmlformats.org/officeDocument/2006/relationships/hyperlink" Target="https://app-web.statementrec.com/app#appuploadfiles/3a1c7353-3dfa-8c2b-a472-ff1b3675cc89" TargetMode="External"/><Relationship Id="rId2429" Type="http://schemas.openxmlformats.org/officeDocument/2006/relationships/hyperlink" Target="https://app-web.statementrec.com/app#appuploadfiles/3a1c73ac-9de0-6aa5-9b74-39de07cdddc2" TargetMode="External"/><Relationship Id="rId2430" Type="http://schemas.openxmlformats.org/officeDocument/2006/relationships/hyperlink" Target="https://app-web.statementrec.com/app#appuploadfiles/3a1c7469-039e-48cd-9264-72462bf02e02" TargetMode="External"/><Relationship Id="rId2431" Type="http://schemas.openxmlformats.org/officeDocument/2006/relationships/hyperlink" Target="https://app-web.statementrec.com/app#appuploadfiles/3a1c7dd1-6d47-b635-0f4f-e21f68f17953" TargetMode="External"/><Relationship Id="rId2432" Type="http://schemas.openxmlformats.org/officeDocument/2006/relationships/hyperlink" Target="https://app-web.statementrec.com/app#appuploadfiles/3a1c83c2-024b-118e-9142-5cc580a32d39" TargetMode="External"/><Relationship Id="rId2433" Type="http://schemas.openxmlformats.org/officeDocument/2006/relationships/hyperlink" Target="https://app-web.statementrec.com/app#appuploadfiles/3a1c8519-125f-c022-4a05-c9bcc8249e73" TargetMode="External"/><Relationship Id="rId2434" Type="http://schemas.openxmlformats.org/officeDocument/2006/relationships/hyperlink" Target="https://app-web.statementrec.com/app#appuploadfiles/3a1c8802-edc3-f35f-7242-afda2ebac8c4" TargetMode="External"/><Relationship Id="rId2435" Type="http://schemas.openxmlformats.org/officeDocument/2006/relationships/hyperlink" Target="https://app-web.statementrec.com/app#appuploadfiles/3a1c888a-d7b0-56c9-db61-c504560ae0eb" TargetMode="External"/><Relationship Id="rId2436" Type="http://schemas.openxmlformats.org/officeDocument/2006/relationships/hyperlink" Target="https://app-web.statementrec.com/app#appuploadfiles/3a1c8a13-aeb5-33f8-44d5-86662d023df1" TargetMode="External"/><Relationship Id="rId2437" Type="http://schemas.openxmlformats.org/officeDocument/2006/relationships/hyperlink" Target="https://app-web.statementrec.com/app#appuploadfiles/3a1c8c9a-606a-180e-fa5c-c1e321b5e9d2" TargetMode="External"/><Relationship Id="rId2438" Type="http://schemas.openxmlformats.org/officeDocument/2006/relationships/hyperlink" Target="https://app-web.statementrec.com/app#appuploadfiles/3a1c8d29-a857-e784-87fe-623ca6b757d4" TargetMode="External"/><Relationship Id="rId2439" Type="http://schemas.openxmlformats.org/officeDocument/2006/relationships/hyperlink" Target="https://app-web.statementrec.com/app#appuploadfiles/3a1c8daa-28da-6765-a104-16cf1ace3301" TargetMode="External"/><Relationship Id="rId2440" Type="http://schemas.openxmlformats.org/officeDocument/2006/relationships/hyperlink" Target="https://app-web.statementrec.com/app#appuploadfiles/3a1c9298-fe8e-f372-d31c-1c8e76be089c" TargetMode="External"/><Relationship Id="rId2441" Type="http://schemas.openxmlformats.org/officeDocument/2006/relationships/hyperlink" Target="https://app-web.statementrec.com/app#appuploadfiles/3a1c92b1-cdbf-f38c-0878-d4c0ad52a293" TargetMode="External"/><Relationship Id="rId2442" Type="http://schemas.openxmlformats.org/officeDocument/2006/relationships/hyperlink" Target="https://app-web.statementrec.com/app#appuploadfiles/3a1c96cc-e22b-0407-bd23-f7525b8233e1" TargetMode="External"/><Relationship Id="rId2443" Type="http://schemas.openxmlformats.org/officeDocument/2006/relationships/hyperlink" Target="https://app-web.statementrec.com/app#appuploadfiles/3a1c97e4-15b1-8eab-db60-c81a417e2f0f" TargetMode="External"/><Relationship Id="rId2444" Type="http://schemas.openxmlformats.org/officeDocument/2006/relationships/hyperlink" Target="https://app-web.statementrec.com/app#appuploadfiles/3a1c97e4-9576-2b37-e6cb-9fdb65d2b975" TargetMode="External"/><Relationship Id="rId2445" Type="http://schemas.openxmlformats.org/officeDocument/2006/relationships/hyperlink" Target="https://app-web.statementrec.com/app#appuploadfiles/3a1c9842-5517-37e8-98c7-c43e8733942c" TargetMode="External"/><Relationship Id="rId2446" Type="http://schemas.openxmlformats.org/officeDocument/2006/relationships/hyperlink" Target="https://app-web.statementrec.com/app#appuploadfiles/3a1ca1b7-0001-00e7-4ba9-255b6752c680" TargetMode="External"/><Relationship Id="rId2447" Type="http://schemas.openxmlformats.org/officeDocument/2006/relationships/hyperlink" Target="https://app-web.statementrec.com/app#appuploadfiles/3a1ca852-a8e2-40da-fabb-caf30e27fe4e" TargetMode="External"/><Relationship Id="rId2448" Type="http://schemas.openxmlformats.org/officeDocument/2006/relationships/hyperlink" Target="https://app-web.statementrec.com/app#appuploadfiles/3a1ca934-27b2-3409-f85f-a12494331b8a" TargetMode="External"/><Relationship Id="rId2449" Type="http://schemas.openxmlformats.org/officeDocument/2006/relationships/hyperlink" Target="https://app-web.statementrec.com/app#appuploadfiles/3a1cabe4-e97e-e83a-cdaa-0f671deeff2f" TargetMode="External"/><Relationship Id="rId2450" Type="http://schemas.openxmlformats.org/officeDocument/2006/relationships/hyperlink" Target="https://app-web.statementrec.com/app#appuploadfiles/3a1cabef-75db-2a68-0c1e-8a5aca5cdab0" TargetMode="External"/><Relationship Id="rId2451" Type="http://schemas.openxmlformats.org/officeDocument/2006/relationships/hyperlink" Target="https://app-web.statementrec.com/app#appuploadfiles/3a1cac27-5d41-4175-fdc2-c9e25cfeae12" TargetMode="External"/><Relationship Id="rId2452" Type="http://schemas.openxmlformats.org/officeDocument/2006/relationships/hyperlink" Target="https://app-web.statementrec.com/app#appuploadfiles/3a1cad40-0fb3-e0cd-a9d6-9ed3deac9b6f" TargetMode="External"/><Relationship Id="rId2453" Type="http://schemas.openxmlformats.org/officeDocument/2006/relationships/hyperlink" Target="https://app-web.statementrec.com/app#appuploadfiles/3a1cb239-5ab3-547c-e91d-633fc68538fb" TargetMode="External"/><Relationship Id="rId2454" Type="http://schemas.openxmlformats.org/officeDocument/2006/relationships/hyperlink" Target="https://app-web.statementrec.com/app#appuploadfiles/3a1cb498-ca79-e99a-210a-8771a3802b21" TargetMode="External"/><Relationship Id="rId2455" Type="http://schemas.openxmlformats.org/officeDocument/2006/relationships/hyperlink" Target="https://app-web.statementrec.com/app#appuploadfiles/3a1cb744-92ad-1419-3e0c-c9636e2299a1" TargetMode="External"/><Relationship Id="rId2456" Type="http://schemas.openxmlformats.org/officeDocument/2006/relationships/hyperlink" Target="https://app-web.statementrec.com/app#appuploadfiles/3a1cb77d-fcbc-aa83-2286-a43074f65595" TargetMode="External"/><Relationship Id="rId2457" Type="http://schemas.openxmlformats.org/officeDocument/2006/relationships/hyperlink" Target="https://app-web.statementrec.com/app#appuploadfiles/3a1cb852-be9a-7cee-0470-c60efdc85e9d" TargetMode="External"/><Relationship Id="rId2458" Type="http://schemas.openxmlformats.org/officeDocument/2006/relationships/hyperlink" Target="https://app-web.statementrec.com/app#appuploadfiles/3a1cb94f-1e35-e47a-1c4e-0ec68fd380fe" TargetMode="External"/><Relationship Id="rId2459" Type="http://schemas.openxmlformats.org/officeDocument/2006/relationships/hyperlink" Target="https://app-web.statementrec.com/app#appuploadfiles/3a1cbbac-d3c3-c196-df0d-77e49d718380" TargetMode="External"/><Relationship Id="rId2460" Type="http://schemas.openxmlformats.org/officeDocument/2006/relationships/hyperlink" Target="https://app-web.statementrec.com/app#appuploadfiles/3a1ccd74-0a47-8172-e18d-b19ae05b35d8" TargetMode="External"/><Relationship Id="rId2461" Type="http://schemas.openxmlformats.org/officeDocument/2006/relationships/hyperlink" Target="https://app-web.statementrec.com/app#appuploadfiles/3a1cd01e-d4e7-3349-fb31-b2d68e82debf" TargetMode="External"/><Relationship Id="rId2462" Type="http://schemas.openxmlformats.org/officeDocument/2006/relationships/hyperlink" Target="https://app-web.statementrec.com/app#appuploadfiles/3a1cd186-581f-6b40-d7a5-9b61b199cdb2" TargetMode="External"/><Relationship Id="rId2463" Type="http://schemas.openxmlformats.org/officeDocument/2006/relationships/hyperlink" Target="https://app-web.statementrec.com/app#appuploadfiles/3a1cd20a-11b0-b6d2-2a1b-050cefca46eb" TargetMode="External"/><Relationship Id="rId2464" Type="http://schemas.openxmlformats.org/officeDocument/2006/relationships/hyperlink" Target="https://app-web.statementrec.com/app#appuploadfiles/3a1cd2b1-e16f-1b9c-b32e-a662400016b8" TargetMode="External"/><Relationship Id="rId2465" Type="http://schemas.openxmlformats.org/officeDocument/2006/relationships/hyperlink" Target="https://app-web.statementrec.com/app#appuploadfiles/3a1cd7ac-9b3d-79ac-8679-89038073036a" TargetMode="External"/><Relationship Id="rId2466" Type="http://schemas.openxmlformats.org/officeDocument/2006/relationships/hyperlink" Target="https://app-web.statementrec.com/app#appuploadfiles/3a1cd7fc-0329-8045-663a-aebb2afbfcfb" TargetMode="External"/><Relationship Id="rId2467" Type="http://schemas.openxmlformats.org/officeDocument/2006/relationships/hyperlink" Target="https://app-web.statementrec.com/app#appuploadfiles/3a1cdc8e-2303-2f91-f39c-076d8b07d0d0" TargetMode="External"/><Relationship Id="rId2468" Type="http://schemas.openxmlformats.org/officeDocument/2006/relationships/hyperlink" Target="https://app-web.statementrec.com/app#appuploadfiles/3a1ce137-0798-240d-210e-7f5df1590e1b" TargetMode="External"/><Relationship Id="rId2469" Type="http://schemas.openxmlformats.org/officeDocument/2006/relationships/hyperlink" Target="https://app-web.statementrec.com/app#appuploadfiles/3a1ce6a2-2174-f9cf-d4d0-b90680737bdc" TargetMode="External"/><Relationship Id="rId2470" Type="http://schemas.openxmlformats.org/officeDocument/2006/relationships/hyperlink" Target="https://app-web.statementrec.com/app#appuploadfiles/3a1ceeff-ac28-7b9a-6866-5c7f9bef5229" TargetMode="External"/><Relationship Id="rId2471" Type="http://schemas.openxmlformats.org/officeDocument/2006/relationships/hyperlink" Target="https://app-web.statementrec.com/app#appuploadfiles/3a1cefa7-d17c-b8f6-dc55-807891d8a96a" TargetMode="External"/><Relationship Id="rId2472" Type="http://schemas.openxmlformats.org/officeDocument/2006/relationships/hyperlink" Target="https://app-web.statementrec.com/app#appuploadfiles/3a1cf132-9ee3-580b-2288-6c692daf2d41" TargetMode="External"/><Relationship Id="rId2473" Type="http://schemas.openxmlformats.org/officeDocument/2006/relationships/hyperlink" Target="https://app-web.statementrec.com/app#appuploadfiles/3a1cf43c-8018-43d2-7bac-2cf792deaec5" TargetMode="External"/><Relationship Id="rId2474" Type="http://schemas.openxmlformats.org/officeDocument/2006/relationships/hyperlink" Target="https://app-web.statementrec.com/app#appuploadfiles/3a1cf464-7ab3-5388-bafe-5ba0551b1460" TargetMode="External"/><Relationship Id="rId2475" Type="http://schemas.openxmlformats.org/officeDocument/2006/relationships/hyperlink" Target="https://app-web.statementrec.com/app#appuploadfiles/3a1cf4d8-77cc-94a6-2232-4bb0d4b491c8" TargetMode="External"/><Relationship Id="rId2476" Type="http://schemas.openxmlformats.org/officeDocument/2006/relationships/hyperlink" Target="https://app-web.statementrec.com/app#appuploadfiles/3a1cf51f-f2f6-42a6-da3c-f806b7bade39" TargetMode="External"/><Relationship Id="rId2477" Type="http://schemas.openxmlformats.org/officeDocument/2006/relationships/hyperlink" Target="https://app-web.statementrec.com/app#appuploadfiles/3a1cfa40-e1d4-6e89-befb-65f3b7b567b0" TargetMode="External"/><Relationship Id="rId2478" Type="http://schemas.openxmlformats.org/officeDocument/2006/relationships/hyperlink" Target="https://app-web.statementrec.com/app#appuploadfiles/3a1cfa53-31d5-e6ec-61ad-efe3168c335f" TargetMode="External"/><Relationship Id="rId2479" Type="http://schemas.openxmlformats.org/officeDocument/2006/relationships/hyperlink" Target="https://app-web.statementrec.com/app#appuploadfiles/3a1cfeec-fda0-fe3f-b864-a4c46e39d493" TargetMode="External"/><Relationship Id="rId2480" Type="http://schemas.openxmlformats.org/officeDocument/2006/relationships/hyperlink" Target="https://app-web.statementrec.com/app#appuploadfiles/3a1cff13-5b77-7e9e-6c98-2716f1edf16a" TargetMode="External"/><Relationship Id="rId2481" Type="http://schemas.openxmlformats.org/officeDocument/2006/relationships/hyperlink" Target="https://app-web.statementrec.com/app#appuploadfiles/3a1cff4f-f3e7-d124-950d-14aa946966c0" TargetMode="External"/><Relationship Id="rId2482" Type="http://schemas.openxmlformats.org/officeDocument/2006/relationships/hyperlink" Target="https://app-web.statementrec.com/app#appuploadfiles/3a1cffa2-39f0-3948-47b9-3b5eb1043939" TargetMode="External"/><Relationship Id="rId2483" Type="http://schemas.openxmlformats.org/officeDocument/2006/relationships/hyperlink" Target="https://app-web.statementrec.com/app#appuploadfiles/3a1d0393-8dad-9899-c8e2-cfd5a0deb193" TargetMode="External"/><Relationship Id="rId2484" Type="http://schemas.openxmlformats.org/officeDocument/2006/relationships/hyperlink" Target="https://app-web.statementrec.com/app#appuploadfiles/3a1d04b1-6c00-30e1-b394-724756fcade4" TargetMode="External"/><Relationship Id="rId2485" Type="http://schemas.openxmlformats.org/officeDocument/2006/relationships/hyperlink" Target="https://app-web.statementrec.com/app#appuploadfiles/3a1d05e0-81e2-89c0-abc9-b2c5be843ec5" TargetMode="External"/><Relationship Id="rId2486" Type="http://schemas.openxmlformats.org/officeDocument/2006/relationships/hyperlink" Target="https://app-web.statementrec.com/app#appuploadfiles/3a1d066d-9b42-bb31-8492-a1511163066d" TargetMode="External"/><Relationship Id="rId2487" Type="http://schemas.openxmlformats.org/officeDocument/2006/relationships/hyperlink" Target="https://app-web.statementrec.com/app#appuploadfiles/3a1d0e21-26e8-7dec-71e7-c03c3cd81750" TargetMode="External"/><Relationship Id="rId2488" Type="http://schemas.openxmlformats.org/officeDocument/2006/relationships/hyperlink" Target="https://app-web.statementrec.com/app#appuploadfiles/3a1d0ea4-f68c-de45-a984-e9f44accd4f3" TargetMode="External"/><Relationship Id="rId2489" Type="http://schemas.openxmlformats.org/officeDocument/2006/relationships/hyperlink" Target="https://app-web.statementrec.com/app#appuploadfiles/3a1d1040-87e6-b56c-bf17-4764e8a302ac" TargetMode="External"/><Relationship Id="rId2490" Type="http://schemas.openxmlformats.org/officeDocument/2006/relationships/hyperlink" Target="https://app-web.statementrec.com/app#appuploadfiles/3a1d12ea-c6ae-12c6-3852-f90358b95819" TargetMode="External"/><Relationship Id="rId2491" Type="http://schemas.openxmlformats.org/officeDocument/2006/relationships/hyperlink" Target="https://app-web.statementrec.com/app#appuploadfiles/3a1d13ef-670e-226e-c3e1-0e9f1ae740f9" TargetMode="External"/><Relationship Id="rId2492" Type="http://schemas.openxmlformats.org/officeDocument/2006/relationships/hyperlink" Target="https://app-web.statementrec.com/app#appuploadfiles/3a1d151f-d37d-20f5-adaa-ffe53bafaab3" TargetMode="External"/><Relationship Id="rId2493" Type="http://schemas.openxmlformats.org/officeDocument/2006/relationships/hyperlink" Target="https://app-web.statementrec.com/app#appuploadfiles/3a1d1526-0cda-79b9-d1e4-796be2361ed2" TargetMode="External"/><Relationship Id="rId2494" Type="http://schemas.openxmlformats.org/officeDocument/2006/relationships/hyperlink" Target="https://app-web.statementrec.com/app#appuploadfiles/3a1d180d-f569-83c4-17ff-a27fe1cd2886" TargetMode="External"/><Relationship Id="rId2495" Type="http://schemas.openxmlformats.org/officeDocument/2006/relationships/hyperlink" Target="https://app-web.statementrec.com/app#appuploadfiles/3a1d1932-e97e-b7a4-dc5b-2c2cebfcf842" TargetMode="External"/><Relationship Id="rId2496" Type="http://schemas.openxmlformats.org/officeDocument/2006/relationships/hyperlink" Target="https://app-web.statementrec.com/app#appuploadfiles/3a1d1a98-ce5a-6a42-de24-5a5e1d5e0264" TargetMode="External"/><Relationship Id="rId2497" Type="http://schemas.openxmlformats.org/officeDocument/2006/relationships/hyperlink" Target="https://app-web.statementrec.com/app#appuploadfiles/3a1d1b0d-470a-7b0a-572f-b27ac1765999" TargetMode="External"/><Relationship Id="rId2498" Type="http://schemas.openxmlformats.org/officeDocument/2006/relationships/hyperlink" Target="https://app-web.statementrec.com/app#appuploadfiles/3a1d1f3f-1d0d-7807-7464-c5b967d7d06c" TargetMode="External"/><Relationship Id="rId2499" Type="http://schemas.openxmlformats.org/officeDocument/2006/relationships/hyperlink" Target="https://app-web.statementrec.com/app#appuploadfiles/3a1d2224-f40d-06c7-8e75-c5fe05becaa0" TargetMode="External"/><Relationship Id="rId2500" Type="http://schemas.openxmlformats.org/officeDocument/2006/relationships/hyperlink" Target="https://app-web.statementrec.com/app#appuploadfiles/3a1d2810-5fe5-c9d5-b201-79a702423bee" TargetMode="External"/><Relationship Id="rId2501" Type="http://schemas.openxmlformats.org/officeDocument/2006/relationships/hyperlink" Target="https://app-web.statementrec.com/app#appuploadfiles/3a1d285f-2f09-c948-c02f-c8037feaf563" TargetMode="External"/><Relationship Id="rId2502" Type="http://schemas.openxmlformats.org/officeDocument/2006/relationships/hyperlink" Target="https://app-web.statementrec.com/app#appuploadfiles/3a1d3887-412a-4055-7fba-187aa20b6895" TargetMode="External"/><Relationship Id="rId2503" Type="http://schemas.openxmlformats.org/officeDocument/2006/relationships/hyperlink" Target="https://app-web.statementrec.com/app#appuploadfiles/3a1d38d8-6e20-4684-25ff-70e8ff409f1e" TargetMode="External"/><Relationship Id="rId2504" Type="http://schemas.openxmlformats.org/officeDocument/2006/relationships/hyperlink" Target="https://app-web.statementrec.com/app#appuploadfiles/3a1d398d-9cbf-1923-292e-85ea9ae22dc5" TargetMode="External"/><Relationship Id="rId2505" Type="http://schemas.openxmlformats.org/officeDocument/2006/relationships/hyperlink" Target="https://app-web.statementrec.com/app#appuploadfiles/3a1d3e53-733b-ed61-7308-7107ad69f32f" TargetMode="External"/><Relationship Id="rId2506" Type="http://schemas.openxmlformats.org/officeDocument/2006/relationships/hyperlink" Target="https://app-web.statementrec.com/app#appuploadfiles/3a1d3e57-aed3-c5a5-87bb-1eb4e5686bc6" TargetMode="External"/><Relationship Id="rId2507" Type="http://schemas.openxmlformats.org/officeDocument/2006/relationships/hyperlink" Target="https://app-web.statementrec.com/app#appuploadfiles/3a1d3e62-9bc7-d730-ed1e-4d6bb327e3d9" TargetMode="External"/><Relationship Id="rId2508" Type="http://schemas.openxmlformats.org/officeDocument/2006/relationships/hyperlink" Target="https://app-web.statementrec.com/app#appuploadfiles/3a1d3e67-156b-7a7f-04bc-a005a4e7454d" TargetMode="External"/><Relationship Id="rId2509" Type="http://schemas.openxmlformats.org/officeDocument/2006/relationships/hyperlink" Target="https://app-web.statementrec.com/app#appuploadfiles/3a1d4196-eb19-dd11-99d1-23029f5a9154" TargetMode="External"/><Relationship Id="rId2510" Type="http://schemas.openxmlformats.org/officeDocument/2006/relationships/hyperlink" Target="https://app-web.statementrec.com/app#appuploadfiles/3a1d4216-75d1-85cb-afae-c1ae8b28ed81" TargetMode="External"/><Relationship Id="rId2511" Type="http://schemas.openxmlformats.org/officeDocument/2006/relationships/hyperlink" Target="https://app-web.statementrec.com/app#appuploadfiles/3a1d4231-0cad-d53f-70f5-e43e19b74aa2" TargetMode="External"/><Relationship Id="rId2512" Type="http://schemas.openxmlformats.org/officeDocument/2006/relationships/hyperlink" Target="https://app-web.statementrec.com/app#appuploadfiles/3a1d4283-9cd2-d235-e816-44221e2de7ae" TargetMode="External"/><Relationship Id="rId2513" Type="http://schemas.openxmlformats.org/officeDocument/2006/relationships/hyperlink" Target="https://app-web.statementrec.com/app#appuploadfiles/3a1d44be-63a4-7441-0f05-9e2a3bb88fb9" TargetMode="External"/><Relationship Id="rId2514" Type="http://schemas.openxmlformats.org/officeDocument/2006/relationships/hyperlink" Target="https://app-web.statementrec.com/app#appuploadfiles/3a1d465e-8373-214e-e337-b15ca904e759" TargetMode="External"/><Relationship Id="rId2515" Type="http://schemas.openxmlformats.org/officeDocument/2006/relationships/hyperlink" Target="https://app-web.statementrec.com/app#appuploadfiles/3a1d48bc-8726-8548-d357-a025eabe3264" TargetMode="External"/><Relationship Id="rId2516" Type="http://schemas.openxmlformats.org/officeDocument/2006/relationships/hyperlink" Target="https://app-web.statementrec.com/app#appuploadfiles/3a1d59d6-8536-dbdd-011c-766a4786de01" TargetMode="External"/><Relationship Id="rId2517" Type="http://schemas.openxmlformats.org/officeDocument/2006/relationships/hyperlink" Target="https://app-web.statementrec.com/app#appuploadfiles/3a1d5bea-b7c5-65c0-71a9-dc51305af05e" TargetMode="External"/><Relationship Id="rId2518" Type="http://schemas.openxmlformats.org/officeDocument/2006/relationships/hyperlink" Target="https://app-web.statementrec.com/app#appuploadfiles/3a1d5cc8-bb8f-2b15-6f77-87b20fe932f4" TargetMode="External"/><Relationship Id="rId2519" Type="http://schemas.openxmlformats.org/officeDocument/2006/relationships/hyperlink" Target="https://app-web.statementrec.com/app#appuploadfiles/3a1d5dbc-10dc-45d2-23b3-e83ab040b6ee" TargetMode="External"/><Relationship Id="rId2520" Type="http://schemas.openxmlformats.org/officeDocument/2006/relationships/hyperlink" Target="https://app-web.statementrec.com/app#appuploadfiles/3a1d60c8-142e-9457-e5d3-cccd949ef9f2" TargetMode="External"/><Relationship Id="rId2521" Type="http://schemas.openxmlformats.org/officeDocument/2006/relationships/hyperlink" Target="https://app-web.statementrec.com/app#appuploadfiles/3a1d6102-349a-8fa6-4815-b517ad5f27b2" TargetMode="External"/><Relationship Id="rId2522" Type="http://schemas.openxmlformats.org/officeDocument/2006/relationships/hyperlink" Target="https://app-web.statementrec.com/app#appuploadfiles/3a1d61bc-e59c-9318-7586-3b6fab5127eb" TargetMode="External"/><Relationship Id="rId2523" Type="http://schemas.openxmlformats.org/officeDocument/2006/relationships/hyperlink" Target="https://app-web.statementrec.com/app#appuploadfiles/3a1d64eb-474b-d319-c69c-8f77c8c1acd0" TargetMode="External"/><Relationship Id="rId2524" Type="http://schemas.openxmlformats.org/officeDocument/2006/relationships/hyperlink" Target="https://app-web.statementrec.com/app#appuploadfiles/3a1d6554-84f8-d87a-0d37-c5d2c36a82ab" TargetMode="External"/><Relationship Id="rId2525" Type="http://schemas.openxmlformats.org/officeDocument/2006/relationships/hyperlink" Target="https://app-web.statementrec.com/app#appuploadfiles/3a1d6590-b6c1-ef0f-2d45-c80ce65468d2" TargetMode="External"/><Relationship Id="rId2526" Type="http://schemas.openxmlformats.org/officeDocument/2006/relationships/hyperlink" Target="https://app-web.statementrec.com/app#appuploadfiles/3a1d65cb-9e97-767f-81e4-d0d09a37012a" TargetMode="External"/><Relationship Id="rId2527" Type="http://schemas.openxmlformats.org/officeDocument/2006/relationships/hyperlink" Target="https://app-web.statementrec.com/app#appuploadfiles/3a1d65e0-5da4-ee29-7bd6-1f5330047bbd" TargetMode="External"/><Relationship Id="rId2528" Type="http://schemas.openxmlformats.org/officeDocument/2006/relationships/hyperlink" Target="https://app-web.statementrec.com/app#appuploadfiles/3a1d663b-6168-aad7-18ca-f47e1691006c" TargetMode="External"/><Relationship Id="rId2529" Type="http://schemas.openxmlformats.org/officeDocument/2006/relationships/hyperlink" Target="https://app-web.statementrec.com/app#appuploadfiles/3a1d66c1-ae41-1f1b-5ae4-2dbbd3224cfd" TargetMode="External"/><Relationship Id="rId2530" Type="http://schemas.openxmlformats.org/officeDocument/2006/relationships/hyperlink" Target="https://app-web.statementrec.com/app#appuploadfiles/3a1d6701-b096-a9c2-8c91-1b4b13e8f687" TargetMode="External"/><Relationship Id="rId2531" Type="http://schemas.openxmlformats.org/officeDocument/2006/relationships/hyperlink" Target="https://app-web.statementrec.com/app#appuploadfiles/3a1d6706-77ec-f611-79ed-ef165706210c" TargetMode="External"/><Relationship Id="rId2532" Type="http://schemas.openxmlformats.org/officeDocument/2006/relationships/hyperlink" Target="https://app-web.statementrec.com/app#appuploadfiles/3a1d69c4-b40f-7707-9f80-1366f27dd308" TargetMode="External"/><Relationship Id="rId2533" Type="http://schemas.openxmlformats.org/officeDocument/2006/relationships/hyperlink" Target="https://app-web.statementrec.com/app#appuploadfiles/3a1d6a55-af76-2170-85bd-fffc515335ac" TargetMode="External"/><Relationship Id="rId2534" Type="http://schemas.openxmlformats.org/officeDocument/2006/relationships/hyperlink" Target="https://app-web.statementrec.com/app#appuploadfiles/3a1d6b1c-8ac5-b389-3c89-c80d3a9dfd20" TargetMode="External"/><Relationship Id="rId2535" Type="http://schemas.openxmlformats.org/officeDocument/2006/relationships/hyperlink" Target="https://app-web.statementrec.com/app#appuploadfiles/3a1d6b8f-29c0-2752-ed3f-2d1520f85686" TargetMode="External"/><Relationship Id="rId2536" Type="http://schemas.openxmlformats.org/officeDocument/2006/relationships/hyperlink" Target="https://app-web.statementrec.com/app#appuploadfiles/3a1d6cfa-c378-6727-0e1d-7ff75a82eb49" TargetMode="External"/><Relationship Id="rId2537" Type="http://schemas.openxmlformats.org/officeDocument/2006/relationships/hyperlink" Target="https://app-web.statementrec.com/app#appuploadfiles/3a1d70dd-d0d3-2342-0bf1-3ef33484634f" TargetMode="External"/><Relationship Id="rId2538" Type="http://schemas.openxmlformats.org/officeDocument/2006/relationships/hyperlink" Target="https://app-web.statementrec.com/app#appuploadfiles/3a1d70ff-d962-a961-012a-0bb85004322c" TargetMode="External"/><Relationship Id="rId2539" Type="http://schemas.openxmlformats.org/officeDocument/2006/relationships/hyperlink" Target="https://app-web.statementrec.com/app#appuploadfiles/3a1d7f6b-c485-7bdc-0e94-91c34c1d10a0" TargetMode="External"/><Relationship Id="rId2540" Type="http://schemas.openxmlformats.org/officeDocument/2006/relationships/hyperlink" Target="https://app-web.statementrec.com/app#appuploadfiles/3a1d8082-12c0-2414-7f01-fb069431c75f" TargetMode="External"/><Relationship Id="rId2541" Type="http://schemas.openxmlformats.org/officeDocument/2006/relationships/hyperlink" Target="https://app-web.statementrec.com/app#appuploadfiles/3a1d84d2-e2e2-d6f1-da85-f0ba1c94edb9" TargetMode="External"/><Relationship Id="rId2542" Type="http://schemas.openxmlformats.org/officeDocument/2006/relationships/hyperlink" Target="https://app-web.statementrec.com/app#appuploadfiles/3a1d84ed-7f25-ed85-68db-a956ff9dcfc9" TargetMode="External"/><Relationship Id="rId2543" Type="http://schemas.openxmlformats.org/officeDocument/2006/relationships/hyperlink" Target="https://app-web.statementrec.com/app#appuploadfiles/3a1d85ab-aeb5-9466-bb3f-5ce452b181df" TargetMode="External"/><Relationship Id="rId2544" Type="http://schemas.openxmlformats.org/officeDocument/2006/relationships/hyperlink" Target="https://app-web.statementrec.com/app#appuploadfiles/3a1d85d1-fd3c-1521-558a-2fa31a58ae30" TargetMode="External"/><Relationship Id="rId2545" Type="http://schemas.openxmlformats.org/officeDocument/2006/relationships/hyperlink" Target="https://app-web.statementrec.com/app#appuploadfiles/3a1d866c-33ed-53c8-39c9-95fbff86cedc" TargetMode="External"/><Relationship Id="rId2546" Type="http://schemas.openxmlformats.org/officeDocument/2006/relationships/hyperlink" Target="https://app-web.statementrec.com/app#appuploadfiles/3a1d8989-6b6f-c7b2-e07f-ae17c1aec5f8" TargetMode="External"/><Relationship Id="rId2547" Type="http://schemas.openxmlformats.org/officeDocument/2006/relationships/hyperlink" Target="https://app-web.statementrec.com/app#appuploadfiles/3a1d8a42-c05e-c323-c1a9-80067925656c" TargetMode="External"/><Relationship Id="rId2548" Type="http://schemas.openxmlformats.org/officeDocument/2006/relationships/hyperlink" Target="https://app-web.statementrec.com/app#appuploadfiles/3a1d8a66-a83b-68cd-3924-739a515d5b0d" TargetMode="External"/><Relationship Id="rId2549" Type="http://schemas.openxmlformats.org/officeDocument/2006/relationships/hyperlink" Target="https://app-web.statementrec.com/app#appuploadfiles/3a1d8a81-a268-39de-6a30-21ed0e945b04" TargetMode="External"/><Relationship Id="rId2550" Type="http://schemas.openxmlformats.org/officeDocument/2006/relationships/hyperlink" Target="https://app-web.statementrec.com/app#appuploadfiles/3a1d8a8d-0760-1610-18f4-3ea0c42ca02c" TargetMode="External"/><Relationship Id="rId2551" Type="http://schemas.openxmlformats.org/officeDocument/2006/relationships/hyperlink" Target="https://app-web.statementrec.com/app#appuploadfiles/3a1d8c4a-da53-315e-e45d-a396cee768f6" TargetMode="External"/><Relationship Id="rId2552" Type="http://schemas.openxmlformats.org/officeDocument/2006/relationships/hyperlink" Target="https://app-web.statementrec.com/app#appuploadfiles/3a1d8f74-4b0b-9d2e-b583-d3b5e866fe72" TargetMode="External"/><Relationship Id="rId2553" Type="http://schemas.openxmlformats.org/officeDocument/2006/relationships/hyperlink" Target="https://app-web.statementrec.com/app#appuploadfiles/3a1d8fe8-fae5-6864-1e00-96eb3a0bfd58" TargetMode="External"/><Relationship Id="rId2554" Type="http://schemas.openxmlformats.org/officeDocument/2006/relationships/hyperlink" Target="https://app-web.statementrec.com/app#appuploadfiles/3a1d93f7-9d55-2f0a-dabd-be296c798700" TargetMode="External"/><Relationship Id="rId2555" Type="http://schemas.openxmlformats.org/officeDocument/2006/relationships/hyperlink" Target="https://app-web.statementrec.com/app#appuploadfiles/3a1d96a2-ef0a-918c-a453-52a9b292663e" TargetMode="External"/><Relationship Id="rId2556" Type="http://schemas.openxmlformats.org/officeDocument/2006/relationships/hyperlink" Target="https://app-web.statementrec.com/app#appuploadfiles/3a1d9c38-10d9-9429-57f1-007d31c67f1c" TargetMode="External"/><Relationship Id="rId2557" Type="http://schemas.openxmlformats.org/officeDocument/2006/relationships/hyperlink" Target="https://app-web.statementrec.com/app#appuploadfiles/3a1da3b0-7802-d4c0-a473-dd4df776bd9a" TargetMode="External"/><Relationship Id="rId2558" Type="http://schemas.openxmlformats.org/officeDocument/2006/relationships/hyperlink" Target="https://app-web.statementrec.com/app#appuploadfiles/3a1da572-33ac-0073-61b6-e15675abc8d2" TargetMode="External"/><Relationship Id="rId2559" Type="http://schemas.openxmlformats.org/officeDocument/2006/relationships/hyperlink" Target="https://app-web.statementrec.com/app#appuploadfiles/3a1da8be-ea58-83f0-37ee-257fd3c16252" TargetMode="External"/><Relationship Id="rId2560" Type="http://schemas.openxmlformats.org/officeDocument/2006/relationships/hyperlink" Target="https://app-web.statementrec.com/app#appuploadfiles/3a1da8c9-2a3f-6746-4cad-99132a150faa" TargetMode="External"/><Relationship Id="rId2561" Type="http://schemas.openxmlformats.org/officeDocument/2006/relationships/hyperlink" Target="https://app-web.statementrec.com/app#appuploadfiles/3a1da9cf-fca8-e94a-a075-ef4f8414b89d" TargetMode="External"/><Relationship Id="rId2562" Type="http://schemas.openxmlformats.org/officeDocument/2006/relationships/hyperlink" Target="https://app-web.statementrec.com/app#appuploadfiles/3a1daa3d-0868-c474-4180-c474aba82841" TargetMode="External"/><Relationship Id="rId2563" Type="http://schemas.openxmlformats.org/officeDocument/2006/relationships/hyperlink" Target="https://app-web.statementrec.com/app#appuploadfiles/3a1dadfe-39fb-02b7-e879-2f2255536b18" TargetMode="External"/><Relationship Id="rId2564" Type="http://schemas.openxmlformats.org/officeDocument/2006/relationships/hyperlink" Target="https://app-web.statementrec.com/app#appuploadfiles/3a1db23a-d6b4-6044-79fa-ae9d1adae024" TargetMode="External"/><Relationship Id="rId2565" Type="http://schemas.openxmlformats.org/officeDocument/2006/relationships/hyperlink" Target="https://app-web.statementrec.com/app#appuploadfiles/3a1db2a7-99d4-77de-a77d-402a55b5b181" TargetMode="External"/><Relationship Id="rId2566" Type="http://schemas.openxmlformats.org/officeDocument/2006/relationships/hyperlink" Target="https://app-web.statementrec.com/app#appuploadfiles/3a1db3e7-1d1b-ccdf-f33f-fda7b163a732" TargetMode="External"/><Relationship Id="rId2567" Type="http://schemas.openxmlformats.org/officeDocument/2006/relationships/hyperlink" Target="https://app-web.statementrec.com/app#appuploadfiles/3a1db563-f732-1d0d-0284-ddd2154c45c9" TargetMode="External"/><Relationship Id="rId2568" Type="http://schemas.openxmlformats.org/officeDocument/2006/relationships/hyperlink" Target="https://app-web.statementrec.com/app#appuploadfiles/3a1db74c-c043-b81c-c98e-e96eb6929a6a" TargetMode="External"/><Relationship Id="rId2569" Type="http://schemas.openxmlformats.org/officeDocument/2006/relationships/hyperlink" Target="https://app-web.statementrec.com/app#appuploadfiles/3a1db7cf-ce48-7b29-045f-6a7bfc2ce1cc" TargetMode="External"/><Relationship Id="rId2570" Type="http://schemas.openxmlformats.org/officeDocument/2006/relationships/hyperlink" Target="https://app-web.statementrec.com/app#appuploadfiles/3a1db80b-ae08-cd41-20d1-4dad6e2f63ed" TargetMode="External"/><Relationship Id="rId2571" Type="http://schemas.openxmlformats.org/officeDocument/2006/relationships/hyperlink" Target="https://app-web.statementrec.com/app#appuploadfiles/3a1db812-4ee6-b688-b20d-11776dfadcd2" TargetMode="External"/><Relationship Id="rId2572" Type="http://schemas.openxmlformats.org/officeDocument/2006/relationships/hyperlink" Target="https://app-web.statementrec.com/app#appuploadfiles/3a1db876-165a-3af8-b002-21c3caac8434" TargetMode="External"/><Relationship Id="rId2573" Type="http://schemas.openxmlformats.org/officeDocument/2006/relationships/hyperlink" Target="https://app-web.statementrec.com/app#appuploadfiles/3a1db87d-5438-08a4-e3ff-db059af88370" TargetMode="External"/><Relationship Id="rId2574" Type="http://schemas.openxmlformats.org/officeDocument/2006/relationships/hyperlink" Target="https://app-web.statementrec.com/app#appuploadfiles/3a1db9e4-7c8b-4412-46d6-4a9eee05e0ff" TargetMode="External"/><Relationship Id="rId2575" Type="http://schemas.openxmlformats.org/officeDocument/2006/relationships/hyperlink" Target="https://app-web.statementrec.com/app#appuploadfiles/3a1dbe6c-9fbc-b913-fddf-cbab94cceba8" TargetMode="External"/><Relationship Id="rId2576" Type="http://schemas.openxmlformats.org/officeDocument/2006/relationships/hyperlink" Target="https://app-web.statementrec.com/app#appuploadfiles/3a1dc73c-524f-33aa-604a-f44609fed3df" TargetMode="External"/><Relationship Id="rId2577" Type="http://schemas.openxmlformats.org/officeDocument/2006/relationships/hyperlink" Target="https://app-web.statementrec.com/app#appuploadfiles/3a1dc84c-a30b-1c64-c052-468f3cbb604f" TargetMode="External"/><Relationship Id="rId2578" Type="http://schemas.openxmlformats.org/officeDocument/2006/relationships/hyperlink" Target="https://app-web.statementrec.com/app#appuploadfiles/3a1dc85f-da2d-a97f-657e-20f1b8461e98" TargetMode="External"/><Relationship Id="rId2579" Type="http://schemas.openxmlformats.org/officeDocument/2006/relationships/hyperlink" Target="https://app-web.statementrec.com/app#appuploadfiles/3a1dc892-7c6e-713b-ea0f-aa044e40865d" TargetMode="External"/><Relationship Id="rId2580" Type="http://schemas.openxmlformats.org/officeDocument/2006/relationships/hyperlink" Target="https://app-web.statementrec.com/app#appuploadfiles/3a1dc8c2-36fc-8755-9f02-a3cd5524b566" TargetMode="External"/><Relationship Id="rId2581" Type="http://schemas.openxmlformats.org/officeDocument/2006/relationships/hyperlink" Target="https://app-web.statementrec.com/app#appuploadfiles/3a1dcdb0-f0f7-3789-92e4-7f8b9bbbd4d8" TargetMode="External"/><Relationship Id="rId2582" Type="http://schemas.openxmlformats.org/officeDocument/2006/relationships/hyperlink" Target="https://app-web.statementrec.com/app#appuploadfiles/3a1dcdce-f98d-3296-144b-850fa6bca9fb" TargetMode="External"/><Relationship Id="rId2583" Type="http://schemas.openxmlformats.org/officeDocument/2006/relationships/hyperlink" Target="https://app-web.statementrec.com/app#appuploadfiles/3a1dce1f-10bd-b2e6-ec6f-424991295332" TargetMode="External"/><Relationship Id="rId2584" Type="http://schemas.openxmlformats.org/officeDocument/2006/relationships/hyperlink" Target="https://app-web.statementrec.com/app#appuploadfiles/3a1dce43-69e3-af98-82e4-88b4c34ecce9" TargetMode="External"/><Relationship Id="rId2585" Type="http://schemas.openxmlformats.org/officeDocument/2006/relationships/hyperlink" Target="https://app-web.statementrec.com/app#appuploadfiles/3a1dd25b-d030-5239-838d-20c1aafd821d" TargetMode="External"/><Relationship Id="rId2586" Type="http://schemas.openxmlformats.org/officeDocument/2006/relationships/hyperlink" Target="https://app-web.statementrec.com/app#appuploadfiles/3a1dd2af-9670-dfdd-2941-92e8f0738b9d" TargetMode="External"/><Relationship Id="rId2587" Type="http://schemas.openxmlformats.org/officeDocument/2006/relationships/hyperlink" Target="https://app-web.statementrec.com/app#appuploadfiles/3a1dd6a6-cbaa-6d1e-5a67-21fd8aa6d0cc" TargetMode="External"/><Relationship Id="rId2588" Type="http://schemas.openxmlformats.org/officeDocument/2006/relationships/hyperlink" Target="https://app-web.statementrec.com/app#appuploadfiles/3a1dd73f-b617-750c-a75a-14624bceea8e" TargetMode="External"/><Relationship Id="rId2589" Type="http://schemas.openxmlformats.org/officeDocument/2006/relationships/hyperlink" Target="https://app-web.statementrec.com/app#appuploadfiles/3a1dd81f-807f-f415-a9db-ef0012ad5dc0" TargetMode="External"/><Relationship Id="rId2590" Type="http://schemas.openxmlformats.org/officeDocument/2006/relationships/hyperlink" Target="https://app-web.statementrec.com/app#appuploadfiles/3a1dda39-74de-3b19-fd97-b0ab449bbcbd" TargetMode="External"/><Relationship Id="rId2591" Type="http://schemas.openxmlformats.org/officeDocument/2006/relationships/hyperlink" Target="https://app-web.statementrec.com/app#appuploadfiles/3a1ddc77-a855-e092-046a-c32e58f6099c" TargetMode="External"/><Relationship Id="rId2592" Type="http://schemas.openxmlformats.org/officeDocument/2006/relationships/hyperlink" Target="https://app-web.statementrec.com/app#appuploadfiles/3a1ddd70-daa7-6bbf-c31f-febf4f84756f" TargetMode="External"/><Relationship Id="rId2593" Type="http://schemas.openxmlformats.org/officeDocument/2006/relationships/hyperlink" Target="https://app-web.statementrec.com/app#appuploadfiles/3a1ddfbd-d221-6370-b516-5ae8e93b760b" TargetMode="External"/><Relationship Id="rId2594" Type="http://schemas.openxmlformats.org/officeDocument/2006/relationships/hyperlink" Target="https://app-web.statementrec.com/app#appuploadfiles/3a1de861-4a5a-e6ba-53de-4df5c3cc45b8" TargetMode="External"/><Relationship Id="rId2595" Type="http://schemas.openxmlformats.org/officeDocument/2006/relationships/hyperlink" Target="https://app-web.statementrec.com/app#appuploadfiles/3a1deae4-1941-5a1c-b6f9-94f2165af267" TargetMode="External"/><Relationship Id="rId2596" Type="http://schemas.openxmlformats.org/officeDocument/2006/relationships/hyperlink" Target="https://app-web.statementrec.com/app#appuploadfiles/3a1dec2f-1069-ca51-6489-09dd8ffc4bac" TargetMode="External"/><Relationship Id="rId2597" Type="http://schemas.openxmlformats.org/officeDocument/2006/relationships/hyperlink" Target="https://app-web.statementrec.com/app#appuploadfiles/3a1dec42-7dc7-07c6-1c3d-1e7bbd5582a8" TargetMode="External"/><Relationship Id="rId2598" Type="http://schemas.openxmlformats.org/officeDocument/2006/relationships/hyperlink" Target="https://app-web.statementrec.com/app#appuploadfiles/3a1decfc-d413-c95d-56dd-a353e63b302b" TargetMode="External"/><Relationship Id="rId2599" Type="http://schemas.openxmlformats.org/officeDocument/2006/relationships/hyperlink" Target="https://app-web.statementrec.com/app#appuploadfiles/3a1ded15-441b-2d4c-994d-abccedf596b9" TargetMode="External"/><Relationship Id="rId2600" Type="http://schemas.openxmlformats.org/officeDocument/2006/relationships/hyperlink" Target="https://app-web.statementrec.com/app#appuploadfiles/3a1ded1c-33c1-fddd-0651-8f198c0d5b45" TargetMode="External"/><Relationship Id="rId2601" Type="http://schemas.openxmlformats.org/officeDocument/2006/relationships/hyperlink" Target="https://app-web.statementrec.com/app#appuploadfiles/3a1ded25-3109-677b-1981-219b88ccbe63" TargetMode="External"/><Relationship Id="rId2602" Type="http://schemas.openxmlformats.org/officeDocument/2006/relationships/hyperlink" Target="https://app-web.statementrec.com/app#appuploadfiles/3a1dee01-c84f-f51f-1b2c-24ed026317df" TargetMode="External"/><Relationship Id="rId2603" Type="http://schemas.openxmlformats.org/officeDocument/2006/relationships/hyperlink" Target="https://app-web.statementrec.com/app#appuploadfiles/3a1df06d-cad8-69d6-2fae-89b6a0148a6c" TargetMode="External"/><Relationship Id="rId2604" Type="http://schemas.openxmlformats.org/officeDocument/2006/relationships/hyperlink" Target="https://app-web.statementrec.com/app#appuploadfiles/3a1df12f-76f2-4cf8-44dc-2025054cb908" TargetMode="External"/><Relationship Id="rId2605" Type="http://schemas.openxmlformats.org/officeDocument/2006/relationships/hyperlink" Target="https://app-web.statementrec.com/app#appuploadfiles/3a1df5d7-0b0b-5d0c-cbb5-120f74050fc2" TargetMode="External"/><Relationship Id="rId2606" Type="http://schemas.openxmlformats.org/officeDocument/2006/relationships/hyperlink" Target="https://app-web.statementrec.com/app#appuploadfiles/3a1df6e6-a1d7-03a9-12b5-a262715438d2" TargetMode="External"/><Relationship Id="rId2607" Type="http://schemas.openxmlformats.org/officeDocument/2006/relationships/hyperlink" Target="https://app-web.statementrec.com/app#appuploadfiles/3a1dffd6-1cc6-9d0b-9746-9ed4fe449929" TargetMode="External"/><Relationship Id="rId2608" Type="http://schemas.openxmlformats.org/officeDocument/2006/relationships/hyperlink" Target="https://app-web.statementrec.com/app#appuploadfiles/3a1e0016-6e56-9d64-ca53-80b6f822682f" TargetMode="External"/><Relationship Id="rId2609" Type="http://schemas.openxmlformats.org/officeDocument/2006/relationships/hyperlink" Target="https://app-web.statementrec.com/app#appuploadfiles/3a1e013f-9772-1abd-2015-7f747c4d6bfe" TargetMode="External"/><Relationship Id="rId2610" Type="http://schemas.openxmlformats.org/officeDocument/2006/relationships/hyperlink" Target="https://app-web.statementrec.com/app#appuploadfiles/3a1e0fa2-8a44-b287-1ddd-45ab18f9e200" TargetMode="External"/><Relationship Id="rId2611" Type="http://schemas.openxmlformats.org/officeDocument/2006/relationships/hyperlink" Target="https://app-web.statementrec.com/app#appuploadfiles/3a1e0fcc-87b7-5d04-bb7d-6b79b0fbe38c" TargetMode="External"/><Relationship Id="rId2612" Type="http://schemas.openxmlformats.org/officeDocument/2006/relationships/hyperlink" Target="https://app-web.statementrec.com/app#appuploadfiles/3a1e10d9-b039-4c3d-7471-089dfc307730" TargetMode="External"/><Relationship Id="rId2613" Type="http://schemas.openxmlformats.org/officeDocument/2006/relationships/hyperlink" Target="https://app-web.statementrec.com/app#appuploadfiles/3a1e14ed-c26f-ff5d-a0dd-ec29fc704a5c" TargetMode="External"/><Relationship Id="rId2614" Type="http://schemas.openxmlformats.org/officeDocument/2006/relationships/hyperlink" Target="https://app-web.statementrec.com/app#appuploadfiles/3a1e1575-b77c-0d14-bd77-21b2d1185efd" TargetMode="External"/><Relationship Id="rId2615" Type="http://schemas.openxmlformats.org/officeDocument/2006/relationships/hyperlink" Target="https://app-web.statementrec.com/app#appuploadfiles/3a1e15d4-eae5-9c63-b21d-44032afc9434" TargetMode="External"/><Relationship Id="rId2616" Type="http://schemas.openxmlformats.org/officeDocument/2006/relationships/hyperlink" Target="https://app-web.statementrec.com/app#appuploadfiles/3a1e1605-5a8b-a4be-2be9-4e2e739eec24" TargetMode="External"/><Relationship Id="rId2617" Type="http://schemas.openxmlformats.org/officeDocument/2006/relationships/hyperlink" Target="https://app-web.statementrec.com/app#appuploadfiles/3a1e1780-dee5-d488-48d4-adea10aa4c10" TargetMode="External"/><Relationship Id="rId2618" Type="http://schemas.openxmlformats.org/officeDocument/2006/relationships/hyperlink" Target="https://app-web.statementrec.com/app#appuploadfiles/3a1e19d3-4bd7-4905-48ee-a058887a4455" TargetMode="External"/><Relationship Id="rId2619" Type="http://schemas.openxmlformats.org/officeDocument/2006/relationships/hyperlink" Target="https://app-web.statementrec.com/app#appuploadfiles/3a1e1ae3-cd82-0223-5188-62b881305e4c" TargetMode="External"/><Relationship Id="rId2620" Type="http://schemas.openxmlformats.org/officeDocument/2006/relationships/hyperlink" Target="https://app-web.statementrec.com/app#appuploadfiles/3a1e20a0-93b3-84b0-f90a-0b44725c8605" TargetMode="External"/><Relationship Id="rId2621" Type="http://schemas.openxmlformats.org/officeDocument/2006/relationships/hyperlink" Target="https://app-web.statementrec.com/app#appuploadfiles/3a1e24a9-9498-e6d9-203c-1657832ffc65" TargetMode="External"/><Relationship Id="rId2622" Type="http://schemas.openxmlformats.org/officeDocument/2006/relationships/hyperlink" Target="https://app-web.statementrec.com/app#appuploadfiles/3a1e252f-ec8e-1107-48c9-2f5fe665953f" TargetMode="External"/><Relationship Id="rId2623" Type="http://schemas.openxmlformats.org/officeDocument/2006/relationships/hyperlink" Target="https://app-web.statementrec.com/app#appuploadfiles/3a1e34e4-affe-2c0c-2487-e3c7641a3f8b" TargetMode="External"/><Relationship Id="rId2624" Type="http://schemas.openxmlformats.org/officeDocument/2006/relationships/hyperlink" Target="https://app-web.statementrec.com/app#appuploadfiles/3a1e3d2a-9b0a-f610-b251-2f83b6790426" TargetMode="External"/><Relationship Id="rId2625" Type="http://schemas.openxmlformats.org/officeDocument/2006/relationships/hyperlink" Target="https://app-web.statementrec.com/app#appuploadfiles/3a1e3db8-e8a6-e761-742f-a6dd8ba0f20b" TargetMode="External"/><Relationship Id="rId2626" Type="http://schemas.openxmlformats.org/officeDocument/2006/relationships/hyperlink" Target="https://app-web.statementrec.com/app#appuploadfiles/3a1e3f11-bf11-54e2-52ee-e88370c04d40" TargetMode="External"/><Relationship Id="rId2627" Type="http://schemas.openxmlformats.org/officeDocument/2006/relationships/hyperlink" Target="https://app-web.statementrec.com/app#appuploadfiles/3a1e4418-4825-9c08-8807-a2316657b9d5" TargetMode="External"/><Relationship Id="rId2628" Type="http://schemas.openxmlformats.org/officeDocument/2006/relationships/hyperlink" Target="https://app-web.statementrec.com/app#appuploadfiles/3a1e4426-626c-87bb-ff7c-56a520872321" TargetMode="External"/><Relationship Id="rId2629" Type="http://schemas.openxmlformats.org/officeDocument/2006/relationships/hyperlink" Target="https://app-web.statementrec.com/app#appuploadfiles/3a1e44f7-a067-70d6-1463-e520d2e41cca" TargetMode="External"/><Relationship Id="rId2630" Type="http://schemas.openxmlformats.org/officeDocument/2006/relationships/hyperlink" Target="https://app-web.statementrec.com/app#appuploadfiles/3a1e49f8-3971-4bb9-a1dd-b9a7d597cd09" TargetMode="External"/><Relationship Id="rId2631" Type="http://schemas.openxmlformats.org/officeDocument/2006/relationships/hyperlink" Target="https://app-web.statementrec.com/app#appuploadfiles/3a1e57a0-14e0-8651-6362-05598657d6e9" TargetMode="External"/><Relationship Id="rId2632" Type="http://schemas.openxmlformats.org/officeDocument/2006/relationships/hyperlink" Target="https://app-web.statementrec.com/app#appuploadfiles/3a1e5925-6f59-88ff-5128-37260d2defbd" TargetMode="External"/><Relationship Id="rId2633" Type="http://schemas.openxmlformats.org/officeDocument/2006/relationships/hyperlink" Target="https://app-web.statementrec.com/app#appuploadfiles/3a1e5bb8-155e-6f63-618d-ee6d8c41fb62" TargetMode="External"/><Relationship Id="rId2634" Type="http://schemas.openxmlformats.org/officeDocument/2006/relationships/hyperlink" Target="https://app-web.statementrec.com/app#appuploadfiles/3a1e5d3f-f88d-4700-0ddf-9c4c26460cec" TargetMode="External"/><Relationship Id="rId2635" Type="http://schemas.openxmlformats.org/officeDocument/2006/relationships/hyperlink" Target="https://app-web.statementrec.com/app#appuploadfiles/3a1e6bd4-d2c8-3d5a-6e9d-551969168757" TargetMode="External"/><Relationship Id="rId2636" Type="http://schemas.openxmlformats.org/officeDocument/2006/relationships/hyperlink" Target="https://app-web.statementrec.com/app#appuploadfiles/3a1e77ec-0f77-eb55-ced5-4d6b70edabb4" TargetMode="External"/><Relationship Id="rId2637" Type="http://schemas.openxmlformats.org/officeDocument/2006/relationships/hyperlink" Target="https://app-web.statementrec.com/app#appuploadfiles/3a1e7b1a-a302-2d96-4bfa-441dcf794e09" TargetMode="External"/><Relationship Id="rId2638" Type="http://schemas.openxmlformats.org/officeDocument/2006/relationships/hyperlink" Target="https://app-web.statementrec.com/app#appuploadfiles/3a1e7d39-707c-de2a-98ee-ad947753fb11" TargetMode="External"/><Relationship Id="rId2639" Type="http://schemas.openxmlformats.org/officeDocument/2006/relationships/hyperlink" Target="https://app-web.statementrec.com/app#appuploadfiles/3a1e8739-1b03-96eb-e230-851e6c0ab530" TargetMode="External"/><Relationship Id="rId2640" Type="http://schemas.openxmlformats.org/officeDocument/2006/relationships/hyperlink" Target="https://app-web.statementrec.com/app#appuploadfiles/3a1e917c-f6e0-c451-2095-d08f34aa035b" TargetMode="External"/><Relationship Id="rId2641" Type="http://schemas.openxmlformats.org/officeDocument/2006/relationships/hyperlink" Target="https://app-web.statementrec.com/app#appuploadfiles/3a1e926b-5013-6587-44dd-6befda69d6ae" TargetMode="External"/><Relationship Id="rId2642" Type="http://schemas.openxmlformats.org/officeDocument/2006/relationships/hyperlink" Target="https://app-web.statementrec.com/app#appuploadfiles/3a1e96b1-af40-f8a9-a8ac-a48c75689649" TargetMode="External"/><Relationship Id="rId2643" Type="http://schemas.openxmlformats.org/officeDocument/2006/relationships/hyperlink" Target="https://app-web.statementrec.com/app#appuploadfiles/3a1e9cb5-6dcd-d741-8bbd-da0005b2e582" TargetMode="External"/><Relationship Id="rId2644" Type="http://schemas.openxmlformats.org/officeDocument/2006/relationships/hyperlink" Target="https://app-web.statementrec.com/app#appuploadfiles/3a1ea02e-45a5-f695-3f05-e77a2921fd35" TargetMode="External"/><Relationship Id="rId2645" Type="http://schemas.openxmlformats.org/officeDocument/2006/relationships/hyperlink" Target="https://app-web.statementrec.com/app#appuploadfiles/3a1ea05c-0e2f-ebe0-9151-a1a0082c1075" TargetMode="External"/><Relationship Id="rId2646" Type="http://schemas.openxmlformats.org/officeDocument/2006/relationships/hyperlink" Target="https://app-web.statementrec.com/app#appuploadfiles/3a1ea112-ff20-87f3-a8fd-4f67dc9b28f4" TargetMode="External"/><Relationship Id="rId2647" Type="http://schemas.openxmlformats.org/officeDocument/2006/relationships/hyperlink" Target="https://app-web.statementrec.com/app#appuploadfiles/3a1ea13d-0f33-53ca-4178-62fe9e4d2c33" TargetMode="External"/><Relationship Id="rId2648" Type="http://schemas.openxmlformats.org/officeDocument/2006/relationships/hyperlink" Target="https://app-web.statementrec.com/app#appuploadfiles/3a1ea1d8-b18a-499b-a589-4f4145cbcf11" TargetMode="External"/><Relationship Id="rId2649" Type="http://schemas.openxmlformats.org/officeDocument/2006/relationships/hyperlink" Target="https://app-web.statementrec.com/app#appuploadfiles/3a1ea4ae-6577-22b3-be7b-10421d99a1b3" TargetMode="External"/><Relationship Id="rId2650" Type="http://schemas.openxmlformats.org/officeDocument/2006/relationships/hyperlink" Target="https://app-web.statementrec.com/app#appuploadfiles/3a1ea594-c774-c415-c44d-49781651855c" TargetMode="External"/><Relationship Id="rId2651" Type="http://schemas.openxmlformats.org/officeDocument/2006/relationships/hyperlink" Target="https://app-web.statementrec.com/app#appuploadfiles/3a1ea9bc-0e08-96d1-2910-3228f39e20b5" TargetMode="External"/><Relationship Id="rId2652" Type="http://schemas.openxmlformats.org/officeDocument/2006/relationships/hyperlink" Target="https://app-web.statementrec.com/app#appuploadfiles/3a1eaa4b-23fa-df38-8718-c688fcbeb2db" TargetMode="External"/><Relationship Id="rId2653" Type="http://schemas.openxmlformats.org/officeDocument/2006/relationships/hyperlink" Target="https://app-web.statementrec.com/app#appuploadfiles/3a1eaa4e-4939-9986-b689-6d072ec8cd09" TargetMode="External"/><Relationship Id="rId2654" Type="http://schemas.openxmlformats.org/officeDocument/2006/relationships/hyperlink" Target="https://app-web.statementrec.com/app#appuploadfiles/3a1eaefc-984e-5078-d130-b7e916eabed6" TargetMode="External"/><Relationship Id="rId2655" Type="http://schemas.openxmlformats.org/officeDocument/2006/relationships/hyperlink" Target="https://app-web.statementrec.com/app#appuploadfiles/3a1eaf44-a37f-b23b-054c-0b7978027fe3" TargetMode="External"/><Relationship Id="rId2656" Type="http://schemas.openxmlformats.org/officeDocument/2006/relationships/hyperlink" Target="https://app-web.statementrec.com/app#appuploadfiles/3a1eafe1-e85d-80ed-5db7-0295da51cf04" TargetMode="External"/><Relationship Id="rId2657" Type="http://schemas.openxmlformats.org/officeDocument/2006/relationships/hyperlink" Target="https://app-web.statementrec.com/app#appuploadfiles/3a1eb052-bde7-d4a1-b13b-481223762cad" TargetMode="External"/><Relationship Id="rId2658" Type="http://schemas.openxmlformats.org/officeDocument/2006/relationships/hyperlink" Target="https://app-web.statementrec.com/app#appuploadfiles/3a1eb547-8706-44cb-b165-2c5730c7bc5f" TargetMode="External"/><Relationship Id="rId2659" Type="http://schemas.openxmlformats.org/officeDocument/2006/relationships/hyperlink" Target="https://app-web.statementrec.com/app#appuploadfiles/3a1eb563-3a40-7f98-76f9-0e51c2acfea2" TargetMode="External"/><Relationship Id="rId2660" Type="http://schemas.openxmlformats.org/officeDocument/2006/relationships/hyperlink" Target="https://app-web.statementrec.com/app#appuploadfiles/3a1ec3f1-546c-489e-f89d-782c47819937" TargetMode="External"/><Relationship Id="rId2661" Type="http://schemas.openxmlformats.org/officeDocument/2006/relationships/hyperlink" Target="https://app-web.statementrec.com/app#appuploadfiles/3a1ec49c-19c7-34dc-1aaf-08f4436a08ae" TargetMode="External"/><Relationship Id="rId2662" Type="http://schemas.openxmlformats.org/officeDocument/2006/relationships/hyperlink" Target="https://app-web.statementrec.com/app#appuploadfiles/3a1ec97d-ac19-38da-b977-48d9dbce3adf" TargetMode="External"/><Relationship Id="rId2663" Type="http://schemas.openxmlformats.org/officeDocument/2006/relationships/hyperlink" Target="https://app-web.statementrec.com/app#appuploadfiles/3a1ec986-315d-5092-d2a9-50a128fdc741" TargetMode="External"/><Relationship Id="rId2664" Type="http://schemas.openxmlformats.org/officeDocument/2006/relationships/hyperlink" Target="https://app-web.statementrec.com/app#appuploadfiles/3a1ecdbe-35a5-4aac-aa3e-c9a1a6de253d" TargetMode="External"/><Relationship Id="rId2665" Type="http://schemas.openxmlformats.org/officeDocument/2006/relationships/hyperlink" Target="https://app-web.statementrec.com/app#appuploadfiles/3a1ece73-66e9-a33f-7f0c-2fbe58b7d49a" TargetMode="External"/><Relationship Id="rId2666" Type="http://schemas.openxmlformats.org/officeDocument/2006/relationships/hyperlink" Target="https://app-web.statementrec.com/app#appuploadfiles/3a1ecf01-39ee-3953-67ed-3f0d73196cbf" TargetMode="External"/><Relationship Id="rId2667" Type="http://schemas.openxmlformats.org/officeDocument/2006/relationships/hyperlink" Target="https://app-web.statementrec.com/app#appuploadfiles/3a1ed2b9-ec23-5769-bc6b-ad33f6d10e3a" TargetMode="External"/><Relationship Id="rId2668" Type="http://schemas.openxmlformats.org/officeDocument/2006/relationships/hyperlink" Target="https://app-web.statementrec.com/app#appuploadfiles/3a1ed443-2b3c-15ed-f276-734115740af5" TargetMode="External"/><Relationship Id="rId2669" Type="http://schemas.openxmlformats.org/officeDocument/2006/relationships/hyperlink" Target="https://app-web.statementrec.com/app#appuploadfiles/3a1ed4c4-fcb8-cf02-e1d9-57f66754eb97" TargetMode="External"/><Relationship Id="rId2670" Type="http://schemas.openxmlformats.org/officeDocument/2006/relationships/hyperlink" Target="https://app-web.statementrec.com/app#appuploadfiles/3a1ed4e0-ee7f-fe43-2937-d886311f96ce" TargetMode="External"/><Relationship Id="rId2671" Type="http://schemas.openxmlformats.org/officeDocument/2006/relationships/hyperlink" Target="https://app-web.statementrec.com/app#appuploadfiles/3a1ed529-dad5-4c6c-fb20-44442b2f6c68" TargetMode="External"/><Relationship Id="rId2672" Type="http://schemas.openxmlformats.org/officeDocument/2006/relationships/hyperlink" Target="https://app-web.statementrec.com/app#appuploadfiles/3a1ed7aa-8ff4-7b42-b1ff-9128c2dd28b2" TargetMode="External"/><Relationship Id="rId2673" Type="http://schemas.openxmlformats.org/officeDocument/2006/relationships/hyperlink" Target="https://app-web.statementrec.com/app#appuploadfiles/3a1ed85b-9b22-5b31-0ffe-a8f19889544b" TargetMode="External"/><Relationship Id="rId2674" Type="http://schemas.openxmlformats.org/officeDocument/2006/relationships/hyperlink" Target="https://app-web.statementrec.com/app#appuploadfiles/3a1ed964-6deb-dc2e-c17c-d5ac67108046" TargetMode="External"/><Relationship Id="rId2675" Type="http://schemas.openxmlformats.org/officeDocument/2006/relationships/hyperlink" Target="https://app-web.statementrec.com/app#appuploadfiles/3a1ee762-bdfa-7134-9f5b-3322e21c3a0b" TargetMode="External"/><Relationship Id="rId2676" Type="http://schemas.openxmlformats.org/officeDocument/2006/relationships/hyperlink" Target="https://app-web.statementrec.com/app#appuploadfiles/3a1ee7a7-4470-7603-73dd-f0cff607d69a" TargetMode="External"/><Relationship Id="rId2677" Type="http://schemas.openxmlformats.org/officeDocument/2006/relationships/hyperlink" Target="https://app-web.statementrec.com/app#appuploadfiles/3a1ee7c8-944b-531c-c07b-47eaff1da81d" TargetMode="External"/><Relationship Id="rId2678" Type="http://schemas.openxmlformats.org/officeDocument/2006/relationships/hyperlink" Target="https://app-web.statementrec.com/app#appuploadfiles/3a1ee7d1-0bfa-aa04-8165-f5e09094553b" TargetMode="External"/><Relationship Id="rId2679" Type="http://schemas.openxmlformats.org/officeDocument/2006/relationships/hyperlink" Target="https://app-web.statementrec.com/app#appuploadfiles/3a1ee8e8-34d6-b484-1c1e-5cc3db0ed76b" TargetMode="External"/><Relationship Id="rId2680" Type="http://schemas.openxmlformats.org/officeDocument/2006/relationships/hyperlink" Target="https://app-web.statementrec.com/app#appuploadfiles/3a1ee973-7046-b0d8-805e-c46e4812c94a" TargetMode="External"/><Relationship Id="rId2681" Type="http://schemas.openxmlformats.org/officeDocument/2006/relationships/hyperlink" Target="https://app-web.statementrec.com/app#appuploadfiles/3a1ee9d8-55d9-196c-4aab-739d9272939d" TargetMode="External"/><Relationship Id="rId2682" Type="http://schemas.openxmlformats.org/officeDocument/2006/relationships/hyperlink" Target="https://app-web.statementrec.com/app#appuploadfiles/3a1eeaf1-dc11-71e5-c636-afdd6e6c6af9" TargetMode="External"/><Relationship Id="rId2683" Type="http://schemas.openxmlformats.org/officeDocument/2006/relationships/hyperlink" Target="https://app-web.statementrec.com/app#appuploadfiles/3a1eed5b-793a-b68e-99de-04591fa1fcb9" TargetMode="External"/><Relationship Id="rId2684" Type="http://schemas.openxmlformats.org/officeDocument/2006/relationships/hyperlink" Target="https://app-web.statementrec.com/app#appuploadfiles/3a1eef4d-496c-e662-bf5a-8cfd7c1feb9a" TargetMode="External"/><Relationship Id="rId2685" Type="http://schemas.openxmlformats.org/officeDocument/2006/relationships/hyperlink" Target="https://app-web.statementrec.com/app#appuploadfiles/3a1ef1fe-5f0b-869d-6f91-94f884242ae8" TargetMode="External"/><Relationship Id="rId2686" Type="http://schemas.openxmlformats.org/officeDocument/2006/relationships/hyperlink" Target="https://app-web.statementrec.com/app#appuploadfiles/3a1ef20b-1c97-769d-7562-261cc81a905d" TargetMode="External"/><Relationship Id="rId2687" Type="http://schemas.openxmlformats.org/officeDocument/2006/relationships/hyperlink" Target="https://app-web.statementrec.com/app#appuploadfiles/3a1ef220-d464-343c-5e8e-f09f64f2dc98" TargetMode="External"/><Relationship Id="rId2688" Type="http://schemas.openxmlformats.org/officeDocument/2006/relationships/hyperlink" Target="https://app-web.statementrec.com/app#appuploadfiles/3a1ef28e-6270-c196-0320-c34f42f80903" TargetMode="External"/><Relationship Id="rId2689" Type="http://schemas.openxmlformats.org/officeDocument/2006/relationships/hyperlink" Target="https://app-web.statementrec.com/app#appuploadfiles/3a1ef293-35f4-80a7-3b92-7ba1d1c0aee2" TargetMode="External"/><Relationship Id="rId2690" Type="http://schemas.openxmlformats.org/officeDocument/2006/relationships/hyperlink" Target="https://app-web.statementrec.com/app#appuploadfiles/3a1ef2b5-a556-7c24-aef9-2457856b53a9" TargetMode="External"/><Relationship Id="rId2691" Type="http://schemas.openxmlformats.org/officeDocument/2006/relationships/hyperlink" Target="https://app-web.statementrec.com/app#appuploadfiles/3a1ef2b9-3131-1ac2-ae56-e34739c0e7d9" TargetMode="External"/><Relationship Id="rId2692" Type="http://schemas.openxmlformats.org/officeDocument/2006/relationships/hyperlink" Target="https://app-web.statementrec.com/app#appuploadfiles/3a1ef355-23b3-9b87-621d-250a8a2fb2c1" TargetMode="External"/><Relationship Id="rId2693" Type="http://schemas.openxmlformats.org/officeDocument/2006/relationships/hyperlink" Target="https://app-web.statementrec.com/app#appuploadfiles/3a1ef371-1061-eb73-e7a9-fd9c363def63" TargetMode="External"/><Relationship Id="rId2694" Type="http://schemas.openxmlformats.org/officeDocument/2006/relationships/hyperlink" Target="https://app-web.statementrec.com/app#appuploadfiles/3a1ef668-b165-4a54-a53c-f4b93e1b639a" TargetMode="External"/><Relationship Id="rId2695" Type="http://schemas.openxmlformats.org/officeDocument/2006/relationships/hyperlink" Target="https://app-web.statementrec.com/app#appuploadfiles/3a1ef701-9001-5a98-503b-2560e0260ed3" TargetMode="External"/><Relationship Id="rId2696" Type="http://schemas.openxmlformats.org/officeDocument/2006/relationships/hyperlink" Target="https://app-web.statementrec.com/app#appuploadfiles/3a1ef7ce-0dd0-664e-89d2-4d839a69f62f" TargetMode="External"/><Relationship Id="rId2697" Type="http://schemas.openxmlformats.org/officeDocument/2006/relationships/hyperlink" Target="https://app-web.statementrec.com/app#appuploadfiles/3a1efd3e-2eea-7970-feb3-0eb59267ce88" TargetMode="External"/><Relationship Id="rId2698" Type="http://schemas.openxmlformats.org/officeDocument/2006/relationships/hyperlink" Target="https://app-web.statementrec.com/app#appuploadfiles/3a1efd89-d541-8327-6a20-a0fa8b9e248b" TargetMode="External"/><Relationship Id="rId2699" Type="http://schemas.openxmlformats.org/officeDocument/2006/relationships/hyperlink" Target="https://app-web.statementrec.com/app#appuploadfiles/3a1f065e-3804-73ab-638f-b6b351f03c11" TargetMode="External"/><Relationship Id="rId2700" Type="http://schemas.openxmlformats.org/officeDocument/2006/relationships/hyperlink" Target="https://app-web.statementrec.com/app#appuploadfiles/3a1f095c-b604-abaa-b6ee-3efebf54355a" TargetMode="External"/><Relationship Id="rId2701" Type="http://schemas.openxmlformats.org/officeDocument/2006/relationships/hyperlink" Target="https://app-web.statementrec.com/app#appuploadfiles/3a1f0bb9-7e32-356a-1bbb-7deb90bb6a1f" TargetMode="External"/><Relationship Id="rId2702" Type="http://schemas.openxmlformats.org/officeDocument/2006/relationships/hyperlink" Target="https://app-web.statementrec.com/app#appuploadfiles/3a1f0bfd-c549-58fc-09c5-28c7f182cbec" TargetMode="External"/><Relationship Id="rId2703" Type="http://schemas.openxmlformats.org/officeDocument/2006/relationships/hyperlink" Target="https://app-web.statementrec.com/app#appuploadfiles/3a1f0eb0-6017-226d-9fd6-3c86044ed1b4" TargetMode="External"/><Relationship Id="rId2704" Type="http://schemas.openxmlformats.org/officeDocument/2006/relationships/hyperlink" Target="https://app-web.statementrec.com/app#appuploadfiles/3a1f0eb6-c189-37ba-67eb-891e4483b186" TargetMode="External"/><Relationship Id="rId2705" Type="http://schemas.openxmlformats.org/officeDocument/2006/relationships/hyperlink" Target="https://app-web.statementrec.com/app#appuploadfiles/3a1f11b1-27fe-f89a-b181-1e9f86bd6f58" TargetMode="External"/><Relationship Id="rId2706" Type="http://schemas.openxmlformats.org/officeDocument/2006/relationships/hyperlink" Target="https://app-web.statementrec.com/app#appuploadfiles/3a1f1289-27e2-e245-3f1b-478ca64ebbad" TargetMode="External"/><Relationship Id="rId2707" Type="http://schemas.openxmlformats.org/officeDocument/2006/relationships/hyperlink" Target="https://app-web.statementrec.com/app#appuploadfiles/3a1f1342-0e54-2547-bf0a-0c39be3f2137" TargetMode="External"/><Relationship Id="rId2708" Type="http://schemas.openxmlformats.org/officeDocument/2006/relationships/hyperlink" Target="https://app-web.statementrec.com/app#appuploadfiles/3a1f1369-89bf-8a84-2d39-61df53a6dbd2" TargetMode="External"/><Relationship Id="rId2709" Type="http://schemas.openxmlformats.org/officeDocument/2006/relationships/hyperlink" Target="https://app-web.statementrec.com/app#appuploadfiles/3a1f1650-9b1e-6599-34ce-49d9c4dc342d" TargetMode="External"/><Relationship Id="rId2710" Type="http://schemas.openxmlformats.org/officeDocument/2006/relationships/hyperlink" Target="https://app-web.statementrec.com/app#appuploadfiles/3a1f1666-31bb-9bee-623c-e93a9dc58372" TargetMode="External"/><Relationship Id="rId2711" Type="http://schemas.openxmlformats.org/officeDocument/2006/relationships/hyperlink" Target="https://app-web.statementrec.com/app#appuploadfiles/3a1f17e0-4611-28c2-41dc-89f069a187f6" TargetMode="External"/><Relationship Id="rId2712" Type="http://schemas.openxmlformats.org/officeDocument/2006/relationships/hyperlink" Target="https://app-web.statementrec.com/app#appuploadfiles/3a1f17f7-65b9-71a8-ee9c-7a9b26dbf533" TargetMode="External"/><Relationship Id="rId2713" Type="http://schemas.openxmlformats.org/officeDocument/2006/relationships/hyperlink" Target="https://app-web.statementrec.com/app#appuploadfiles/3a1f1b61-4ff6-4d03-9274-62bb77e7b5b9" TargetMode="External"/><Relationship Id="rId2714" Type="http://schemas.openxmlformats.org/officeDocument/2006/relationships/hyperlink" Target="https://app-web.statementrec.com/app#appuploadfiles/3a1f1b74-dcb1-6a6a-ac5f-c63cd19ad00e" TargetMode="External"/><Relationship Id="rId2715" Type="http://schemas.openxmlformats.org/officeDocument/2006/relationships/hyperlink" Target="https://app-web.statementrec.com/app#appuploadfiles/3a1f1c05-1e0e-c0bf-3bb8-1f7ad2234946" TargetMode="External"/><Relationship Id="rId2716" Type="http://schemas.openxmlformats.org/officeDocument/2006/relationships/hyperlink" Target="https://app-web.statementrec.com/app#appuploadfiles/3a1f1c96-3f6f-9240-cd57-6810d74c16da" TargetMode="External"/><Relationship Id="rId2717" Type="http://schemas.openxmlformats.org/officeDocument/2006/relationships/hyperlink" Target="https://app-web.statementrec.com/app#appuploadfiles/3a1f20c3-4726-14e5-e166-e714d81c8cfc" TargetMode="External"/><Relationship Id="rId2718" Type="http://schemas.openxmlformats.org/officeDocument/2006/relationships/hyperlink" Target="https://app-web.statementrec.com/app#appuploadfiles/3a1f214d-c077-3fca-01d8-89eb14a480d0" TargetMode="External"/><Relationship Id="rId2719" Type="http://schemas.openxmlformats.org/officeDocument/2006/relationships/hyperlink" Target="https://app-web.statementrec.com/app#appuploadfiles/3a1f2ee1-394e-b04d-c422-cf13588ec68c" TargetMode="External"/><Relationship Id="rId2720" Type="http://schemas.openxmlformats.org/officeDocument/2006/relationships/hyperlink" Target="https://app-web.statementrec.com/app#appuploadfiles/3a1f2faa-e359-4cb0-fb1e-ebbfb9812267" TargetMode="External"/><Relationship Id="rId2721" Type="http://schemas.openxmlformats.org/officeDocument/2006/relationships/hyperlink" Target="https://app-web.statementrec.com/app#appuploadfiles/3a1f3083-b69a-ff86-4fc9-a17cc2fe45c6" TargetMode="External"/><Relationship Id="rId2722" Type="http://schemas.openxmlformats.org/officeDocument/2006/relationships/hyperlink" Target="https://app-web.statementrec.com/app#appuploadfiles/3a1f310a-cd67-5918-59e0-c40c2e0dab01" TargetMode="External"/><Relationship Id="rId2723" Type="http://schemas.openxmlformats.org/officeDocument/2006/relationships/hyperlink" Target="https://app-web.statementrec.com/app#appuploadfiles/3a1f3138-cc61-4b3d-791b-f01f6c5a11f8" TargetMode="External"/><Relationship Id="rId2724" Type="http://schemas.openxmlformats.org/officeDocument/2006/relationships/hyperlink" Target="https://app-web.statementrec.com/app#appuploadfiles/3a1f3440-e48f-94cd-793c-d658a8c6e7c9" TargetMode="External"/><Relationship Id="rId2725" Type="http://schemas.openxmlformats.org/officeDocument/2006/relationships/hyperlink" Target="https://app-web.statementrec.com/app#appuploadfiles/3a1f361e-ac8a-1ecd-6012-b7f198d1eb8a" TargetMode="External"/><Relationship Id="rId2726" Type="http://schemas.openxmlformats.org/officeDocument/2006/relationships/hyperlink" Target="https://app-web.statementrec.com/app#appuploadfiles/3a1f366f-9289-7700-0fe8-f2b9a111b084" TargetMode="External"/><Relationship Id="rId2727" Type="http://schemas.openxmlformats.org/officeDocument/2006/relationships/hyperlink" Target="https://app-web.statementrec.com/app#appuploadfiles/3a1f3a41-0590-668e-aff5-219199d5de7c" TargetMode="External"/><Relationship Id="rId2728" Type="http://schemas.openxmlformats.org/officeDocument/2006/relationships/hyperlink" Target="https://app-web.statementrec.com/app#appuploadfiles/3a1f3cc4-a2a9-5e85-2dad-109304546570" TargetMode="External"/><Relationship Id="rId2729" Type="http://schemas.openxmlformats.org/officeDocument/2006/relationships/hyperlink" Target="https://app-web.statementrec.com/app#appuploadfiles/3a1f407b-005c-2746-571a-a7c208cb102e" TargetMode="External"/><Relationship Id="rId2730" Type="http://schemas.openxmlformats.org/officeDocument/2006/relationships/hyperlink" Target="https://app-web.statementrec.com/app#appuploadfiles/3a1f40de-9d93-5c81-02c5-1b0763dba62e" TargetMode="External"/><Relationship Id="rId2731" Type="http://schemas.openxmlformats.org/officeDocument/2006/relationships/hyperlink" Target="https://app-web.statementrec.com/app#appuploadfiles/3a1f4150-3d78-34ed-8d0c-b3b09a5b0159" TargetMode="External"/><Relationship Id="rId2732" Type="http://schemas.openxmlformats.org/officeDocument/2006/relationships/hyperlink" Target="https://app-web.statementrec.com/app#appuploadfiles/3a1f4490-d43f-fee4-5f49-85f85f7f5cdb" TargetMode="External"/><Relationship Id="rId2733" Type="http://schemas.openxmlformats.org/officeDocument/2006/relationships/hyperlink" Target="https://app-web.statementrec.com/app#appuploadfiles/3a1f4491-1226-0abb-183e-04cf8a7e8bee" TargetMode="External"/><Relationship Id="rId2734" Type="http://schemas.openxmlformats.org/officeDocument/2006/relationships/hyperlink" Target="https://app-web.statementrec.com/app#appuploadfiles/3a1f4491-4fed-7418-b5c5-1c160da43682" TargetMode="External"/><Relationship Id="rId2735" Type="http://schemas.openxmlformats.org/officeDocument/2006/relationships/hyperlink" Target="https://app-web.statementrec.com/app#appuploadfiles/3a1f4491-86de-4079-8c61-88b5cf5c6b52" TargetMode="External"/><Relationship Id="rId2736" Type="http://schemas.openxmlformats.org/officeDocument/2006/relationships/hyperlink" Target="https://app-web.statementrec.com/app#appuploadfiles/3a1f44d2-e39c-c61b-8898-b6b5c0393036" TargetMode="External"/><Relationship Id="rId2737" Type="http://schemas.openxmlformats.org/officeDocument/2006/relationships/hyperlink" Target="https://app-web.statementrec.com/app#appuploadfiles/3a1f4a64-bc76-655a-5e33-804a38ba12cb" TargetMode="External"/><Relationship Id="rId2738" Type="http://schemas.openxmlformats.org/officeDocument/2006/relationships/hyperlink" Target="https://app-web.statementrec.com/app#appuploadfiles/3a1f533b-1bed-8968-e6ea-edc00b77c1f6" TargetMode="External"/><Relationship Id="rId2739" Type="http://schemas.openxmlformats.org/officeDocument/2006/relationships/hyperlink" Target="https://app-web.statementrec.com/app#appuploadfiles/3a1f53bf-eac9-898f-b79b-ec0fc93c3c90" TargetMode="External"/><Relationship Id="rId2740" Type="http://schemas.openxmlformats.org/officeDocument/2006/relationships/hyperlink" Target="https://app-web.statementrec.com/app#appuploadfiles/3a1f5400-4a96-01a6-3ee2-8a2193af5777" TargetMode="External"/><Relationship Id="rId2741" Type="http://schemas.openxmlformats.org/officeDocument/2006/relationships/hyperlink" Target="https://app-web.statementrec.com/app#appuploadfiles/3a1f5419-68b5-1157-81cb-1632cf10fb35" TargetMode="External"/><Relationship Id="rId2742" Type="http://schemas.openxmlformats.org/officeDocument/2006/relationships/hyperlink" Target="https://app-web.statementrec.com/app#appuploadfiles/3a1f5477-f01b-c12b-f27b-e1e16daa8b7b" TargetMode="External"/><Relationship Id="rId2743" Type="http://schemas.openxmlformats.org/officeDocument/2006/relationships/hyperlink" Target="https://app-web.statementrec.com/app#appuploadfiles/3a1f5479-3a75-b7c9-7bdb-0637c2bc20c7" TargetMode="External"/><Relationship Id="rId2744" Type="http://schemas.openxmlformats.org/officeDocument/2006/relationships/hyperlink" Target="https://app-web.statementrec.com/app#appuploadfiles/3a1f547a-a027-72a8-c1b0-9ba466afe953" TargetMode="External"/><Relationship Id="rId2745" Type="http://schemas.openxmlformats.org/officeDocument/2006/relationships/hyperlink" Target="https://app-web.statementrec.com/app#appuploadfiles/3a1f547f-42f7-a761-f017-4acb2bc77b01" TargetMode="External"/><Relationship Id="rId2746" Type="http://schemas.openxmlformats.org/officeDocument/2006/relationships/hyperlink" Target="https://app-web.statementrec.com/app#appuploadfiles/3a1f54a4-2661-8d2f-2721-fa7e5a6bf5c9" TargetMode="External"/><Relationship Id="rId2747" Type="http://schemas.openxmlformats.org/officeDocument/2006/relationships/hyperlink" Target="https://app-web.statementrec.com/app#appuploadfiles/3a1f54a6-6766-9560-aef4-37cced35cb70" TargetMode="External"/><Relationship Id="rId2748" Type="http://schemas.openxmlformats.org/officeDocument/2006/relationships/hyperlink" Target="https://app-web.statementrec.com/app#appuploadfiles/3a1f5517-c9eb-7e6f-a2ae-322b075ad744" TargetMode="External"/><Relationship Id="rId2749" Type="http://schemas.openxmlformats.org/officeDocument/2006/relationships/hyperlink" Target="https://app-web.statementrec.com/app#appuploadfiles/3a1f555c-d7fb-e25b-158a-e68b575059de" TargetMode="External"/><Relationship Id="rId2750" Type="http://schemas.openxmlformats.org/officeDocument/2006/relationships/hyperlink" Target="https://app-web.statementrec.com/app#appuploadfiles/3a1f5567-fe11-53af-c65e-6a80f2b49275" TargetMode="External"/><Relationship Id="rId2751" Type="http://schemas.openxmlformats.org/officeDocument/2006/relationships/hyperlink" Target="https://app-web.statementrec.com/app#appuploadfiles/3a1f5617-2f96-0443-b95f-118618a3c6c8" TargetMode="External"/><Relationship Id="rId2752" Type="http://schemas.openxmlformats.org/officeDocument/2006/relationships/hyperlink" Target="https://app-web.statementrec.com/app#appuploadfiles/3a1f5691-723b-fe63-8d45-6ec73aa5e0cf" TargetMode="External"/><Relationship Id="rId2753" Type="http://schemas.openxmlformats.org/officeDocument/2006/relationships/hyperlink" Target="https://app-web.statementrec.com/app#appuploadfiles/3a1f58e7-4f65-9f30-c696-3d9e751bca36" TargetMode="External"/><Relationship Id="rId2754" Type="http://schemas.openxmlformats.org/officeDocument/2006/relationships/hyperlink" Target="https://app-web.statementrec.com/app#appuploadfiles/3a1f5a12-62f3-41b3-a745-6bc4aa0e31f7" TargetMode="External"/><Relationship Id="rId2755" Type="http://schemas.openxmlformats.org/officeDocument/2006/relationships/hyperlink" Target="https://app-web.statementrec.com/app#appuploadfiles/3a1f5a5b-98e2-391b-94eb-11d2cc44cb39" TargetMode="External"/><Relationship Id="rId2756" Type="http://schemas.openxmlformats.org/officeDocument/2006/relationships/hyperlink" Target="https://app-web.statementrec.com/app#appuploadfiles/3a1f5a84-2d88-79b6-7372-7f3463aac919" TargetMode="External"/><Relationship Id="rId2757" Type="http://schemas.openxmlformats.org/officeDocument/2006/relationships/hyperlink" Target="https://app-web.statementrec.com/app#appuploadfiles/3a1f5b9b-f7de-d312-2c8d-fb76e62c878d" TargetMode="External"/><Relationship Id="rId2758" Type="http://schemas.openxmlformats.org/officeDocument/2006/relationships/hyperlink" Target="https://app-web.statementrec.com/app#appuploadfiles/3a1f5e97-f5c4-29b8-cc26-59773a800f17" TargetMode="External"/><Relationship Id="rId2759" Type="http://schemas.openxmlformats.org/officeDocument/2006/relationships/hyperlink" Target="https://app-web.statementrec.com/app#appuploadfiles/3a1f5e9b-a499-a33b-7fdf-2c66632d16cd" TargetMode="External"/><Relationship Id="rId2760" Type="http://schemas.openxmlformats.org/officeDocument/2006/relationships/hyperlink" Target="https://app-web.statementrec.com/app#appuploadfiles/3a1f5ea4-41c2-bc32-85f4-24d628e3be1d" TargetMode="External"/><Relationship Id="rId2761" Type="http://schemas.openxmlformats.org/officeDocument/2006/relationships/hyperlink" Target="https://app-web.statementrec.com/app#appuploadfiles/3a1f5f2c-e4a0-786a-d164-422a5911df57" TargetMode="External"/><Relationship Id="rId2762" Type="http://schemas.openxmlformats.org/officeDocument/2006/relationships/hyperlink" Target="https://app-web.statementrec.com/app#appuploadfiles/3a1f5f5c-34c3-1e14-5312-77008ff6f2c3" TargetMode="External"/><Relationship Id="rId2763" Type="http://schemas.openxmlformats.org/officeDocument/2006/relationships/hyperlink" Target="https://app-web.statementrec.com/app#appuploadfiles/3a1f5f77-ad87-f58f-1536-57479380c9ed" TargetMode="External"/><Relationship Id="rId2764" Type="http://schemas.openxmlformats.org/officeDocument/2006/relationships/hyperlink" Target="https://app-web.statementrec.com/app#appuploadfiles/3a1f63c2-71c3-8f61-b9c8-1ecedb8c3d86" TargetMode="External"/><Relationship Id="rId2765" Type="http://schemas.openxmlformats.org/officeDocument/2006/relationships/hyperlink" Target="https://app-web.statementrec.com/app#appuploadfiles/3a1f6492-fb2c-7f74-ecb4-3711a4b7e887" TargetMode="External"/><Relationship Id="rId2766" Type="http://schemas.openxmlformats.org/officeDocument/2006/relationships/hyperlink" Target="https://app-web.statementrec.com/app#appuploadfiles/3a1f64d6-c5d4-14ae-64b8-34d366cfb384" TargetMode="External"/><Relationship Id="rId2767" Type="http://schemas.openxmlformats.org/officeDocument/2006/relationships/hyperlink" Target="https://app-web.statementrec.com/app#appuploadfiles/3a1f6614-509f-2a2e-a8d1-a438f3e39eef" TargetMode="External"/><Relationship Id="rId2768" Type="http://schemas.openxmlformats.org/officeDocument/2006/relationships/hyperlink" Target="https://app-web.statementrec.com/app#appuploadfiles/3a1f6938-dd7e-db72-fa83-7c81b1b79a73" TargetMode="External"/><Relationship Id="rId2769" Type="http://schemas.openxmlformats.org/officeDocument/2006/relationships/hyperlink" Target="https://app-web.statementrec.com/app#appuploadfiles/3a1f6962-5df8-4b2b-8a5c-003bae6fc1e8" TargetMode="External"/><Relationship Id="rId2770" Type="http://schemas.openxmlformats.org/officeDocument/2006/relationships/hyperlink" Target="https://app-web.statementrec.com/app#appuploadfiles/3a1f747e-2ef8-e953-a814-dd392a3d6d0d" TargetMode="External"/><Relationship Id="rId2771" Type="http://schemas.openxmlformats.org/officeDocument/2006/relationships/hyperlink" Target="https://app-web.statementrec.com/app#appuploadfiles/3a1f7935-cd0f-2556-017d-37786a24513c" TargetMode="External"/><Relationship Id="rId2772" Type="http://schemas.openxmlformats.org/officeDocument/2006/relationships/hyperlink" Target="https://app-web.statementrec.com/app#appuploadfiles/3a1f7974-fb97-dcc4-81de-b0287b21543b" TargetMode="External"/><Relationship Id="rId2773" Type="http://schemas.openxmlformats.org/officeDocument/2006/relationships/hyperlink" Target="https://app-web.statementrec.com/app#appuploadfiles/3a1f7b27-7c92-d376-e57e-b6061d12e9da" TargetMode="External"/><Relationship Id="rId2774" Type="http://schemas.openxmlformats.org/officeDocument/2006/relationships/hyperlink" Target="https://app-web.statementrec.com/app#appuploadfiles/3a1f7bf8-2321-cbfd-5e28-88758ab2c1d6" TargetMode="External"/><Relationship Id="rId2775" Type="http://schemas.openxmlformats.org/officeDocument/2006/relationships/hyperlink" Target="https://app-web.statementrec.com/app#appuploadfiles/3a1f7dd5-2866-2e81-5a4a-01d6ac725885" TargetMode="External"/><Relationship Id="rId2776" Type="http://schemas.openxmlformats.org/officeDocument/2006/relationships/hyperlink" Target="https://app-web.statementrec.com/app#appuploadfiles/3a1f7e22-43ac-152f-45f7-12d8b45a7339" TargetMode="External"/><Relationship Id="rId2777" Type="http://schemas.openxmlformats.org/officeDocument/2006/relationships/hyperlink" Target="https://app-web.statementrec.com/app#appuploadfiles/3a1f7e42-6320-640d-f00d-88e19d87e862" TargetMode="External"/><Relationship Id="rId2778" Type="http://schemas.openxmlformats.org/officeDocument/2006/relationships/hyperlink" Target="https://app-web.statementrec.com/app#appuploadfiles/3a1f7f79-fa90-f28b-4a89-d12be9a5aef2" TargetMode="External"/><Relationship Id="rId2779" Type="http://schemas.openxmlformats.org/officeDocument/2006/relationships/hyperlink" Target="https://app-web.statementrec.com/app#appuploadfiles/3a1f8266-7ef5-9c91-0941-552894a5b41f" TargetMode="External"/><Relationship Id="rId2780" Type="http://schemas.openxmlformats.org/officeDocument/2006/relationships/hyperlink" Target="https://app-web.statementrec.com/app#appuploadfiles/3a1f8352-9b66-eb24-d8cc-0ab49a4a6e5e" TargetMode="External"/><Relationship Id="rId2781" Type="http://schemas.openxmlformats.org/officeDocument/2006/relationships/hyperlink" Target="https://app-web.statementrec.com/app#appuploadfiles/3a1f83ec-069b-7d98-2562-7c8b8173a58a" TargetMode="External"/><Relationship Id="rId2782" Type="http://schemas.openxmlformats.org/officeDocument/2006/relationships/hyperlink" Target="https://app-web.statementrec.com/app#appuploadfiles/3a1f8447-2124-1baa-42d7-d2b1a3170011" TargetMode="External"/><Relationship Id="rId2783" Type="http://schemas.openxmlformats.org/officeDocument/2006/relationships/hyperlink" Target="https://app-web.statementrec.com/app#appuploadfiles/3a1f8763-644e-3d4e-4ffd-dd1d8139cda1" TargetMode="External"/><Relationship Id="rId2784" Type="http://schemas.openxmlformats.org/officeDocument/2006/relationships/hyperlink" Target="https://app-web.statementrec.com/app#appuploadfiles/3a1f8765-19f2-d74a-31eb-88bf746b869c" TargetMode="External"/><Relationship Id="rId2785" Type="http://schemas.openxmlformats.org/officeDocument/2006/relationships/hyperlink" Target="https://app-web.statementrec.com/app#appuploadfiles/3a1f87c5-6312-9d9c-58fb-c349510e6602" TargetMode="External"/><Relationship Id="rId2786" Type="http://schemas.openxmlformats.org/officeDocument/2006/relationships/hyperlink" Target="https://app-web.statementrec.com/app#appuploadfiles/3a1f8c9b-05d6-e52a-42f8-5e14ffd474ad" TargetMode="External"/><Relationship Id="rId2787" Type="http://schemas.openxmlformats.org/officeDocument/2006/relationships/hyperlink" Target="https://app-web.statementrec.com/app#appuploadfiles/3a1f8ceb-1a84-3902-61f3-949456ad95a5" TargetMode="External"/><Relationship Id="rId2788" Type="http://schemas.openxmlformats.org/officeDocument/2006/relationships/hyperlink" Target="https://app-web.statementrec.com/app#appuploadfiles/3a1f8cf0-11e0-1c2e-b58f-5323bb27239d" TargetMode="External"/><Relationship Id="rId2789" Type="http://schemas.openxmlformats.org/officeDocument/2006/relationships/hyperlink" Target="https://app-web.statementrec.com/app#appuploadfiles/3a1f8d06-aea6-8fc3-4f43-f817095ebaac" TargetMode="External"/><Relationship Id="rId2790" Type="http://schemas.openxmlformats.org/officeDocument/2006/relationships/hyperlink" Target="https://app-web.statementrec.com/app#appuploadfiles/3a1f8d67-4987-e1bd-6ee3-7b323deeafb3" TargetMode="External"/><Relationship Id="rId2791" Type="http://schemas.openxmlformats.org/officeDocument/2006/relationships/hyperlink" Target="https://app-web.statementrec.com/app#appuploadfiles/3a1f8dc0-f1de-f7c9-8396-869986e4701b" TargetMode="External"/><Relationship Id="rId2792" Type="http://schemas.openxmlformats.org/officeDocument/2006/relationships/hyperlink" Target="https://app-web.statementrec.com/app#appuploadfiles/3a1f8eab-bf2d-2463-e9f6-b3692a494234" TargetMode="External"/><Relationship Id="rId2793" Type="http://schemas.openxmlformats.org/officeDocument/2006/relationships/hyperlink" Target="https://app-web.statementrec.com/app#appuploadfiles/3a1f9923-8658-2a20-9b42-48051689f339" TargetMode="External"/><Relationship Id="rId2794" Type="http://schemas.openxmlformats.org/officeDocument/2006/relationships/hyperlink" Target="https://app-web.statementrec.com/app#appuploadfiles/3a1f9c0e-eb0f-c2be-3517-42702d335627" TargetMode="External"/><Relationship Id="rId2795" Type="http://schemas.openxmlformats.org/officeDocument/2006/relationships/hyperlink" Target="https://app-web.statementrec.com/app#appuploadfiles/3a1f9c1e-0393-3efe-211a-81a93c0daaa8" TargetMode="External"/><Relationship Id="rId2796" Type="http://schemas.openxmlformats.org/officeDocument/2006/relationships/hyperlink" Target="https://app-web.statementrec.com/app#appuploadfiles/3a1f9c2f-a029-030e-8c5f-d02e4a570f10" TargetMode="External"/><Relationship Id="rId2797" Type="http://schemas.openxmlformats.org/officeDocument/2006/relationships/hyperlink" Target="https://app-web.statementrec.com/app#appuploadfiles/3a1f9c63-4ed4-bba4-d8ee-cc43a194c63f" TargetMode="External"/><Relationship Id="rId2798" Type="http://schemas.openxmlformats.org/officeDocument/2006/relationships/hyperlink" Target="https://app-web.statementrec.com/app#appuploadfiles/3a1f9caf-e001-e53e-6e8e-692b9092c5f4" TargetMode="External"/><Relationship Id="rId2799" Type="http://schemas.openxmlformats.org/officeDocument/2006/relationships/hyperlink" Target="https://app-web.statementrec.com/app#appuploadfiles/3a1f9d57-aea5-4499-58b8-5189c1fe51c8" TargetMode="External"/><Relationship Id="rId2800" Type="http://schemas.openxmlformats.org/officeDocument/2006/relationships/hyperlink" Target="https://app-web.statementrec.com/app#appuploadfiles/3a1f9d67-f129-eb0d-9823-88ea5b0fbb54" TargetMode="External"/><Relationship Id="rId2801" Type="http://schemas.openxmlformats.org/officeDocument/2006/relationships/hyperlink" Target="https://app-web.statementrec.com/app#appuploadfiles/3a1f9d9e-9ae2-d693-6550-92a3308c4c66" TargetMode="External"/><Relationship Id="rId2802" Type="http://schemas.openxmlformats.org/officeDocument/2006/relationships/hyperlink" Target="https://app-web.statementrec.com/app#appuploadfiles/3a1f9dbc-02df-04d7-0109-c3a273b94297" TargetMode="External"/><Relationship Id="rId2803" Type="http://schemas.openxmlformats.org/officeDocument/2006/relationships/hyperlink" Target="https://app-web.statementrec.com/app#appuploadfiles/3a1fa148-c12c-6793-884e-298961a05d38" TargetMode="External"/><Relationship Id="rId2804" Type="http://schemas.openxmlformats.org/officeDocument/2006/relationships/hyperlink" Target="https://app-web.statementrec.com/app#appuploadfiles/3a1fa167-ad0e-df3f-fd46-a308ead16090" TargetMode="External"/><Relationship Id="rId2805" Type="http://schemas.openxmlformats.org/officeDocument/2006/relationships/hyperlink" Target="https://app-web.statementrec.com/app#appuploadfiles/3a1fa20b-cec7-eb0f-ab99-6009de8580af" TargetMode="External"/><Relationship Id="rId2806" Type="http://schemas.openxmlformats.org/officeDocument/2006/relationships/hyperlink" Target="https://app-web.statementrec.com/app#appuploadfiles/3a1fa314-bbc3-dc16-37d0-471f6a12e3c4" TargetMode="External"/><Relationship Id="rId2807" Type="http://schemas.openxmlformats.org/officeDocument/2006/relationships/hyperlink" Target="https://app-web.statementrec.com/app#appuploadfiles/3a1fa616-01ae-8158-b50b-5da8f01556e5" TargetMode="External"/><Relationship Id="rId2808" Type="http://schemas.openxmlformats.org/officeDocument/2006/relationships/hyperlink" Target="https://app-web.statementrec.com/app#appuploadfiles/3a1fa64b-89ae-0ac1-9c04-c759c9e96c3a" TargetMode="External"/><Relationship Id="rId2809" Type="http://schemas.openxmlformats.org/officeDocument/2006/relationships/hyperlink" Target="https://app-web.statementrec.com/app#appuploadfiles/3a1fa66d-4985-797a-bfd6-77350ed356e1" TargetMode="External"/><Relationship Id="rId2810" Type="http://schemas.openxmlformats.org/officeDocument/2006/relationships/hyperlink" Target="https://app-web.statementrec.com/app#appuploadfiles/3a1fa66e-8ee6-a5fd-f31a-e98313e2c7cc" TargetMode="External"/><Relationship Id="rId2811" Type="http://schemas.openxmlformats.org/officeDocument/2006/relationships/hyperlink" Target="https://app-web.statementrec.com/app#appuploadfiles/3a1fa6f3-f4c6-9ee9-ebc9-aeb6a115d24b" TargetMode="External"/><Relationship Id="rId2812" Type="http://schemas.openxmlformats.org/officeDocument/2006/relationships/hyperlink" Target="https://app-web.statementrec.com/app#appuploadfiles/3a1fa6ff-7978-deac-bae6-b71fd8ed8e12" TargetMode="External"/><Relationship Id="rId2813" Type="http://schemas.openxmlformats.org/officeDocument/2006/relationships/hyperlink" Target="https://app-web.statementrec.com/app#appuploadfiles/3a1fa972-f014-0ae0-3e63-8e2e6549994f" TargetMode="External"/><Relationship Id="rId2814" Type="http://schemas.openxmlformats.org/officeDocument/2006/relationships/hyperlink" Target="https://app-web.statementrec.com/app#appuploadfiles/3a1fab7b-d6b2-1006-f2c6-1058a7d0d56a" TargetMode="External"/><Relationship Id="rId2815" Type="http://schemas.openxmlformats.org/officeDocument/2006/relationships/hyperlink" Target="https://app-web.statementrec.com/app#appuploadfiles/3a1fab95-c57d-cd2e-d497-b76277ddbaf4" TargetMode="External"/><Relationship Id="rId2816" Type="http://schemas.openxmlformats.org/officeDocument/2006/relationships/hyperlink" Target="https://app-web.statementrec.com/app#appuploadfiles/3a1fabc5-a531-dd44-61c2-7998cd4f6a11" TargetMode="External"/><Relationship Id="rId2817" Type="http://schemas.openxmlformats.org/officeDocument/2006/relationships/hyperlink" Target="https://app-web.statementrec.com/app#appuploadfiles/3a1fac17-df69-0d96-f180-64a4a4400d39" TargetMode="External"/><Relationship Id="rId2818" Type="http://schemas.openxmlformats.org/officeDocument/2006/relationships/hyperlink" Target="https://app-web.statementrec.com/app#appuploadfiles/3a1fac31-cff2-1285-dc39-81fe04428957" TargetMode="External"/><Relationship Id="rId2819" Type="http://schemas.openxmlformats.org/officeDocument/2006/relationships/hyperlink" Target="https://app-web.statementrec.com/app#appuploadfiles/3a1fac95-b487-1885-8cc2-148b6eed98bb" TargetMode="External"/><Relationship Id="rId2820" Type="http://schemas.openxmlformats.org/officeDocument/2006/relationships/hyperlink" Target="https://app-web.statementrec.com/app#appuploadfiles/3a1fae23-578a-bc25-b5b3-2b3c1789ff01" TargetMode="External"/><Relationship Id="rId2821" Type="http://schemas.openxmlformats.org/officeDocument/2006/relationships/hyperlink" Target="https://app-web.statementrec.com/app#appuploadfiles/3a1fb159-8437-49c7-b416-1f7016ee5ba5" TargetMode="External"/><Relationship Id="rId2822" Type="http://schemas.openxmlformats.org/officeDocument/2006/relationships/hyperlink" Target="https://app-web.statementrec.com/app#appuploadfiles/3a1fb1ee-7a65-ded2-10db-711c9f5efff0" TargetMode="External"/><Relationship Id="rId2823" Type="http://schemas.openxmlformats.org/officeDocument/2006/relationships/hyperlink" Target="https://app-web.statementrec.com/app#appuploadfiles/3a1fbde5-4341-7572-812b-7fa863c3a84c" TargetMode="External"/><Relationship Id="rId2824" Type="http://schemas.openxmlformats.org/officeDocument/2006/relationships/hyperlink" Target="https://app-web.statementrec.com/app#appuploadfiles/3a1fc072-6db0-3b00-17be-339fc6cffe4b" TargetMode="External"/><Relationship Id="rId2825" Type="http://schemas.openxmlformats.org/officeDocument/2006/relationships/hyperlink" Target="https://app-web.statementrec.com/app#appuploadfiles/3a1fc0e6-8cae-e12e-756e-000f371b3adf" TargetMode="External"/><Relationship Id="rId2826" Type="http://schemas.openxmlformats.org/officeDocument/2006/relationships/hyperlink" Target="https://app-web.statementrec.com/app#appuploadfiles/3a1fc166-c200-0e70-2e49-5e54ecd91ade" TargetMode="External"/><Relationship Id="rId2827" Type="http://schemas.openxmlformats.org/officeDocument/2006/relationships/hyperlink" Target="https://app-web.statementrec.com/app#appuploadfiles/3a1fc35a-9d3e-0a49-06de-22e0c7313cee" TargetMode="External"/><Relationship Id="rId2828" Type="http://schemas.openxmlformats.org/officeDocument/2006/relationships/hyperlink" Target="https://app-web.statementrec.com/app#appuploadfiles/3a1fc3a6-15a4-79c6-ed1a-47ddf6057a9d" TargetMode="External"/><Relationship Id="rId2829" Type="http://schemas.openxmlformats.org/officeDocument/2006/relationships/hyperlink" Target="https://app-web.statementrec.com/app#appuploadfiles/3a1fc525-97b1-a55c-4712-c910dd0f1789" TargetMode="External"/><Relationship Id="rId2830" Type="http://schemas.openxmlformats.org/officeDocument/2006/relationships/hyperlink" Target="https://app-web.statementrec.com/app#appuploadfiles/3a1fc612-90c4-74ec-180f-64f6572dc854" TargetMode="External"/><Relationship Id="rId2831" Type="http://schemas.openxmlformats.org/officeDocument/2006/relationships/hyperlink" Target="https://app-web.statementrec.com/app#appuploadfiles/3a1fc6bb-c9bf-7153-5d7d-9301a2a6b694" TargetMode="External"/><Relationship Id="rId2832" Type="http://schemas.openxmlformats.org/officeDocument/2006/relationships/hyperlink" Target="https://app-web.statementrec.com/app#appuploadfiles/3a1fc6dd-f9ce-da43-eb6e-3d21b5c6ef36" TargetMode="External"/><Relationship Id="rId2833" Type="http://schemas.openxmlformats.org/officeDocument/2006/relationships/hyperlink" Target="https://app-web.statementrec.com/app#appuploadfiles/3a1fcb00-95fd-3a23-8c99-c5c6e0ebdd23" TargetMode="External"/><Relationship Id="rId2834" Type="http://schemas.openxmlformats.org/officeDocument/2006/relationships/hyperlink" Target="https://app-web.statementrec.com/app#appuploadfiles/3a1fcb9d-67c0-e4c3-ee7a-d94b7ba074a9" TargetMode="External"/><Relationship Id="rId2835" Type="http://schemas.openxmlformats.org/officeDocument/2006/relationships/hyperlink" Target="https://app-web.statementrec.com/app#appuploadfiles/3a1fccce-8ad0-eca3-5f24-7b75dfc4fcfb" TargetMode="External"/><Relationship Id="rId2836" Type="http://schemas.openxmlformats.org/officeDocument/2006/relationships/hyperlink" Target="https://app-web.statementrec.com/app#appuploadfiles/3a1fd0fb-f226-affc-5acf-87027ad8dace" TargetMode="External"/><Relationship Id="rId2837" Type="http://schemas.openxmlformats.org/officeDocument/2006/relationships/hyperlink" Target="https://app-web.statementrec.com/app#appuploadfiles/3a1fd16d-8a7c-2e26-afe4-ca6dfe314c20" TargetMode="External"/><Relationship Id="rId2838" Type="http://schemas.openxmlformats.org/officeDocument/2006/relationships/hyperlink" Target="https://app-web.statementrec.com/app#appuploadfiles/3a1fd480-77ce-573d-6302-cc3a11f1350b" TargetMode="External"/><Relationship Id="rId2839" Type="http://schemas.openxmlformats.org/officeDocument/2006/relationships/hyperlink" Target="https://app-web.statementrec.com/app#appuploadfiles/3a1fd4d3-c46e-272e-9396-4991e0720870" TargetMode="External"/><Relationship Id="rId2840" Type="http://schemas.openxmlformats.org/officeDocument/2006/relationships/hyperlink" Target="https://app-web.statementrec.com/app#appuploadfiles/3a1fd4ef-9ffa-8bf7-4d0f-d48c9a1d5ffc" TargetMode="External"/><Relationship Id="rId2841" Type="http://schemas.openxmlformats.org/officeDocument/2006/relationships/hyperlink" Target="https://app-web.statementrec.com/app#appuploadfiles/3a1fd4f4-5b22-bbc4-3b15-17277671a638" TargetMode="External"/><Relationship Id="rId2842" Type="http://schemas.openxmlformats.org/officeDocument/2006/relationships/hyperlink" Target="https://app-web.statementrec.com/app#appuploadfiles/3a1fd565-2f99-f3de-eb7d-ca94ff41bca8" TargetMode="External"/><Relationship Id="rId2843" Type="http://schemas.openxmlformats.org/officeDocument/2006/relationships/hyperlink" Target="https://app-web.statementrec.com/app#appuploadfiles/3a1fd5bf-7af7-9f02-de6e-edc36db9bffc" TargetMode="External"/><Relationship Id="rId2844" Type="http://schemas.openxmlformats.org/officeDocument/2006/relationships/hyperlink" Target="https://app-web.statementrec.com/app#appuploadfiles/3a1fd5ef-a043-aaa4-c8af-1caf6c191282" TargetMode="External"/><Relationship Id="rId2845" Type="http://schemas.openxmlformats.org/officeDocument/2006/relationships/hyperlink" Target="https://app-web.statementrec.com/app#appuploadfiles/3a1fd6bc-0db8-24ca-e29f-3fcd92519848" TargetMode="External"/><Relationship Id="rId2846" Type="http://schemas.openxmlformats.org/officeDocument/2006/relationships/hyperlink" Target="https://app-web.statementrec.com/app#appuploadfiles/3a1fd6cb-a6e4-1c0e-4ac7-34e820992175" TargetMode="External"/><Relationship Id="rId2847" Type="http://schemas.openxmlformats.org/officeDocument/2006/relationships/hyperlink" Target="https://app-web.statementrec.com/app#appuploadfiles/3a1fdd2d-8bea-0f47-c6d0-a2303c5fc986" TargetMode="External"/><Relationship Id="rId2848" Type="http://schemas.openxmlformats.org/officeDocument/2006/relationships/hyperlink" Target="https://app-web.statementrec.com/app#appuploadfiles/3a1fe0cd-1057-06ce-666b-3b8c8ad82956" TargetMode="External"/><Relationship Id="rId2849" Type="http://schemas.openxmlformats.org/officeDocument/2006/relationships/hyperlink" Target="https://app-web.statementrec.com/app#appuploadfiles/3a1fe44d-a9cb-27ee-fd2c-3d0b80e6c1d6" TargetMode="External"/><Relationship Id="rId2850" Type="http://schemas.openxmlformats.org/officeDocument/2006/relationships/hyperlink" Target="https://app-web.statementrec.com/app#appuploadfiles/3a1fe471-3c98-fa1b-716e-1d86e15f1147" TargetMode="External"/><Relationship Id="rId2851" Type="http://schemas.openxmlformats.org/officeDocument/2006/relationships/hyperlink" Target="https://app-web.statementrec.com/app#appuploadfiles/3a1fe472-e1c2-342a-b9ad-b0432e1cd4ef" TargetMode="External"/><Relationship Id="rId2852" Type="http://schemas.openxmlformats.org/officeDocument/2006/relationships/hyperlink" Target="https://app-web.statementrec.com/app#appuploadfiles/3a1fe48b-c250-a1cb-7852-4de21dfbe68f" TargetMode="External"/><Relationship Id="rId2853" Type="http://schemas.openxmlformats.org/officeDocument/2006/relationships/hyperlink" Target="https://app-web.statementrec.com/app#appuploadfiles/3a1fe56d-6bfd-6f98-0fe8-8424a58aee33" TargetMode="External"/><Relationship Id="rId2854" Type="http://schemas.openxmlformats.org/officeDocument/2006/relationships/hyperlink" Target="https://app-web.statementrec.com/app#appuploadfiles/3a1fe56e-738e-31f0-8bba-641e86e474d5" TargetMode="External"/><Relationship Id="rId2855" Type="http://schemas.openxmlformats.org/officeDocument/2006/relationships/hyperlink" Target="https://app-web.statementrec.com/app#appuploadfiles/3a1fe56e-e0b5-8c15-8cca-53dee51b8eda" TargetMode="External"/><Relationship Id="rId2856" Type="http://schemas.openxmlformats.org/officeDocument/2006/relationships/hyperlink" Target="https://app-web.statementrec.com/app#appuploadfiles/3a1fe95d-c92b-e94c-6ca0-6d3142e9c146" TargetMode="External"/><Relationship Id="rId2857" Type="http://schemas.openxmlformats.org/officeDocument/2006/relationships/hyperlink" Target="https://app-web.statementrec.com/app#appuploadfiles/3a1fe981-6448-1389-fe90-b2b00a005bcb" TargetMode="External"/><Relationship Id="rId2858" Type="http://schemas.openxmlformats.org/officeDocument/2006/relationships/hyperlink" Target="https://app-web.statementrec.com/app#appuploadfiles/3a1fe9e4-2785-5c00-169c-1daed359409d" TargetMode="External"/><Relationship Id="rId2859" Type="http://schemas.openxmlformats.org/officeDocument/2006/relationships/hyperlink" Target="https://app-web.statementrec.com/app#appuploadfiles/3a1fee53-19f0-a4eb-c85b-1048c109ffb9" TargetMode="External"/><Relationship Id="rId2860" Type="http://schemas.openxmlformats.org/officeDocument/2006/relationships/hyperlink" Target="https://app-web.statementrec.com/app#appuploadfiles/3a1fee67-20c1-7410-d08d-2c03ae3097f4" TargetMode="External"/><Relationship Id="rId2861" Type="http://schemas.openxmlformats.org/officeDocument/2006/relationships/hyperlink" Target="https://app-web.statementrec.com/app#appuploadfiles/3a1fee91-f72f-d37f-cbe3-c4f354bec1ec" TargetMode="External"/><Relationship Id="rId2862" Type="http://schemas.openxmlformats.org/officeDocument/2006/relationships/hyperlink" Target="https://app-web.statementrec.com/app#appuploadfiles/3a1fef72-9cb9-5c4d-3aca-0e98a6c211bf" TargetMode="External"/><Relationship Id="rId2863" Type="http://schemas.openxmlformats.org/officeDocument/2006/relationships/hyperlink" Target="https://app-web.statementrec.com/app#appuploadfiles/3a1fef87-6294-9180-bced-9f0d2dc97a24" TargetMode="External"/><Relationship Id="rId2864" Type="http://schemas.openxmlformats.org/officeDocument/2006/relationships/hyperlink" Target="https://app-web.statementrec.com/app#appuploadfiles/3a1feff4-844b-794d-27ab-416e6fa301c8" TargetMode="External"/><Relationship Id="rId2865" Type="http://schemas.openxmlformats.org/officeDocument/2006/relationships/hyperlink" Target="https://app-web.statementrec.com/app#appuploadfiles/3a1ff223-8ce0-aa2d-2337-1b7596ffca76" TargetMode="External"/><Relationship Id="rId2866" Type="http://schemas.openxmlformats.org/officeDocument/2006/relationships/hyperlink" Target="https://app-web.statementrec.com/app#appuploadfiles/3a1ff3fa-3e91-dfc0-cc7b-23d398346504" TargetMode="External"/><Relationship Id="rId2867" Type="http://schemas.openxmlformats.org/officeDocument/2006/relationships/hyperlink" Target="https://app-web.statementrec.com/app#appuploadfiles/3a1ff413-fe02-69ec-dd11-399164684023" TargetMode="External"/><Relationship Id="rId2868" Type="http://schemas.openxmlformats.org/officeDocument/2006/relationships/hyperlink" Target="https://app-web.statementrec.com/app#appuploadfiles/3a1ff419-71dd-1ad7-7ca4-9ca5e2ac8bca" TargetMode="External"/><Relationship Id="rId2869" Type="http://schemas.openxmlformats.org/officeDocument/2006/relationships/hyperlink" Target="https://app-web.statementrec.com/app#appuploadfiles/3a1ff419-e791-8548-54e0-32c13f2e1875" TargetMode="External"/><Relationship Id="rId2870" Type="http://schemas.openxmlformats.org/officeDocument/2006/relationships/hyperlink" Target="https://app-web.statementrec.com/app#appuploadfiles/3a1ff41a-5829-f579-9f84-a4f44c1b3d98" TargetMode="External"/><Relationship Id="rId2871" Type="http://schemas.openxmlformats.org/officeDocument/2006/relationships/hyperlink" Target="https://app-web.statementrec.com/app#appuploadfiles/3a1ff45f-5717-5b64-767f-b9bd05a868fb" TargetMode="External"/><Relationship Id="rId2872" Type="http://schemas.openxmlformats.org/officeDocument/2006/relationships/hyperlink" Target="https://app-web.statementrec.com/app#appuploadfiles/3a1ff4e7-76b5-2020-c678-000e179a5bc8" TargetMode="External"/><Relationship Id="rId2873" Type="http://schemas.openxmlformats.org/officeDocument/2006/relationships/hyperlink" Target="https://app-web.statementrec.com/app#appuploadfiles/3a1ff518-90d6-3b39-4a37-e053f78f41c1" TargetMode="External"/><Relationship Id="rId2874" Type="http://schemas.openxmlformats.org/officeDocument/2006/relationships/hyperlink" Target="https://app-web.statementrec.com/app#appuploadfiles/3a1ff876-2e85-6d9d-16a2-7a361b9e988e" TargetMode="External"/><Relationship Id="rId2875" Type="http://schemas.openxmlformats.org/officeDocument/2006/relationships/hyperlink" Target="https://app-web.statementrec.com/app#appuploadfiles/3a1ff910-5048-65f2-bf98-60fb33456a54" TargetMode="External"/><Relationship Id="rId2876" Type="http://schemas.openxmlformats.org/officeDocument/2006/relationships/hyperlink" Target="https://app-web.statementrec.com/app#appuploadfiles/3a1ff927-aeb4-08de-eda9-523a8f605dab" TargetMode="External"/><Relationship Id="rId2877" Type="http://schemas.openxmlformats.org/officeDocument/2006/relationships/hyperlink" Target="https://app-web.statementrec.com/app#appuploadfiles/3a1ff929-de0d-c36d-b4dd-626df6757779" TargetMode="External"/><Relationship Id="rId2878" Type="http://schemas.openxmlformats.org/officeDocument/2006/relationships/hyperlink" Target="https://app-web.statementrec.com/app#appuploadfiles/3a1ff9c6-72f5-850f-287e-3cb8f8f45f0a" TargetMode="External"/><Relationship Id="rId2879" Type="http://schemas.openxmlformats.org/officeDocument/2006/relationships/hyperlink" Target="https://app-web.statementrec.com/app#appuploadfiles/3a1ffa44-b119-0f20-dfa7-fede0825983c" TargetMode="External"/><Relationship Id="rId2880" Type="http://schemas.openxmlformats.org/officeDocument/2006/relationships/hyperlink" Target="https://app-web.statementrec.com/app#appuploadfiles/3a1ffa53-213d-dfc0-63d8-e8e4f6fd6c5b" TargetMode="External"/><Relationship Id="rId2881" Type="http://schemas.openxmlformats.org/officeDocument/2006/relationships/hyperlink" Target="https://app-web.statementrec.com/app#appuploadfiles/3a1ffa5f-a313-ff7d-d777-c1e47871697c" TargetMode="External"/><Relationship Id="rId2882" Type="http://schemas.openxmlformats.org/officeDocument/2006/relationships/hyperlink" Target="https://app-web.statementrec.com/app#appuploadfiles/3a1ffa89-1677-09bd-f9fd-706cb37d6ae4" TargetMode="External"/><Relationship Id="rId2883" Type="http://schemas.openxmlformats.org/officeDocument/2006/relationships/hyperlink" Target="https://app-web.statementrec.com/app#appuploadfiles/3a1ffb41-762b-0500-c38b-6f7e51278d61" TargetMode="External"/><Relationship Id="rId2884" Type="http://schemas.openxmlformats.org/officeDocument/2006/relationships/hyperlink" Target="https://app-web.statementrec.com/app#appuploadfiles/3a200908-4543-ba2f-d4b9-d469621804a4" TargetMode="External"/><Relationship Id="rId2885" Type="http://schemas.openxmlformats.org/officeDocument/2006/relationships/hyperlink" Target="https://app-web.statementrec.com/app#appuploadfiles/3a200968-6b02-202c-311b-4bd1846f7227" TargetMode="External"/><Relationship Id="rId2886" Type="http://schemas.openxmlformats.org/officeDocument/2006/relationships/hyperlink" Target="https://app-web.statementrec.com/app#appuploadfiles/3a200bc5-34d1-6168-9b38-4c5240fb0d4f" TargetMode="External"/><Relationship Id="rId2887" Type="http://schemas.openxmlformats.org/officeDocument/2006/relationships/hyperlink" Target="https://app-web.statementrec.com/app#appuploadfiles/3a200d54-f276-263f-079b-9d179caf5272" TargetMode="External"/><Relationship Id="rId2888" Type="http://schemas.openxmlformats.org/officeDocument/2006/relationships/hyperlink" Target="https://app-web.statementrec.com/app#appuploadfiles/3a200d96-f1ee-075f-e0f4-0e24e623e5b0" TargetMode="External"/><Relationship Id="rId2889" Type="http://schemas.openxmlformats.org/officeDocument/2006/relationships/hyperlink" Target="https://app-web.statementrec.com/app#appuploadfiles/3a200dcb-2017-a95c-8b05-e6744aa3822d" TargetMode="External"/><Relationship Id="rId2890" Type="http://schemas.openxmlformats.org/officeDocument/2006/relationships/hyperlink" Target="https://app-web.statementrec.com/app#appuploadfiles/3a200e87-3040-1830-d9a5-9949f6cfe470" TargetMode="External"/><Relationship Id="rId2891" Type="http://schemas.openxmlformats.org/officeDocument/2006/relationships/hyperlink" Target="https://app-web.statementrec.com/app#appuploadfiles/3a201506-e2a5-e519-f037-686bf31aab7d" TargetMode="External"/><Relationship Id="rId2892" Type="http://schemas.openxmlformats.org/officeDocument/2006/relationships/hyperlink" Target="https://app-web.statementrec.com/app#appuploadfiles/3a201790-6007-fe50-f55b-77807e89961b" TargetMode="External"/><Relationship Id="rId2893" Type="http://schemas.openxmlformats.org/officeDocument/2006/relationships/hyperlink" Target="https://app-web.statementrec.com/app#appuploadfiles/3a201794-953d-b125-b5c3-d4c8b15aed96" TargetMode="External"/><Relationship Id="rId2894" Type="http://schemas.openxmlformats.org/officeDocument/2006/relationships/hyperlink" Target="https://app-web.statementrec.com/app#appuploadfiles/3a201925-e8fc-f042-2091-4bb14c88910f" TargetMode="External"/><Relationship Id="rId2895" Type="http://schemas.openxmlformats.org/officeDocument/2006/relationships/hyperlink" Target="https://app-web.statementrec.com/app#appuploadfiles/3a201a8d-dfd8-a5f7-525b-b0643c9cd6a4" TargetMode="External"/><Relationship Id="rId2896" Type="http://schemas.openxmlformats.org/officeDocument/2006/relationships/hyperlink" Target="https://app-web.statementrec.com/app#appuploadfiles/3a201b41-7c0d-d4aa-e778-7fd5149ba179" TargetMode="External"/><Relationship Id="rId2897" Type="http://schemas.openxmlformats.org/officeDocument/2006/relationships/hyperlink" Target="https://app-web.statementrec.com/app#appuploadfiles/3a201daa-356f-d380-40e8-5b6f2168de74" TargetMode="External"/><Relationship Id="rId2898" Type="http://schemas.openxmlformats.org/officeDocument/2006/relationships/hyperlink" Target="https://app-web.statementrec.com/app#appuploadfiles/3a20249b-1995-9a75-9e6e-700c12700087" TargetMode="External"/><Relationship Id="rId2899" Type="http://schemas.openxmlformats.org/officeDocument/2006/relationships/hyperlink" Target="https://app-web.statementrec.com/app#appuploadfiles/3a2024a4-b783-a00b-40ee-a80dea096864" TargetMode="External"/><Relationship Id="rId2900" Type="http://schemas.openxmlformats.org/officeDocument/2006/relationships/hyperlink" Target="https://app-web.statementrec.com/app#appuploadfiles/3a20286c-0e08-f963-5a80-3bfe7735865b" TargetMode="External"/><Relationship Id="rId2901" Type="http://schemas.openxmlformats.org/officeDocument/2006/relationships/hyperlink" Target="https://app-web.statementrec.com/app#appuploadfiles/3a202be0-4011-c2a5-db82-b394b827aa5d" TargetMode="External"/><Relationship Id="rId2902" Type="http://schemas.openxmlformats.org/officeDocument/2006/relationships/hyperlink" Target="https://app-web.statementrec.com/app#appuploadfiles/3a202c35-f376-2d29-c762-02da492a32bb" TargetMode="External"/><Relationship Id="rId2903" Type="http://schemas.openxmlformats.org/officeDocument/2006/relationships/hyperlink" Target="https://app-web.statementrec.com/app#appuploadfiles/3a202cac-a81e-67fa-509d-f18f9d5f643a" TargetMode="External"/><Relationship Id="rId2904" Type="http://schemas.openxmlformats.org/officeDocument/2006/relationships/hyperlink" Target="https://app-web.statementrec.com/app#appuploadfiles/3a202d82-db8a-a003-519d-efa3b1a23d48" TargetMode="External"/><Relationship Id="rId2905" Type="http://schemas.openxmlformats.org/officeDocument/2006/relationships/hyperlink" Target="https://app-web.statementrec.com/app#appuploadfiles/3a2031cc-ebe8-d87e-4549-9cc16aec7f4d" TargetMode="External"/><Relationship Id="rId2906" Type="http://schemas.openxmlformats.org/officeDocument/2006/relationships/hyperlink" Target="https://app-web.statementrec.com/app#appuploadfiles/3a20326c-758c-9a1c-295e-94cbbfba5241" TargetMode="External"/><Relationship Id="rId2907" Type="http://schemas.openxmlformats.org/officeDocument/2006/relationships/hyperlink" Target="https://app-web.statementrec.com/app#appuploadfiles/3a2035fd-5ea1-34df-1114-e3d9e8aef102" TargetMode="External"/><Relationship Id="rId2908" Type="http://schemas.openxmlformats.org/officeDocument/2006/relationships/hyperlink" Target="https://app-web.statementrec.com/app#appuploadfiles/3a203644-23af-5947-8e05-f55477384f45" TargetMode="External"/><Relationship Id="rId2909" Type="http://schemas.openxmlformats.org/officeDocument/2006/relationships/hyperlink" Target="https://app-web.statementrec.com/app#appuploadfiles/3a2036a9-891f-3c92-7944-a3111b2b5bb8" TargetMode="External"/><Relationship Id="rId2910" Type="http://schemas.openxmlformats.org/officeDocument/2006/relationships/hyperlink" Target="https://app-web.statementrec.com/app#appuploadfiles/3a2038d7-a929-edf3-2ad9-2beedc5504d3" TargetMode="External"/><Relationship Id="rId2911" Type="http://schemas.openxmlformats.org/officeDocument/2006/relationships/hyperlink" Target="https://app-web.statementrec.com/app#appuploadfiles/3a203976-f712-32b2-1b43-1f2b1d7bdfdc" TargetMode="External"/><Relationship Id="rId2912" Type="http://schemas.openxmlformats.org/officeDocument/2006/relationships/hyperlink" Target="https://app-web.statementrec.com/app#appuploadfiles/3a203a38-165f-bd81-38e4-bf51fc9ab2a8" TargetMode="External"/><Relationship Id="rId2913" Type="http://schemas.openxmlformats.org/officeDocument/2006/relationships/hyperlink" Target="https://app-web.statementrec.com/app#appuploadfiles/3a203ca2-c579-be92-e554-350b3ac5b453" TargetMode="External"/><Relationship Id="rId2914" Type="http://schemas.openxmlformats.org/officeDocument/2006/relationships/hyperlink" Target="https://app-web.statementrec.com/app#appuploadfiles/3a203ca6-3730-8ad0-10f9-61e55246e042" TargetMode="External"/><Relationship Id="rId2915" Type="http://schemas.openxmlformats.org/officeDocument/2006/relationships/hyperlink" Target="https://app-web.statementrec.com/app#appuploadfiles/3a203caf-8659-6ae6-c6fd-20377913b5a9" TargetMode="External"/><Relationship Id="rId2916" Type="http://schemas.openxmlformats.org/officeDocument/2006/relationships/hyperlink" Target="https://app-web.statementrec.com/app#appuploadfiles/3a203ceb-4669-828f-e106-7003fbdd08da" TargetMode="External"/><Relationship Id="rId2917" Type="http://schemas.openxmlformats.org/officeDocument/2006/relationships/hyperlink" Target="https://app-web.statementrec.com/app#appuploadfiles/3a20402a-09bd-5e71-9695-cf40eb49d91d" TargetMode="External"/><Relationship Id="rId2918" Type="http://schemas.openxmlformats.org/officeDocument/2006/relationships/hyperlink" Target="https://app-web.statementrec.com/app#appuploadfiles/3a2045b9-9593-9fa7-827d-1ee61cbbfa28" TargetMode="External"/><Relationship Id="rId2919" Type="http://schemas.openxmlformats.org/officeDocument/2006/relationships/hyperlink" Target="https://app-web.statementrec.com/app#appuploadfiles/3a205043-7754-9ce1-6f27-dea342562bf9" TargetMode="External"/><Relationship Id="rId2920" Type="http://schemas.openxmlformats.org/officeDocument/2006/relationships/hyperlink" Target="https://app-web.statementrec.com/app#appuploadfiles/3a205061-bc2d-01b4-a63f-efabe34bba9b" TargetMode="External"/><Relationship Id="rId2921" Type="http://schemas.openxmlformats.org/officeDocument/2006/relationships/hyperlink" Target="https://app-web.statementrec.com/app#appuploadfiles/3a205075-c53f-c73d-7123-ed50e1aa73fa" TargetMode="External"/><Relationship Id="rId2922" Type="http://schemas.openxmlformats.org/officeDocument/2006/relationships/hyperlink" Target="https://app-web.statementrec.com/app#appuploadfiles/3a20565e-56fd-91e4-2998-253e7973c0fb" TargetMode="External"/><Relationship Id="rId2923" Type="http://schemas.openxmlformats.org/officeDocument/2006/relationships/hyperlink" Target="https://app-web.statementrec.com/app#appuploadfiles/3a20566f-034c-7e54-62f4-eb2bb32bd332" TargetMode="External"/><Relationship Id="rId2924" Type="http://schemas.openxmlformats.org/officeDocument/2006/relationships/hyperlink" Target="https://app-web.statementrec.com/app#appuploadfiles/3a205a9c-c06b-19a7-3524-d3d7db19f64b" TargetMode="External"/><Relationship Id="rId2925" Type="http://schemas.openxmlformats.org/officeDocument/2006/relationships/hyperlink" Target="https://app-web.statementrec.com/app#appuploadfiles/3a205abc-b882-de8e-de92-9c055d995374" TargetMode="External"/><Relationship Id="rId2926" Type="http://schemas.openxmlformats.org/officeDocument/2006/relationships/hyperlink" Target="https://app-web.statementrec.com/app#appuploadfiles/3a20657d-87f9-7335-aba5-3529c3802820" TargetMode="External"/><Relationship Id="rId2927" Type="http://schemas.openxmlformats.org/officeDocument/2006/relationships/hyperlink" Target="https://app-web.statementrec.com/app#appuploadfiles/3a2070ae-add7-dccb-0a84-fd505a897657" TargetMode="External"/><Relationship Id="rId2928" Type="http://schemas.openxmlformats.org/officeDocument/2006/relationships/hyperlink" Target="https://app-web.statementrec.com/app#appuploadfiles/3a2070e9-7961-1005-d2e9-f39981a64502" TargetMode="External"/><Relationship Id="rId2929" Type="http://schemas.openxmlformats.org/officeDocument/2006/relationships/hyperlink" Target="https://app-web.statementrec.com/app#appuploadfiles/3a20738b-63ac-4888-c423-e353a639812f" TargetMode="External"/><Relationship Id="rId2930" Type="http://schemas.openxmlformats.org/officeDocument/2006/relationships/hyperlink" Target="https://app-web.statementrec.com/app#appuploadfiles/3a207528-146b-b1de-0e07-df1e696876da" TargetMode="External"/><Relationship Id="rId2931" Type="http://schemas.openxmlformats.org/officeDocument/2006/relationships/hyperlink" Target="https://app-web.statementrec.com/app#appuploadfiles/3a20796a-c64a-1b9b-9875-ef185b561bba" TargetMode="External"/><Relationship Id="rId2932" Type="http://schemas.openxmlformats.org/officeDocument/2006/relationships/hyperlink" Target="https://app-web.statementrec.com/app#appuploadfiles/3a207a8b-f0a1-51fe-eeac-7c8ece3bc7d1" TargetMode="External"/><Relationship Id="rId2933" Type="http://schemas.openxmlformats.org/officeDocument/2006/relationships/hyperlink" Target="https://app-web.statementrec.com/app#appuploadfiles/3a207df4-d1ea-1f8f-66f0-f749e2da261f" TargetMode="External"/><Relationship Id="rId2934" Type="http://schemas.openxmlformats.org/officeDocument/2006/relationships/hyperlink" Target="https://app-web.statementrec.com/app#appuploadfiles/3a207e65-dea0-126d-28ca-7de0e15afebd" TargetMode="External"/><Relationship Id="rId2935" Type="http://schemas.openxmlformats.org/officeDocument/2006/relationships/hyperlink" Target="https://app-web.statementrec.com/app#appuploadfiles/3a207e7a-8970-54ec-98ed-5a214e928068" TargetMode="External"/><Relationship Id="rId2936" Type="http://schemas.openxmlformats.org/officeDocument/2006/relationships/hyperlink" Target="https://app-web.statementrec.com/app#appuploadfiles/3a207ed5-a387-1c84-aa3e-5c0679754870" TargetMode="External"/><Relationship Id="rId2937" Type="http://schemas.openxmlformats.org/officeDocument/2006/relationships/hyperlink" Target="https://app-web.statementrec.com/app#appuploadfiles/3a207f05-2be0-ce7b-7ca7-30ddd203186d" TargetMode="External"/><Relationship Id="rId2938" Type="http://schemas.openxmlformats.org/officeDocument/2006/relationships/hyperlink" Target="https://app-web.statementrec.com/app#appuploadfiles/3a207fae-fae3-23b8-4752-d854a837365b" TargetMode="External"/><Relationship Id="rId2939" Type="http://schemas.openxmlformats.org/officeDocument/2006/relationships/hyperlink" Target="https://app-web.statementrec.com/app#appuploadfiles/3a2083aa-aca8-5de7-0540-440f362c6f26" TargetMode="External"/><Relationship Id="rId2940" Type="http://schemas.openxmlformats.org/officeDocument/2006/relationships/hyperlink" Target="https://app-web.statementrec.com/app#appuploadfiles/3a2083db-3933-02cf-aac3-39dc6558fcbd" TargetMode="External"/><Relationship Id="rId2941" Type="http://schemas.openxmlformats.org/officeDocument/2006/relationships/hyperlink" Target="https://app-web.statementrec.com/app#appuploadfiles/3a208439-640c-6419-2d5c-a14a16d71fe8" TargetMode="External"/><Relationship Id="rId2942" Type="http://schemas.openxmlformats.org/officeDocument/2006/relationships/hyperlink" Target="https://app-web.statementrec.com/app#appuploadfiles/3a20844d-0c61-57bf-82c8-517717c31ca5" TargetMode="External"/><Relationship Id="rId2943" Type="http://schemas.openxmlformats.org/officeDocument/2006/relationships/hyperlink" Target="https://app-web.statementrec.com/app#appuploadfiles/3a2084c2-94e9-29af-9ab5-e9eef0ad7c9e" TargetMode="External"/><Relationship Id="rId2944" Type="http://schemas.openxmlformats.org/officeDocument/2006/relationships/hyperlink" Target="https://app-web.statementrec.com/app#appuploadfiles/3a2084c4-b900-32a1-2a2c-9beee6e5285c" TargetMode="External"/><Relationship Id="rId2945" Type="http://schemas.openxmlformats.org/officeDocument/2006/relationships/hyperlink" Target="https://app-web.statementrec.com/app#appuploadfiles/3a2084e1-43be-05d3-0f79-28857e1765a9" TargetMode="External"/><Relationship Id="rId2946" Type="http://schemas.openxmlformats.org/officeDocument/2006/relationships/hyperlink" Target="https://app-web.statementrec.com/app#appuploadfiles/3a2084f0-e870-8439-3df5-9e71be021a8d" TargetMode="External"/><Relationship Id="rId2947" Type="http://schemas.openxmlformats.org/officeDocument/2006/relationships/hyperlink" Target="https://app-web.statementrec.com/app#appuploadfiles/3a2088bf-6b83-193e-e559-2de0d50260b0" TargetMode="External"/><Relationship Id="rId2948" Type="http://schemas.openxmlformats.org/officeDocument/2006/relationships/hyperlink" Target="https://app-web.statementrec.com/app#appuploadfiles/3a20890b-90ff-83ea-3cc4-6beca5e4295b" TargetMode="External"/><Relationship Id="rId2949" Type="http://schemas.openxmlformats.org/officeDocument/2006/relationships/hyperlink" Target="https://app-web.statementrec.com/app#appuploadfiles/3a208915-80f7-fad7-efb3-01eb21e13667" TargetMode="External"/><Relationship Id="rId2950" Type="http://schemas.openxmlformats.org/officeDocument/2006/relationships/hyperlink" Target="https://app-web.statementrec.com/app#appuploadfiles/3a208932-a2d3-aa18-0df1-3e524bb86eb6" TargetMode="External"/><Relationship Id="rId2951" Type="http://schemas.openxmlformats.org/officeDocument/2006/relationships/hyperlink" Target="https://app-web.statementrec.com/app#appuploadfiles/3a208945-a089-f53c-9fc0-d2d09e364b5f" TargetMode="External"/><Relationship Id="rId2952" Type="http://schemas.openxmlformats.org/officeDocument/2006/relationships/hyperlink" Target="https://app-web.statementrec.com/app#appuploadfiles/3a208b53-5dae-5309-7ab2-3ed1cee9b60b" TargetMode="External"/><Relationship Id="rId2953" Type="http://schemas.openxmlformats.org/officeDocument/2006/relationships/hyperlink" Target="https://app-web.statementrec.com/app#appuploadfiles/3a2097ee-c931-27f8-07cf-f67b5ecbc644" TargetMode="External"/><Relationship Id="rId2954" Type="http://schemas.openxmlformats.org/officeDocument/2006/relationships/hyperlink" Target="https://app-web.statementrec.com/app#appuploadfiles/3a2098f7-4a6a-f367-4fb0-937263b6e230" TargetMode="External"/><Relationship Id="rId2955" Type="http://schemas.openxmlformats.org/officeDocument/2006/relationships/hyperlink" Target="https://app-web.statementrec.com/app#appuploadfiles/3a209cdc-1cc1-ac60-dc6b-acdef876372e" TargetMode="External"/><Relationship Id="rId2956" Type="http://schemas.openxmlformats.org/officeDocument/2006/relationships/hyperlink" Target="https://app-web.statementrec.com/app#appuploadfiles/3a209e6e-4011-836f-b0a0-9930a5a73349" TargetMode="External"/><Relationship Id="rId2957" Type="http://schemas.openxmlformats.org/officeDocument/2006/relationships/hyperlink" Target="https://app-web.statementrec.com/app#appuploadfiles/3a209ee1-2bde-5839-feb5-cdc575363a17" TargetMode="External"/><Relationship Id="rId2958" Type="http://schemas.openxmlformats.org/officeDocument/2006/relationships/hyperlink" Target="https://app-web.statementrec.com/app#appuploadfiles/3a20a28f-ac64-1f9e-00e3-1b1a9f75717f" TargetMode="External"/><Relationship Id="rId2959" Type="http://schemas.openxmlformats.org/officeDocument/2006/relationships/hyperlink" Target="https://app-web.statementrec.com/app#appuploadfiles/3a20a2da-4a5c-fcad-45cb-9388a718a491" TargetMode="External"/><Relationship Id="rId2960" Type="http://schemas.openxmlformats.org/officeDocument/2006/relationships/hyperlink" Target="https://app-web.statementrec.com/app#appuploadfiles/3a20a7f3-e0ec-f63f-3868-67fb8b82b28e" TargetMode="External"/><Relationship Id="rId2961" Type="http://schemas.openxmlformats.org/officeDocument/2006/relationships/hyperlink" Target="https://app-web.statementrec.com/app#appuploadfiles/3a20a978-cbf6-a863-a007-6cb6c4592150" TargetMode="External"/><Relationship Id="rId2962" Type="http://schemas.openxmlformats.org/officeDocument/2006/relationships/hyperlink" Target="https://app-web.statementrec.com/app#appuploadfiles/3a20ad04-d0b4-4a5b-a8e1-f59c160225f8" TargetMode="External"/><Relationship Id="rId2963" Type="http://schemas.openxmlformats.org/officeDocument/2006/relationships/hyperlink" Target="https://app-web.statementrec.com/app#appuploadfiles/3a20adfd-98d8-4bc7-e676-f91b484f02f0" TargetMode="External"/><Relationship Id="rId2964" Type="http://schemas.openxmlformats.org/officeDocument/2006/relationships/hyperlink" Target="https://app-web.statementrec.com/app#appuploadfiles/3a20ae68-f8d4-c465-ee9f-b15543aab5ed" TargetMode="External"/><Relationship Id="rId2965" Type="http://schemas.openxmlformats.org/officeDocument/2006/relationships/hyperlink" Target="https://app-web.statementrec.com/app#appuploadfiles/3a20b55c-388a-b339-7bc1-594e044b5042" TargetMode="External"/><Relationship Id="rId2966" Type="http://schemas.openxmlformats.org/officeDocument/2006/relationships/hyperlink" Target="https://app-web.statementrec.com/app#appuploadfiles/3a20bc8e-9e4e-286f-a6b9-dfd420c6ff0d" TargetMode="External"/><Relationship Id="rId2967" Type="http://schemas.openxmlformats.org/officeDocument/2006/relationships/hyperlink" Target="https://app-web.statementrec.com/app#appuploadfiles/3a20bdd0-d640-8257-1456-df4b4ece9787" TargetMode="External"/><Relationship Id="rId2968" Type="http://schemas.openxmlformats.org/officeDocument/2006/relationships/hyperlink" Target="https://app-web.statementrec.com/app#appuploadfiles/3a20be67-7883-47fa-969c-ba7270491739" TargetMode="External"/><Relationship Id="rId2969" Type="http://schemas.openxmlformats.org/officeDocument/2006/relationships/hyperlink" Target="https://app-web.statementrec.com/app#appuploadfiles/3a20be9c-4cb6-891f-0982-a2ea9339cac5" TargetMode="External"/><Relationship Id="rId2970" Type="http://schemas.openxmlformats.org/officeDocument/2006/relationships/hyperlink" Target="https://app-web.statementrec.com/app#appuploadfiles/3a20c1db-ade6-aa70-410d-8934a5f8f7fc" TargetMode="External"/><Relationship Id="rId2971" Type="http://schemas.openxmlformats.org/officeDocument/2006/relationships/hyperlink" Target="https://app-web.statementrec.com/app#appuploadfiles/3a20c26f-ed1b-7f4d-fd94-380d56b3a696" TargetMode="External"/><Relationship Id="rId2972" Type="http://schemas.openxmlformats.org/officeDocument/2006/relationships/hyperlink" Target="https://app-web.statementrec.com/app#appuploadfiles/3a20c2b1-26ed-e9f1-7d3a-cb4e7278817a" TargetMode="External"/><Relationship Id="rId2973" Type="http://schemas.openxmlformats.org/officeDocument/2006/relationships/hyperlink" Target="https://app-web.statementrec.com/app#appuploadfiles/3a20c2dc-bc48-c361-d198-82b2fda06e19" TargetMode="External"/><Relationship Id="rId2974" Type="http://schemas.openxmlformats.org/officeDocument/2006/relationships/hyperlink" Target="https://app-web.statementrec.com/app#appuploadfiles/3a20c34b-846b-1c5c-ad6b-9af55f459589" TargetMode="External"/><Relationship Id="rId2975" Type="http://schemas.openxmlformats.org/officeDocument/2006/relationships/hyperlink" Target="https://app-web.statementrec.com/app#appuploadfiles/3a20c74d-34c7-e715-1ad6-56b0cbb64595" TargetMode="External"/><Relationship Id="rId2976" Type="http://schemas.openxmlformats.org/officeDocument/2006/relationships/hyperlink" Target="https://app-web.statementrec.com/app#appuploadfiles/3a20c78e-6370-d910-1bd9-00045ac9e9ff" TargetMode="External"/><Relationship Id="rId2977" Type="http://schemas.openxmlformats.org/officeDocument/2006/relationships/hyperlink" Target="https://app-web.statementrec.com/app#appuploadfiles/3a20c872-f5ee-635b-8391-88f1a46b3530" TargetMode="External"/><Relationship Id="rId2978" Type="http://schemas.openxmlformats.org/officeDocument/2006/relationships/hyperlink" Target="https://app-web.statementrec.com/app#appuploadfiles/3a20c999-c1e9-8d35-99ea-a64f63091fc8" TargetMode="External"/><Relationship Id="rId2979" Type="http://schemas.openxmlformats.org/officeDocument/2006/relationships/hyperlink" Target="https://app-web.statementrec.com/app#appuploadfiles/3a20cba7-7186-c415-e6a3-af0029c5bc2c" TargetMode="External"/><Relationship Id="rId2980" Type="http://schemas.openxmlformats.org/officeDocument/2006/relationships/hyperlink" Target="https://app-web.statementrec.com/app#appuploadfiles/3a20cbb8-199b-b44e-e87b-16c8b8676b0f" TargetMode="External"/><Relationship Id="rId2981" Type="http://schemas.openxmlformats.org/officeDocument/2006/relationships/hyperlink" Target="https://app-web.statementrec.com/app#appuploadfiles/3a20cbdd-9067-09c2-279b-7b72186aeae1" TargetMode="External"/><Relationship Id="rId2982" Type="http://schemas.openxmlformats.org/officeDocument/2006/relationships/hyperlink" Target="https://app-web.statementrec.com/app#appuploadfiles/3a20cc02-489a-19de-e845-7ff33f39dcbf" TargetMode="External"/><Relationship Id="rId2983" Type="http://schemas.openxmlformats.org/officeDocument/2006/relationships/hyperlink" Target="https://app-web.statementrec.com/app#appuploadfiles/3a20ccb3-38c3-27fb-a280-7a1d7b6ed6ec" TargetMode="External"/><Relationship Id="rId2984" Type="http://schemas.openxmlformats.org/officeDocument/2006/relationships/hyperlink" Target="https://app-web.statementrec.com/app#appuploadfiles/3a20ccc3-2fa5-60e0-037e-170ee4dae31a" TargetMode="External"/><Relationship Id="rId2985" Type="http://schemas.openxmlformats.org/officeDocument/2006/relationships/hyperlink" Target="https://app-web.statementrec.com/app#appuploadfiles/3a20cd21-4774-4e64-cad5-a9edee0f4135" TargetMode="External"/><Relationship Id="rId2986" Type="http://schemas.openxmlformats.org/officeDocument/2006/relationships/hyperlink" Target="https://app-web.statementrec.com/app#appuploadfiles/3a20cda4-826b-4603-cad0-d970e84199cb" TargetMode="External"/><Relationship Id="rId2987" Type="http://schemas.openxmlformats.org/officeDocument/2006/relationships/hyperlink" Target="https://app-web.statementrec.com/app#appuploadfiles/3a20ce99-27eb-9d34-22af-1c156ce709fa" TargetMode="External"/><Relationship Id="rId2988" Type="http://schemas.openxmlformats.org/officeDocument/2006/relationships/hyperlink" Target="https://app-web.statementrec.com/app#appuploadfiles/3a20d0ae-e73a-0fbc-a522-0d808806a36b" TargetMode="External"/><Relationship Id="rId2989" Type="http://schemas.openxmlformats.org/officeDocument/2006/relationships/hyperlink" Target="https://app-web.statementrec.com/app#appuploadfiles/3a20d0e7-7830-3e63-20a0-42fca4609635" TargetMode="External"/><Relationship Id="rId2990" Type="http://schemas.openxmlformats.org/officeDocument/2006/relationships/hyperlink" Target="https://app-web.statementrec.com/app#appuploadfiles/3a20d15a-072c-74de-2b27-09aa3517b38c" TargetMode="External"/><Relationship Id="rId2991" Type="http://schemas.openxmlformats.org/officeDocument/2006/relationships/hyperlink" Target="https://app-web.statementrec.com/app#appuploadfiles/3a20d21b-4246-d50d-3a41-540de5410a05" TargetMode="External"/><Relationship Id="rId2992" Type="http://schemas.openxmlformats.org/officeDocument/2006/relationships/hyperlink" Target="https://app-web.statementrec.com/app#appuploadfiles/3a20d21c-5cce-8e50-f560-ebb01a108307" TargetMode="External"/><Relationship Id="rId2993" Type="http://schemas.openxmlformats.org/officeDocument/2006/relationships/hyperlink" Target="https://app-web.statementrec.com/app#appuploadfiles/3a20d252-e916-3d38-8607-946804df30d2" TargetMode="External"/><Relationship Id="rId2994" Type="http://schemas.openxmlformats.org/officeDocument/2006/relationships/hyperlink" Target="https://app-web.statementrec.com/app#appuploadfiles/3a20e062-e7d5-f397-e91f-83d0723d4c9a" TargetMode="External"/><Relationship Id="rId2995" Type="http://schemas.openxmlformats.org/officeDocument/2006/relationships/hyperlink" Target="https://app-web.statementrec.com/app#appuploadfiles/3a20e080-065f-7492-cca0-dc439bb0b5a1" TargetMode="External"/><Relationship Id="rId2996" Type="http://schemas.openxmlformats.org/officeDocument/2006/relationships/hyperlink" Target="https://app-web.statementrec.com/app#appuploadfiles/3a20e0bf-6a74-69c5-cd16-95ee22d1ca2f" TargetMode="External"/><Relationship Id="rId2997" Type="http://schemas.openxmlformats.org/officeDocument/2006/relationships/hyperlink" Target="https://app-web.statementrec.com/app#appuploadfiles/3a20e1cd-869c-2db4-0f79-d04319a34933" TargetMode="External"/><Relationship Id="rId2998" Type="http://schemas.openxmlformats.org/officeDocument/2006/relationships/hyperlink" Target="https://app-web.statementrec.com/app#appuploadfiles/3a20e252-ec44-b904-30a5-7b596ce30818" TargetMode="External"/><Relationship Id="rId2999" Type="http://schemas.openxmlformats.org/officeDocument/2006/relationships/hyperlink" Target="https://app-web.statementrec.com/app#appuploadfiles/3a20e5ce-c882-4132-e9e3-e8a7f9414692" TargetMode="External"/><Relationship Id="rId3000" Type="http://schemas.openxmlformats.org/officeDocument/2006/relationships/hyperlink" Target="https://app-web.statementrec.com/app#appuploadfiles/3a20e800-ce1d-de30-b8ff-c6dab12462b3" TargetMode="External"/><Relationship Id="rId3001" Type="http://schemas.openxmlformats.org/officeDocument/2006/relationships/hyperlink" Target="https://app-web.statementrec.com/app#appuploadfiles/3a20ea63-6aa7-ecd6-8948-18c9a2c0579b" TargetMode="External"/><Relationship Id="rId3002" Type="http://schemas.openxmlformats.org/officeDocument/2006/relationships/hyperlink" Target="https://app-web.statementrec.com/app#appuploadfiles/3a20ea7b-dfce-8c51-356e-de4ba50b76ed" TargetMode="External"/><Relationship Id="rId3003" Type="http://schemas.openxmlformats.org/officeDocument/2006/relationships/hyperlink" Target="https://app-web.statementrec.com/app#appuploadfiles/3a20ea83-cbaf-5a6a-92d1-2e4517f98446" TargetMode="External"/><Relationship Id="rId3004" Type="http://schemas.openxmlformats.org/officeDocument/2006/relationships/hyperlink" Target="https://app-web.statementrec.com/app#appuploadfiles/3a20ea87-5850-fe29-50ab-851b54073e25" TargetMode="External"/><Relationship Id="rId3005" Type="http://schemas.openxmlformats.org/officeDocument/2006/relationships/hyperlink" Target="https://app-web.statementrec.com/app#appuploadfiles/3a20eac8-490f-4cc6-d3dd-a29b928376bd" TargetMode="External"/><Relationship Id="rId3006" Type="http://schemas.openxmlformats.org/officeDocument/2006/relationships/hyperlink" Target="https://app-web.statementrec.com/app#appuploadfiles/3a20ebd7-6a18-72a5-a6c6-0c25d934844e" TargetMode="External"/><Relationship Id="rId3007" Type="http://schemas.openxmlformats.org/officeDocument/2006/relationships/hyperlink" Target="https://app-web.statementrec.com/app#appuploadfiles/3a20ebfe-27ad-4634-d99c-3c4b5b4dad97" TargetMode="External"/><Relationship Id="rId3008" Type="http://schemas.openxmlformats.org/officeDocument/2006/relationships/hyperlink" Target="https://app-web.statementrec.com/app#appuploadfiles/3a20ec2f-d01f-5c09-dedc-57bee33f525c" TargetMode="External"/><Relationship Id="rId3009" Type="http://schemas.openxmlformats.org/officeDocument/2006/relationships/hyperlink" Target="https://app-web.statementrec.com/app#appuploadfiles/3a20ec70-6660-2a7b-81f7-f2b24eef5016" TargetMode="External"/><Relationship Id="rId3010" Type="http://schemas.openxmlformats.org/officeDocument/2006/relationships/hyperlink" Target="https://app-web.statementrec.com/app#appuploadfiles/3a20ece4-9a46-618a-5606-1a27d7e8b138" TargetMode="External"/><Relationship Id="rId3011" Type="http://schemas.openxmlformats.org/officeDocument/2006/relationships/hyperlink" Target="https://app-web.statementrec.com/app#appuploadfiles/3a20eddd-7351-aa24-979f-02d0510f5a2d" TargetMode="External"/><Relationship Id="rId3012" Type="http://schemas.openxmlformats.org/officeDocument/2006/relationships/hyperlink" Target="https://app-web.statementrec.com/app#appuploadfiles/3a20efb3-6ab0-a261-928c-132e2cffd1e1" TargetMode="External"/><Relationship Id="rId3013" Type="http://schemas.openxmlformats.org/officeDocument/2006/relationships/hyperlink" Target="https://app-web.statementrec.com/app#appuploadfiles/3a20f02a-cd73-f7cb-98e5-e5fdbb6c7551" TargetMode="External"/><Relationship Id="rId3014" Type="http://schemas.openxmlformats.org/officeDocument/2006/relationships/hyperlink" Target="https://app-web.statementrec.com/app#appuploadfiles/3a20f08a-b98a-733e-86e0-db906a7a8840" TargetMode="External"/><Relationship Id="rId3015" Type="http://schemas.openxmlformats.org/officeDocument/2006/relationships/hyperlink" Target="https://app-web.statementrec.com/app#appuploadfiles/3a20f1ac-24d8-ae37-9d65-902bb95c714a" TargetMode="External"/><Relationship Id="rId3016" Type="http://schemas.openxmlformats.org/officeDocument/2006/relationships/hyperlink" Target="https://app-web.statementrec.com/app#appuploadfiles/3a20f1c8-8a50-358e-7dd1-77ddcd31ccaa" TargetMode="External"/><Relationship Id="rId3017" Type="http://schemas.openxmlformats.org/officeDocument/2006/relationships/hyperlink" Target="https://app-web.statementrec.com/app#appuploadfiles/3a20f23e-0205-c1da-fec8-208ea4c504cb" TargetMode="External"/><Relationship Id="rId3018" Type="http://schemas.openxmlformats.org/officeDocument/2006/relationships/hyperlink" Target="https://app-web.statementrec.com/app#appuploadfiles/3a20f256-5e4e-4cde-4394-6abdb2878930" TargetMode="External"/><Relationship Id="rId3019" Type="http://schemas.openxmlformats.org/officeDocument/2006/relationships/hyperlink" Target="https://app-web.statementrec.com/app#appuploadfiles/3a20f434-d209-77ec-001f-0499bddcdf8c" TargetMode="External"/><Relationship Id="rId3020" Type="http://schemas.openxmlformats.org/officeDocument/2006/relationships/hyperlink" Target="https://app-web.statementrec.com/app#appuploadfiles/3a20f495-616b-d807-27e9-2cabbcfe80d3" TargetMode="External"/><Relationship Id="rId3021" Type="http://schemas.openxmlformats.org/officeDocument/2006/relationships/hyperlink" Target="https://app-web.statementrec.com/app#appuploadfiles/3a20f4d8-639a-8dff-8a29-72a3819e9b01" TargetMode="External"/><Relationship Id="rId3022" Type="http://schemas.openxmlformats.org/officeDocument/2006/relationships/hyperlink" Target="https://app-web.statementrec.com/app#appuploadfiles/3a20f4e2-a905-a226-4302-e1af89f30686" TargetMode="External"/><Relationship Id="rId3023" Type="http://schemas.openxmlformats.org/officeDocument/2006/relationships/hyperlink" Target="https://app-web.statementrec.com/app#appuploadfiles/3a20f4f7-4681-07db-7c03-c821fbb722ca" TargetMode="External"/><Relationship Id="rId3024" Type="http://schemas.openxmlformats.org/officeDocument/2006/relationships/hyperlink" Target="https://app-web.statementrec.com/app#appuploadfiles/3a20f4f8-f676-baef-cb9a-0ed4c75e579b" TargetMode="External"/><Relationship Id="rId3025" Type="http://schemas.openxmlformats.org/officeDocument/2006/relationships/hyperlink" Target="https://app-web.statementrec.com/app#appuploadfiles/3a20f50f-214e-63f9-69da-129e889bd909" TargetMode="External"/><Relationship Id="rId3026" Type="http://schemas.openxmlformats.org/officeDocument/2006/relationships/hyperlink" Target="https://app-web.statementrec.com/app#appuploadfiles/3a20f510-3b94-7415-7280-b7cae8acbbde" TargetMode="External"/><Relationship Id="rId3027" Type="http://schemas.openxmlformats.org/officeDocument/2006/relationships/hyperlink" Target="https://app-web.statementrec.com/app#appuploadfiles/3a20f510-4051-8ffd-f862-d264777b8144" TargetMode="External"/><Relationship Id="rId3028" Type="http://schemas.openxmlformats.org/officeDocument/2006/relationships/hyperlink" Target="https://app-web.statementrec.com/app#appuploadfiles/3a20f510-d90e-bd88-888e-9cd6a83fb498" TargetMode="External"/><Relationship Id="rId3029" Type="http://schemas.openxmlformats.org/officeDocument/2006/relationships/hyperlink" Target="https://app-web.statementrec.com/app#appuploadfiles/3a20f51d-9684-0499-d054-dda73b01d958" TargetMode="External"/><Relationship Id="rId3030" Type="http://schemas.openxmlformats.org/officeDocument/2006/relationships/hyperlink" Target="https://app-web.statementrec.com/app#appuploadfiles/3a20f51e-2d40-94b6-03c0-e2c083e4ffae" TargetMode="External"/><Relationship Id="rId3031" Type="http://schemas.openxmlformats.org/officeDocument/2006/relationships/hyperlink" Target="https://app-web.statementrec.com/app#appuploadfiles/3a20f522-327d-ea35-34cb-0e0c7f9a3d89" TargetMode="External"/><Relationship Id="rId3032" Type="http://schemas.openxmlformats.org/officeDocument/2006/relationships/hyperlink" Target="https://app-web.statementrec.com/app#appuploadfiles/3a20f522-825e-15fe-8947-b93c4c8cbd0b" TargetMode="External"/><Relationship Id="rId3033" Type="http://schemas.openxmlformats.org/officeDocument/2006/relationships/hyperlink" Target="https://app-web.statementrec.com/app#appuploadfiles/3a20f532-01a3-6fc7-4aed-8319f3134de0" TargetMode="External"/><Relationship Id="rId3034" Type="http://schemas.openxmlformats.org/officeDocument/2006/relationships/hyperlink" Target="https://app-web.statementrec.com/app#appuploadfiles/3a20f543-0b9d-2e75-c416-301dcf233283" TargetMode="External"/><Relationship Id="rId3035" Type="http://schemas.openxmlformats.org/officeDocument/2006/relationships/hyperlink" Target="https://app-web.statementrec.com/app#appuploadfiles/3a20f56f-5e7d-88db-c937-2ef6a4033aee" TargetMode="External"/><Relationship Id="rId3036" Type="http://schemas.openxmlformats.org/officeDocument/2006/relationships/hyperlink" Target="https://app-web.statementrec.com/app#appuploadfiles/3a20f570-77b6-317a-5b49-762b36106c56" TargetMode="External"/><Relationship Id="rId3037" Type="http://schemas.openxmlformats.org/officeDocument/2006/relationships/hyperlink" Target="https://app-web.statementrec.com/app#appuploadfiles/3a20f573-6aa8-7ac6-cc16-c827d7c39d85" TargetMode="External"/><Relationship Id="rId3038" Type="http://schemas.openxmlformats.org/officeDocument/2006/relationships/hyperlink" Target="https://app-web.statementrec.com/app#appuploadfiles/3a20f573-76c4-1482-f218-77bcb3aa81e1" TargetMode="External"/><Relationship Id="rId3039" Type="http://schemas.openxmlformats.org/officeDocument/2006/relationships/hyperlink" Target="https://app-web.statementrec.com/app#appuploadfiles/3a20f576-cf28-e5b2-d52f-ff28ca3f1a24" TargetMode="External"/><Relationship Id="rId3040" Type="http://schemas.openxmlformats.org/officeDocument/2006/relationships/hyperlink" Target="https://app-web.statementrec.com/app#appuploadfiles/3a20f579-5744-f0f3-321f-d5eddc9e4e69" TargetMode="External"/><Relationship Id="rId3041" Type="http://schemas.openxmlformats.org/officeDocument/2006/relationships/hyperlink" Target="https://app-web.statementrec.com/app#appuploadfiles/3a20f57a-f9a1-11a5-b167-1a2452eb2341" TargetMode="External"/><Relationship Id="rId3042" Type="http://schemas.openxmlformats.org/officeDocument/2006/relationships/hyperlink" Target="https://app-web.statementrec.com/app#appuploadfiles/3a20f57c-b580-6b29-e425-1c0b841b77d7" TargetMode="External"/><Relationship Id="rId3043" Type="http://schemas.openxmlformats.org/officeDocument/2006/relationships/hyperlink" Target="https://app-web.statementrec.com/app#appuploadfiles/3a20f583-04c0-cbde-50e0-a30a144e946a" TargetMode="External"/><Relationship Id="rId3044" Type="http://schemas.openxmlformats.org/officeDocument/2006/relationships/hyperlink" Target="https://app-web.statementrec.com/app#appuploadfiles/3a20f58e-4e25-527c-3751-40451d51eab6" TargetMode="External"/><Relationship Id="rId3045" Type="http://schemas.openxmlformats.org/officeDocument/2006/relationships/hyperlink" Target="https://app-web.statementrec.com/app#appuploadfiles/3a20f591-31bb-6a50-d423-690b704eac06" TargetMode="External"/><Relationship Id="rId3046" Type="http://schemas.openxmlformats.org/officeDocument/2006/relationships/hyperlink" Target="https://app-web.statementrec.com/app#appuploadfiles/3a20f5ac-a3f5-0cad-9c05-d0849e382218" TargetMode="External"/><Relationship Id="rId3047" Type="http://schemas.openxmlformats.org/officeDocument/2006/relationships/hyperlink" Target="https://app-web.statementrec.com/app#appuploadfiles/3a20f5b3-0537-38e1-7b08-192ac97b22a9" TargetMode="External"/><Relationship Id="rId3048" Type="http://schemas.openxmlformats.org/officeDocument/2006/relationships/hyperlink" Target="https://app-web.statementrec.com/app#appuploadfiles/3a20f5b4-930a-63b6-63f4-b91c311e8a48" TargetMode="External"/><Relationship Id="rId3049" Type="http://schemas.openxmlformats.org/officeDocument/2006/relationships/hyperlink" Target="https://app-web.statementrec.com/app#appuploadfiles/3a20f5ce-c8d8-ff15-054b-f97ada2c9f5a" TargetMode="External"/><Relationship Id="rId3050" Type="http://schemas.openxmlformats.org/officeDocument/2006/relationships/hyperlink" Target="https://app-web.statementrec.com/app#appuploadfiles/3a20f5dd-521b-e6aa-94ba-955b9eb16b84" TargetMode="External"/><Relationship Id="rId3051" Type="http://schemas.openxmlformats.org/officeDocument/2006/relationships/hyperlink" Target="https://app-web.statementrec.com/app#appuploadfiles/3a20f5fb-56b6-6d7d-a25e-ca2ade4a606c" TargetMode="External"/><Relationship Id="rId3052" Type="http://schemas.openxmlformats.org/officeDocument/2006/relationships/hyperlink" Target="https://app-web.statementrec.com/app#appuploadfiles/3a20f602-817b-3e5d-75a6-0e601ce7cce8" TargetMode="External"/><Relationship Id="rId3053" Type="http://schemas.openxmlformats.org/officeDocument/2006/relationships/hyperlink" Target="https://app-web.statementrec.com/app#appuploadfiles/3a20f61b-0af9-fcd5-8d2d-3ac91255a91e" TargetMode="External"/><Relationship Id="rId3054" Type="http://schemas.openxmlformats.org/officeDocument/2006/relationships/hyperlink" Target="https://app-web.statementrec.com/app#appuploadfiles/3a20f622-a30a-7fa0-067b-89097a99c0ca" TargetMode="External"/><Relationship Id="rId3055" Type="http://schemas.openxmlformats.org/officeDocument/2006/relationships/hyperlink" Target="https://app-web.statementrec.com/app#appuploadfiles/3a20f62c-d665-68b5-d928-c44e9f69cca2" TargetMode="External"/><Relationship Id="rId3056" Type="http://schemas.openxmlformats.org/officeDocument/2006/relationships/hyperlink" Target="https://app-web.statementrec.com/app#appuploadfiles/3a20f62d-215c-5cff-630d-ab886d99fc6b" TargetMode="External"/><Relationship Id="rId3057" Type="http://schemas.openxmlformats.org/officeDocument/2006/relationships/hyperlink" Target="https://app-web.statementrec.com/app#appuploadfiles/3a20f636-12ee-3d89-d93e-fc3986a9c05c" TargetMode="External"/><Relationship Id="rId3058" Type="http://schemas.openxmlformats.org/officeDocument/2006/relationships/hyperlink" Target="https://app-web.statementrec.com/app#appuploadfiles/3a20f636-9f3c-5d21-ae7c-2216be082a5e" TargetMode="External"/><Relationship Id="rId3059" Type="http://schemas.openxmlformats.org/officeDocument/2006/relationships/hyperlink" Target="https://app-web.statementrec.com/app#appuploadfiles/3a20f64f-b0ef-f1b4-33da-33e33c6a3577" TargetMode="External"/><Relationship Id="rId3060" Type="http://schemas.openxmlformats.org/officeDocument/2006/relationships/hyperlink" Target="https://app-web.statementrec.com/app#appuploadfiles/3a20f650-c44c-9e84-90e8-7cd4046b9ce2" TargetMode="External"/><Relationship Id="rId3061" Type="http://schemas.openxmlformats.org/officeDocument/2006/relationships/hyperlink" Target="https://app-web.statementrec.com/app#appuploadfiles/3a20f650-c81c-c0e4-a068-641f37016a14" TargetMode="External"/><Relationship Id="rId3062" Type="http://schemas.openxmlformats.org/officeDocument/2006/relationships/hyperlink" Target="https://app-web.statementrec.com/app#appuploadfiles/3a20f665-dc4d-d793-5c8e-f49970bfc272" TargetMode="External"/><Relationship Id="rId3063" Type="http://schemas.openxmlformats.org/officeDocument/2006/relationships/hyperlink" Target="https://app-web.statementrec.com/app#appuploadfiles/3a20f675-7673-a39d-73d2-593146b94159" TargetMode="External"/><Relationship Id="rId3064" Type="http://schemas.openxmlformats.org/officeDocument/2006/relationships/hyperlink" Target="https://app-web.statementrec.com/app#appuploadfiles/3a20f694-015a-aac4-4e61-8f11b9596c3f" TargetMode="External"/><Relationship Id="rId3065" Type="http://schemas.openxmlformats.org/officeDocument/2006/relationships/hyperlink" Target="https://app-web.statementrec.com/app#appuploadfiles/3a20f6af-c74a-a05c-0a12-2dac69d9cdaa" TargetMode="External"/><Relationship Id="rId3066" Type="http://schemas.openxmlformats.org/officeDocument/2006/relationships/hyperlink" Target="https://app-web.statementrec.com/app#appuploadfiles/3a20f6e2-d6bb-b286-f580-af69c63fbf49" TargetMode="External"/><Relationship Id="rId3067" Type="http://schemas.openxmlformats.org/officeDocument/2006/relationships/hyperlink" Target="https://app-web.statementrec.com/app#appuploadfiles/3a20f6f2-bcac-6613-25e1-b4b3745e91a4" TargetMode="External"/><Relationship Id="rId3068" Type="http://schemas.openxmlformats.org/officeDocument/2006/relationships/hyperlink" Target="https://app-web.statementrec.com/app#appuploadfiles/3a20f732-769d-8e30-37ea-ccadfbced0ea" TargetMode="External"/><Relationship Id="rId3069" Type="http://schemas.openxmlformats.org/officeDocument/2006/relationships/hyperlink" Target="https://app-web.statementrec.com/app#appuploadfiles/3a20f73e-8b25-6877-d4e2-9dc28a123ef5" TargetMode="External"/><Relationship Id="rId3070" Type="http://schemas.openxmlformats.org/officeDocument/2006/relationships/hyperlink" Target="https://app-web.statementrec.com/app#appuploadfiles/3a20f786-9403-3c0e-9310-9570268c1a1e" TargetMode="External"/><Relationship Id="rId3071" Type="http://schemas.openxmlformats.org/officeDocument/2006/relationships/hyperlink" Target="https://app-web.statementrec.com/app#appuploadfiles/3a20f78f-ed3c-b6a9-5947-d52bb4f2e757" TargetMode="External"/><Relationship Id="rId3072" Type="http://schemas.openxmlformats.org/officeDocument/2006/relationships/hyperlink" Target="https://app-web.statementrec.com/app#appuploadfiles/3a20f7e7-c546-938b-a761-1b792ed91eea" TargetMode="External"/><Relationship Id="rId3073" Type="http://schemas.openxmlformats.org/officeDocument/2006/relationships/hyperlink" Target="https://app-web.statementrec.com/app#appuploadfiles/3a20f903-d619-a948-6636-6aefaea38406" TargetMode="External"/><Relationship Id="rId3074" Type="http://schemas.openxmlformats.org/officeDocument/2006/relationships/hyperlink" Target="https://app-web.statementrec.com/app#appuploadfiles/3a20f9bd-c3e8-36c3-a7ef-2f120053a117" TargetMode="External"/><Relationship Id="rId3075" Type="http://schemas.openxmlformats.org/officeDocument/2006/relationships/hyperlink" Target="https://app-web.statementrec.com/app#appuploadfiles/3a20fa45-0c79-6e6b-8cee-73ffe1f02eac" TargetMode="External"/><Relationship Id="rId3076" Type="http://schemas.openxmlformats.org/officeDocument/2006/relationships/hyperlink" Target="https://app-web.statementrec.com/app#appuploadfiles/3a20fab7-5832-dcbc-9c37-1fc843e58e41" TargetMode="External"/><Relationship Id="rId3077" Type="http://schemas.openxmlformats.org/officeDocument/2006/relationships/hyperlink" Target="https://app-web.statementrec.com/app#appuploadfiles/3a20fab9-458d-1c45-6f35-4f26e9a72cd4" TargetMode="External"/><Relationship Id="rId3078" Type="http://schemas.openxmlformats.org/officeDocument/2006/relationships/hyperlink" Target="https://app-web.statementrec.com/app#appuploadfiles/3a20fab9-a1b9-6dce-2cba-c80c030f2e2e" TargetMode="External"/><Relationship Id="rId3079" Type="http://schemas.openxmlformats.org/officeDocument/2006/relationships/hyperlink" Target="https://app-web.statementrec.com/app#appuploadfiles/3a20fac2-0bc2-1e8d-eec0-8e09a7e617fa" TargetMode="External"/><Relationship Id="rId3080" Type="http://schemas.openxmlformats.org/officeDocument/2006/relationships/hyperlink" Target="https://app-web.statementrec.com/app#appuploadfiles/3a20face-ba8f-a492-d748-555d35dd1f36" TargetMode="External"/><Relationship Id="rId3081" Type="http://schemas.openxmlformats.org/officeDocument/2006/relationships/hyperlink" Target="https://app-web.statementrec.com/app#appuploadfiles/3a20fb64-addc-3ed6-b82d-46a1923825c2" TargetMode="External"/><Relationship Id="rId3082" Type="http://schemas.openxmlformats.org/officeDocument/2006/relationships/hyperlink" Target="https://app-web.statementrec.com/app#appuploadfiles/3a20fbcf-8f6d-cc23-6298-f47985c691ef" TargetMode="External"/><Relationship Id="rId3083" Type="http://schemas.openxmlformats.org/officeDocument/2006/relationships/hyperlink" Target="https://app-web.statementrec.com/app#appuploadfiles/3a20fbf6-c448-262e-7693-e79300f313bb" TargetMode="External"/><Relationship Id="rId3084" Type="http://schemas.openxmlformats.org/officeDocument/2006/relationships/hyperlink" Target="https://app-web.statementrec.com/app#appuploadfiles/3a20ffab-6437-4adf-89b0-4ab0afd04a19" TargetMode="External"/><Relationship Id="rId3085" Type="http://schemas.openxmlformats.org/officeDocument/2006/relationships/hyperlink" Target="https://app-web.statementrec.com/app#appuploadfiles/3a21002b-3e76-84c6-bff0-1646494373fb" TargetMode="External"/><Relationship Id="rId3086" Type="http://schemas.openxmlformats.org/officeDocument/2006/relationships/hyperlink" Target="https://app-web.statementrec.com/app#appuploadfiles/3a210119-3733-a9e4-ba01-078bae841bbc" TargetMode="External"/><Relationship Id="rId3087" Type="http://schemas.openxmlformats.org/officeDocument/2006/relationships/hyperlink" Target="https://app-web.statementrec.com/app#appuploadfiles/3a21011a-3620-b8b7-50bb-3ddb7b249879" TargetMode="External"/><Relationship Id="rId3088" Type="http://schemas.openxmlformats.org/officeDocument/2006/relationships/hyperlink" Target="https://app-web.statementrec.com/app#appuploadfiles/3a21011a-bc80-9279-b524-8ace40b75a11" TargetMode="External"/><Relationship Id="rId3089" Type="http://schemas.openxmlformats.org/officeDocument/2006/relationships/hyperlink" Target="https://app-web.statementrec.com/app#appuploadfiles/3a210143-d30b-324a-c9a2-3ff825225187" TargetMode="External"/><Relationship Id="rId3090" Type="http://schemas.openxmlformats.org/officeDocument/2006/relationships/hyperlink" Target="https://app-web.statementrec.com/app#appuploadfiles/3a210144-0fde-f576-8be0-3c25974f53f1" TargetMode="External"/><Relationship Id="rId3091" Type="http://schemas.openxmlformats.org/officeDocument/2006/relationships/hyperlink" Target="https://app-web.statementrec.com/app#appuploadfiles/3a210265-587f-caf1-2ece-b59a0359f955" TargetMode="External"/><Relationship Id="rId3092" Type="http://schemas.openxmlformats.org/officeDocument/2006/relationships/hyperlink" Target="https://app-web.statementrec.com/app#appuploadfiles/3a2103ee-0b6f-6ad0-0014-ecb3601de953" TargetMode="External"/><Relationship Id="rId3093" Type="http://schemas.openxmlformats.org/officeDocument/2006/relationships/hyperlink" Target="https://app-web.statementrec.com/app#appuploadfiles/3a2103f6-f62e-c627-562c-1116f0a5adf7" TargetMode="External"/><Relationship Id="rId3094" Type="http://schemas.openxmlformats.org/officeDocument/2006/relationships/hyperlink" Target="https://app-web.statementrec.com/app#appuploadfiles/3a210406-aa18-ffce-243c-c80fb962bbec" TargetMode="External"/><Relationship Id="rId3095" Type="http://schemas.openxmlformats.org/officeDocument/2006/relationships/hyperlink" Target="https://app-web.statementrec.com/app#appuploadfiles/3a210444-d9c8-ea06-f0b9-c3fb7a8a672e" TargetMode="External"/><Relationship Id="rId3096" Type="http://schemas.openxmlformats.org/officeDocument/2006/relationships/hyperlink" Target="https://app-web.statementrec.com/app#appuploadfiles/3a21047c-64fa-35b3-7dc0-891d54e15a8c" TargetMode="External"/><Relationship Id="rId3097" Type="http://schemas.openxmlformats.org/officeDocument/2006/relationships/hyperlink" Target="https://app-web.statementrec.com/app#appuploadfiles/3a21048d-fe93-4402-630c-a2198a2d8df5" TargetMode="External"/><Relationship Id="rId3098" Type="http://schemas.openxmlformats.org/officeDocument/2006/relationships/hyperlink" Target="https://app-web.statementrec.com/app#appuploadfiles/3a2104c0-ab1b-6929-8984-c8eff9ff5b64" TargetMode="External"/><Relationship Id="rId3099" Type="http://schemas.openxmlformats.org/officeDocument/2006/relationships/hyperlink" Target="https://app-web.statementrec.com/app#appuploadfiles/3a2104e8-5eb8-92f0-6549-a638eecb5767" TargetMode="External"/><Relationship Id="rId3100" Type="http://schemas.openxmlformats.org/officeDocument/2006/relationships/hyperlink" Target="https://app-web.statementrec.com/app#appuploadfiles/3a2104f2-b551-800f-0622-9e063c6524b8" TargetMode="External"/><Relationship Id="rId3101" Type="http://schemas.openxmlformats.org/officeDocument/2006/relationships/hyperlink" Target="https://app-web.statementrec.com/app#appuploadfiles/3a210508-e6f1-8c36-085e-6a8e604d7a1e" TargetMode="External"/><Relationship Id="rId3102" Type="http://schemas.openxmlformats.org/officeDocument/2006/relationships/hyperlink" Target="https://app-web.statementrec.com/app#appuploadfiles/3a21051a-9902-3f8b-f7fd-9d24fad533ad" TargetMode="External"/><Relationship Id="rId3103" Type="http://schemas.openxmlformats.org/officeDocument/2006/relationships/hyperlink" Target="https://app-web.statementrec.com/app#appuploadfiles/3a210569-7482-4e8e-5630-8c20f0e12e0a" TargetMode="External"/><Relationship Id="rId3104" Type="http://schemas.openxmlformats.org/officeDocument/2006/relationships/hyperlink" Target="https://app-web.statementrec.com/app#appuploadfiles/3a210578-2f67-3d00-036b-086100e59019" TargetMode="External"/><Relationship Id="rId3105" Type="http://schemas.openxmlformats.org/officeDocument/2006/relationships/hyperlink" Target="https://app-web.statementrec.com/app#appuploadfiles/3a21058d-3bf3-00cd-0ede-92e88f50395a" TargetMode="External"/><Relationship Id="rId3106" Type="http://schemas.openxmlformats.org/officeDocument/2006/relationships/hyperlink" Target="https://app-web.statementrec.com/app#appuploadfiles/3a210593-1588-1ca8-e710-e9f984a3d02d" TargetMode="External"/><Relationship Id="rId3107" Type="http://schemas.openxmlformats.org/officeDocument/2006/relationships/hyperlink" Target="https://app-web.statementrec.com/app#appuploadfiles/3a210595-42b7-b0e3-e89d-44381bcc94e9" TargetMode="External"/><Relationship Id="rId3108" Type="http://schemas.openxmlformats.org/officeDocument/2006/relationships/hyperlink" Target="https://app-web.statementrec.com/app#appuploadfiles/3a2105a0-2e64-b991-fb71-26dbf84c1b38" TargetMode="External"/><Relationship Id="rId3109" Type="http://schemas.openxmlformats.org/officeDocument/2006/relationships/hyperlink" Target="https://app-web.statementrec.com/app#appuploadfiles/3a2105a1-57f4-be70-7613-b6b10fe1e2eb" TargetMode="External"/><Relationship Id="rId3110" Type="http://schemas.openxmlformats.org/officeDocument/2006/relationships/hyperlink" Target="https://app-web.statementrec.com/app#appuploadfiles/3a2105ca-cbdf-4346-235e-e28d942eaabe" TargetMode="External"/><Relationship Id="rId3111" Type="http://schemas.openxmlformats.org/officeDocument/2006/relationships/hyperlink" Target="https://app-web.statementrec.com/app#appuploadfiles/3a2105cd-65ca-d4b7-f55d-b62d27be5831" TargetMode="External"/><Relationship Id="rId3112" Type="http://schemas.openxmlformats.org/officeDocument/2006/relationships/hyperlink" Target="https://app-web.statementrec.com/app#appuploadfiles/3a2105cd-b0d8-fb5c-4eb8-3ed7c98fea73" TargetMode="External"/><Relationship Id="rId3113" Type="http://schemas.openxmlformats.org/officeDocument/2006/relationships/hyperlink" Target="https://app-web.statementrec.com/app#appuploadfiles/3a2105cd-eef7-577d-d58e-ed2665327f31" TargetMode="External"/><Relationship Id="rId3114" Type="http://schemas.openxmlformats.org/officeDocument/2006/relationships/hyperlink" Target="https://app-web.statementrec.com/app#appuploadfiles/3a2105ce-f054-e46e-3261-f8e47a1dc14b" TargetMode="External"/><Relationship Id="rId3115" Type="http://schemas.openxmlformats.org/officeDocument/2006/relationships/hyperlink" Target="https://app-web.statementrec.com/app#appuploadfiles/3a2105cf-a3e5-fb25-c781-3883ec10f104" TargetMode="External"/><Relationship Id="rId3116" Type="http://schemas.openxmlformats.org/officeDocument/2006/relationships/hyperlink" Target="https://app-web.statementrec.com/app#appuploadfiles/3a2105d3-2d96-9ae9-2c79-a035c3d2afe6" TargetMode="External"/><Relationship Id="rId3117" Type="http://schemas.openxmlformats.org/officeDocument/2006/relationships/hyperlink" Target="https://app-web.statementrec.com/app#appuploadfiles/3a2105f5-a4d8-5f45-1adc-eaada1ed1385" TargetMode="External"/><Relationship Id="rId3118" Type="http://schemas.openxmlformats.org/officeDocument/2006/relationships/hyperlink" Target="https://app-web.statementrec.com/app#appuploadfiles/3a2105f6-2873-a50f-5e10-c187bb96bfd0" TargetMode="External"/><Relationship Id="rId3119" Type="http://schemas.openxmlformats.org/officeDocument/2006/relationships/hyperlink" Target="https://app-web.statementrec.com/app#appuploadfiles/3a2105f6-7936-e837-cf99-13e9de8805a5" TargetMode="External"/><Relationship Id="rId3120" Type="http://schemas.openxmlformats.org/officeDocument/2006/relationships/hyperlink" Target="https://app-web.statementrec.com/app#appuploadfiles/3a2105f6-e814-eef5-0a9e-953baba4fe0e" TargetMode="External"/><Relationship Id="rId3121" Type="http://schemas.openxmlformats.org/officeDocument/2006/relationships/hyperlink" Target="https://app-web.statementrec.com/app#appuploadfiles/3a2105f7-6f90-fea4-4d57-ab53a8551a53" TargetMode="External"/><Relationship Id="rId3122" Type="http://schemas.openxmlformats.org/officeDocument/2006/relationships/hyperlink" Target="https://app-web.statementrec.com/app#appuploadfiles/3a2105f7-be48-d3d6-4696-2ca183284927" TargetMode="External"/><Relationship Id="rId3123" Type="http://schemas.openxmlformats.org/officeDocument/2006/relationships/hyperlink" Target="https://app-web.statementrec.com/app#appuploadfiles/3a2105f8-20cb-762b-d96d-a0132e70d7c3" TargetMode="External"/><Relationship Id="rId3124" Type="http://schemas.openxmlformats.org/officeDocument/2006/relationships/hyperlink" Target="https://app-web.statementrec.com/app#appuploadfiles/3a2105f8-78fa-bdac-e101-bedc2ed85895" TargetMode="External"/><Relationship Id="rId3125" Type="http://schemas.openxmlformats.org/officeDocument/2006/relationships/hyperlink" Target="https://app-web.statementrec.com/app#appuploadfiles/3a2105ff-e13a-3ad0-10fe-4f79e5f7c761" TargetMode="External"/><Relationship Id="rId3126" Type="http://schemas.openxmlformats.org/officeDocument/2006/relationships/hyperlink" Target="https://app-web.statementrec.com/app#appuploadfiles/3a21061c-74bc-ddf6-31f7-324f1480924a" TargetMode="External"/><Relationship Id="rId3127" Type="http://schemas.openxmlformats.org/officeDocument/2006/relationships/hyperlink" Target="https://app-web.statementrec.com/app#appuploadfiles/3a210628-9a48-7098-c3dd-65c0b111695d" TargetMode="External"/><Relationship Id="rId3128" Type="http://schemas.openxmlformats.org/officeDocument/2006/relationships/hyperlink" Target="https://app-web.statementrec.com/app#appuploadfiles/3a210639-b6d5-dd4d-ffc2-7c469e8a61e6" TargetMode="External"/><Relationship Id="rId3129" Type="http://schemas.openxmlformats.org/officeDocument/2006/relationships/hyperlink" Target="https://app-web.statementrec.com/app#appuploadfiles/3a210656-cc14-c2fa-1921-f784cf8724e9" TargetMode="External"/><Relationship Id="rId3130" Type="http://schemas.openxmlformats.org/officeDocument/2006/relationships/hyperlink" Target="https://app-web.statementrec.com/app#appuploadfiles/3a2106a1-eff1-7fda-bc3c-6d7d8a6dc02e" TargetMode="External"/><Relationship Id="rId3131" Type="http://schemas.openxmlformats.org/officeDocument/2006/relationships/hyperlink" Target="https://app-web.statementrec.com/app#appuploadfiles/3a2106b3-7f33-3ad3-fd64-6de3c9833610" TargetMode="External"/><Relationship Id="rId3132" Type="http://schemas.openxmlformats.org/officeDocument/2006/relationships/hyperlink" Target="https://app-web.statementrec.com/app#appuploadfiles/3a2106b9-81c0-2029-5b6d-d76f8ba46a84" TargetMode="External"/><Relationship Id="rId3133" Type="http://schemas.openxmlformats.org/officeDocument/2006/relationships/hyperlink" Target="https://app-web.statementrec.com/app#appuploadfiles/3a210745-1b9b-20c1-57f7-09484e7dd632" TargetMode="External"/><Relationship Id="rId3134" Type="http://schemas.openxmlformats.org/officeDocument/2006/relationships/hyperlink" Target="https://app-web.statementrec.com/app#appuploadfiles/3a210756-997e-45ab-5066-c122a7c70279" TargetMode="External"/><Relationship Id="rId3135" Type="http://schemas.openxmlformats.org/officeDocument/2006/relationships/hyperlink" Target="https://app-web.statementrec.com/app#appuploadfiles/3a2107df-d8b8-9e3a-f58d-b707b228859a" TargetMode="External"/><Relationship Id="rId3136" Type="http://schemas.openxmlformats.org/officeDocument/2006/relationships/hyperlink" Target="https://app-web.statementrec.com/app#appuploadfiles/3a2107e5-cdfe-f252-163c-372c5d959f53" TargetMode="External"/><Relationship Id="rId3137" Type="http://schemas.openxmlformats.org/officeDocument/2006/relationships/hyperlink" Target="https://app-web.statementrec.com/app#appuploadfiles/3a2108d3-b87c-3b62-306c-ba10e3e12e52" TargetMode="External"/><Relationship Id="rId3138" Type="http://schemas.openxmlformats.org/officeDocument/2006/relationships/hyperlink" Target="https://app-web.statementrec.com/app#appuploadfiles/3a2108d4-427f-45ad-d157-50bcef33a24f" TargetMode="External"/><Relationship Id="rId3139" Type="http://schemas.openxmlformats.org/officeDocument/2006/relationships/hyperlink" Target="https://app-web.statementrec.com/app#appuploadfiles/3a21091e-f108-028e-677f-aadbbaa05080" TargetMode="External"/><Relationship Id="rId3140" Type="http://schemas.openxmlformats.org/officeDocument/2006/relationships/hyperlink" Target="https://app-web.statementrec.com/app#appuploadfiles/3a21091f-03c6-0ab5-da39-0d1d2d86c95e" TargetMode="External"/><Relationship Id="rId3141" Type="http://schemas.openxmlformats.org/officeDocument/2006/relationships/hyperlink" Target="https://app-web.statementrec.com/app#appuploadfiles/3a210943-42a4-d42a-d417-be627a530aa8" TargetMode="External"/><Relationship Id="rId3142" Type="http://schemas.openxmlformats.org/officeDocument/2006/relationships/hyperlink" Target="https://app-web.statementrec.com/app#appuploadfiles/3a210947-7c1a-33c3-5516-6b08eca3cf7c" TargetMode="External"/><Relationship Id="rId3143" Type="http://schemas.openxmlformats.org/officeDocument/2006/relationships/hyperlink" Target="https://app-web.statementrec.com/app#appuploadfiles/3a21094b-7709-3080-be77-5563be80506f" TargetMode="External"/><Relationship Id="rId3144" Type="http://schemas.openxmlformats.org/officeDocument/2006/relationships/hyperlink" Target="https://app-web.statementrec.com/app#appuploadfiles/3a210956-ffee-830d-1ab0-51a208dcec28" TargetMode="External"/><Relationship Id="rId3145" Type="http://schemas.openxmlformats.org/officeDocument/2006/relationships/hyperlink" Target="https://app-web.statementrec.com/app#appuploadfiles/3a21095e-7483-34ba-b81f-e04d37f4804a" TargetMode="External"/><Relationship Id="rId3146" Type="http://schemas.openxmlformats.org/officeDocument/2006/relationships/hyperlink" Target="https://app-web.statementrec.com/app#appuploadfiles/3a21095f-86ff-3ee0-3406-5d41c8a3eb56" TargetMode="External"/><Relationship Id="rId3147" Type="http://schemas.openxmlformats.org/officeDocument/2006/relationships/hyperlink" Target="https://app-web.statementrec.com/app#appuploadfiles/3a210968-4450-538b-c65c-417a38faf9e5" TargetMode="External"/><Relationship Id="rId3148" Type="http://schemas.openxmlformats.org/officeDocument/2006/relationships/hyperlink" Target="https://app-web.statementrec.com/app#appuploadfiles/3a21097b-d058-7238-452e-d905d1806b30" TargetMode="External"/><Relationship Id="rId3149" Type="http://schemas.openxmlformats.org/officeDocument/2006/relationships/hyperlink" Target="https://app-web.statementrec.com/app#appuploadfiles/3a210981-d08c-a235-07e1-16f7ca22c9d9" TargetMode="External"/><Relationship Id="rId3150" Type="http://schemas.openxmlformats.org/officeDocument/2006/relationships/hyperlink" Target="https://app-web.statementrec.com/app#appuploadfiles/3a210989-0ed3-df42-427c-16672f5abae7" TargetMode="External"/><Relationship Id="rId3151" Type="http://schemas.openxmlformats.org/officeDocument/2006/relationships/hyperlink" Target="https://app-web.statementrec.com/app#appuploadfiles/3a21098e-1e4a-a4c4-5084-260daff56161" TargetMode="External"/><Relationship Id="rId3152" Type="http://schemas.openxmlformats.org/officeDocument/2006/relationships/hyperlink" Target="https://app-web.statementrec.com/app#appuploadfiles/3a2109a8-7656-2de2-28b2-f44ed24d5b40" TargetMode="External"/><Relationship Id="rId3153" Type="http://schemas.openxmlformats.org/officeDocument/2006/relationships/hyperlink" Target="https://app-web.statementrec.com/app#appuploadfiles/3a2109a8-c706-a979-d15d-1cca49f6d9db" TargetMode="External"/><Relationship Id="rId3154" Type="http://schemas.openxmlformats.org/officeDocument/2006/relationships/hyperlink" Target="https://app-web.statementrec.com/app#appuploadfiles/3a2109ac-5ab1-a968-a475-3254228e6838" TargetMode="External"/><Relationship Id="rId3155" Type="http://schemas.openxmlformats.org/officeDocument/2006/relationships/hyperlink" Target="https://app-web.statementrec.com/app#appuploadfiles/3a2109ae-5207-2971-8308-d84d4e318ce3" TargetMode="External"/><Relationship Id="rId3156" Type="http://schemas.openxmlformats.org/officeDocument/2006/relationships/hyperlink" Target="https://app-web.statementrec.com/app#appuploadfiles/3a2109b2-1d5b-c4db-8f75-69219abfb17c" TargetMode="External"/><Relationship Id="rId3157" Type="http://schemas.openxmlformats.org/officeDocument/2006/relationships/hyperlink" Target="https://app-web.statementrec.com/app#appuploadfiles/3a2109b4-1628-dc6f-ff4c-af7d67d6888b" TargetMode="External"/><Relationship Id="rId3158" Type="http://schemas.openxmlformats.org/officeDocument/2006/relationships/hyperlink" Target="https://app-web.statementrec.com/app#appuploadfiles/3a2109b9-bde4-3e50-8a7a-f2ac09c09d0f" TargetMode="External"/><Relationship Id="rId3159" Type="http://schemas.openxmlformats.org/officeDocument/2006/relationships/hyperlink" Target="https://app-web.statementrec.com/app#appuploadfiles/3a2109c4-1ce0-cbbb-a2a2-9ecf902100e4" TargetMode="External"/><Relationship Id="rId3160" Type="http://schemas.openxmlformats.org/officeDocument/2006/relationships/hyperlink" Target="https://app-web.statementrec.com/app#appuploadfiles/3a2109c5-9e14-5611-1e1b-4622a66a6364" TargetMode="External"/><Relationship Id="rId3161" Type="http://schemas.openxmlformats.org/officeDocument/2006/relationships/hyperlink" Target="https://app-web.statementrec.com/app#appuploadfiles/3a2109ca-02bb-9fc7-113e-804e6bb4dfad" TargetMode="External"/><Relationship Id="rId3162" Type="http://schemas.openxmlformats.org/officeDocument/2006/relationships/hyperlink" Target="https://app-web.statementrec.com/app#appuploadfiles/3a2109cd-7e14-6c34-61da-90c1bed48fe8" TargetMode="External"/><Relationship Id="rId3163" Type="http://schemas.openxmlformats.org/officeDocument/2006/relationships/hyperlink" Target="https://app-web.statementrec.com/app#appuploadfiles/3a2109d8-8d10-f365-40c9-9b64e037e5c2" TargetMode="External"/><Relationship Id="rId3164" Type="http://schemas.openxmlformats.org/officeDocument/2006/relationships/hyperlink" Target="https://app-web.statementrec.com/app#appuploadfiles/3a2109da-a77a-5d3e-b99a-11331489019f" TargetMode="External"/><Relationship Id="rId3165" Type="http://schemas.openxmlformats.org/officeDocument/2006/relationships/hyperlink" Target="https://app-web.statementrec.com/app#appuploadfiles/3a2109db-a503-8101-79d7-a4e9681f2570" TargetMode="External"/><Relationship Id="rId3166" Type="http://schemas.openxmlformats.org/officeDocument/2006/relationships/hyperlink" Target="https://app-web.statementrec.com/app#appuploadfiles/3a2109df-8370-be52-7080-68e0ea210c00" TargetMode="External"/><Relationship Id="rId3167" Type="http://schemas.openxmlformats.org/officeDocument/2006/relationships/hyperlink" Target="https://app-web.statementrec.com/app#appuploadfiles/3a2109e2-0ffc-6890-f58b-cd97fbeb8ada" TargetMode="External"/><Relationship Id="rId3168" Type="http://schemas.openxmlformats.org/officeDocument/2006/relationships/hyperlink" Target="https://app-web.statementrec.com/app#appuploadfiles/3a210a0b-d559-0eb7-52de-efdfe777726a" TargetMode="External"/><Relationship Id="rId3169" Type="http://schemas.openxmlformats.org/officeDocument/2006/relationships/hyperlink" Target="https://app-web.statementrec.com/app#appuploadfiles/3a210a13-5cf4-cb7d-ed84-aa82f24915f1" TargetMode="External"/><Relationship Id="rId3170" Type="http://schemas.openxmlformats.org/officeDocument/2006/relationships/hyperlink" Target="https://app-web.statementrec.com/app#appuploadfiles/3a210a15-6f27-000a-d468-1deb6f227e8a" TargetMode="External"/><Relationship Id="rId3171" Type="http://schemas.openxmlformats.org/officeDocument/2006/relationships/hyperlink" Target="https://app-web.statementrec.com/app#appuploadfiles/3a210a17-8a97-0cba-46e8-2aeb184511be" TargetMode="External"/><Relationship Id="rId3172" Type="http://schemas.openxmlformats.org/officeDocument/2006/relationships/hyperlink" Target="https://app-web.statementrec.com/app#appuploadfiles/3a210a1b-b4dd-c1ec-204c-716f6f546d2e" TargetMode="External"/><Relationship Id="rId3173" Type="http://schemas.openxmlformats.org/officeDocument/2006/relationships/hyperlink" Target="https://app-web.statementrec.com/app#appuploadfiles/3a210a2d-9d15-10df-fb0b-07c06c95870a" TargetMode="External"/><Relationship Id="rId3174" Type="http://schemas.openxmlformats.org/officeDocument/2006/relationships/hyperlink" Target="https://app-web.statementrec.com/app#appuploadfiles/3a210a46-c713-8af7-962a-e37d41b3447e" TargetMode="External"/><Relationship Id="rId3175" Type="http://schemas.openxmlformats.org/officeDocument/2006/relationships/hyperlink" Target="https://app-web.statementrec.com/app#appuploadfiles/3a210a46-cc12-c476-14e3-82600c34852e" TargetMode="External"/><Relationship Id="rId3176" Type="http://schemas.openxmlformats.org/officeDocument/2006/relationships/hyperlink" Target="https://app-web.statementrec.com/app#appuploadfiles/3a210a50-2fc3-94a4-0326-d97c83e55f91" TargetMode="External"/><Relationship Id="rId3177" Type="http://schemas.openxmlformats.org/officeDocument/2006/relationships/hyperlink" Target="https://app-web.statementrec.com/app#appuploadfiles/3a210a59-e612-df2e-09b9-224545fadf3d" TargetMode="External"/><Relationship Id="rId3178" Type="http://schemas.openxmlformats.org/officeDocument/2006/relationships/hyperlink" Target="https://app-web.statementrec.com/app#appuploadfiles/3a210a5e-c38b-e02b-7a90-af3ca77def75" TargetMode="External"/><Relationship Id="rId3179" Type="http://schemas.openxmlformats.org/officeDocument/2006/relationships/hyperlink" Target="https://app-web.statementrec.com/app#appuploadfiles/3a210a68-d4d3-c829-2e2d-d205bf4a79c8" TargetMode="External"/><Relationship Id="rId3180" Type="http://schemas.openxmlformats.org/officeDocument/2006/relationships/hyperlink" Target="https://app-web.statementrec.com/app#appuploadfiles/3a210a6f-8e92-794a-14a4-50a72928504c" TargetMode="External"/><Relationship Id="rId3181" Type="http://schemas.openxmlformats.org/officeDocument/2006/relationships/hyperlink" Target="https://app-web.statementrec.com/app#appuploadfiles/3a210a71-42de-6722-5293-71c1cd94bb25" TargetMode="External"/><Relationship Id="rId3182" Type="http://schemas.openxmlformats.org/officeDocument/2006/relationships/hyperlink" Target="https://app-web.statementrec.com/app#appuploadfiles/3a210a83-b1ce-b4e1-61d4-1a0738dc4746" TargetMode="External"/><Relationship Id="rId3183" Type="http://schemas.openxmlformats.org/officeDocument/2006/relationships/hyperlink" Target="https://app-web.statementrec.com/app#appuploadfiles/3a210a84-5c42-0b86-cc3c-7bc8f5d2a9c1" TargetMode="External"/><Relationship Id="rId3184" Type="http://schemas.openxmlformats.org/officeDocument/2006/relationships/hyperlink" Target="https://app-web.statementrec.com/app#appuploadfiles/3a210a89-4c88-ea12-c480-4068bc4147a6" TargetMode="External"/><Relationship Id="rId3185" Type="http://schemas.openxmlformats.org/officeDocument/2006/relationships/hyperlink" Target="https://app-web.statementrec.com/app#appuploadfiles/3a210a8c-aba9-e4e4-934d-2091367a7fb2" TargetMode="External"/><Relationship Id="rId3186" Type="http://schemas.openxmlformats.org/officeDocument/2006/relationships/hyperlink" Target="https://app-web.statementrec.com/app#appuploadfiles/3a210a93-08c9-4e50-6d15-baa62c1a9528" TargetMode="External"/><Relationship Id="rId3187" Type="http://schemas.openxmlformats.org/officeDocument/2006/relationships/hyperlink" Target="https://app-web.statementrec.com/app#appuploadfiles/3a210a97-495b-bbb1-8a8d-12e75175f961" TargetMode="External"/><Relationship Id="rId3188" Type="http://schemas.openxmlformats.org/officeDocument/2006/relationships/hyperlink" Target="https://app-web.statementrec.com/app#appuploadfiles/3a210a97-937b-79dc-b694-fae6f3110fe1" TargetMode="External"/><Relationship Id="rId3189" Type="http://schemas.openxmlformats.org/officeDocument/2006/relationships/hyperlink" Target="https://app-web.statementrec.com/app#appuploadfiles/3a210a98-c904-11e0-3dff-7df41486dbc8" TargetMode="External"/><Relationship Id="rId3190" Type="http://schemas.openxmlformats.org/officeDocument/2006/relationships/hyperlink" Target="https://app-web.statementrec.com/app#appuploadfiles/3a210aa5-54e4-bea1-433d-a85c54b24cd3" TargetMode="External"/><Relationship Id="rId3191" Type="http://schemas.openxmlformats.org/officeDocument/2006/relationships/hyperlink" Target="https://app-web.statementrec.com/app#appuploadfiles/3a210aae-1ad5-a0aa-9d90-58b8505d7ca1" TargetMode="External"/><Relationship Id="rId3192" Type="http://schemas.openxmlformats.org/officeDocument/2006/relationships/hyperlink" Target="https://app-web.statementrec.com/app#appuploadfiles/3a210ab5-5519-1891-e7ef-aa876bffeb0a" TargetMode="External"/><Relationship Id="rId3193" Type="http://schemas.openxmlformats.org/officeDocument/2006/relationships/hyperlink" Target="https://app-web.statementrec.com/app#appuploadfiles/3a210abb-a0b2-9557-10c5-032c2ff617b7" TargetMode="External"/><Relationship Id="rId3194" Type="http://schemas.openxmlformats.org/officeDocument/2006/relationships/hyperlink" Target="https://app-web.statementrec.com/app#appuploadfiles/3a210ac0-33ca-d0ac-ae2a-26cffa0c2117" TargetMode="External"/><Relationship Id="rId3195" Type="http://schemas.openxmlformats.org/officeDocument/2006/relationships/hyperlink" Target="https://app-web.statementrec.com/app#appuploadfiles/3a210ac3-3737-3ee0-baf1-b15cb10ff0e1" TargetMode="External"/><Relationship Id="rId3196" Type="http://schemas.openxmlformats.org/officeDocument/2006/relationships/hyperlink" Target="https://app-web.statementrec.com/app#appuploadfiles/3a210ad5-a615-3bf9-20af-773f5c471cb2" TargetMode="External"/><Relationship Id="rId3197" Type="http://schemas.openxmlformats.org/officeDocument/2006/relationships/hyperlink" Target="https://app-web.statementrec.com/app#appuploadfiles/3a210ad7-ac85-42d1-4260-b4aa5e5150c1" TargetMode="External"/><Relationship Id="rId3198" Type="http://schemas.openxmlformats.org/officeDocument/2006/relationships/hyperlink" Target="https://app-web.statementrec.com/app#appuploadfiles/3a210ad8-ded8-adcc-4b38-08a55d6661bf" TargetMode="External"/><Relationship Id="rId3199" Type="http://schemas.openxmlformats.org/officeDocument/2006/relationships/hyperlink" Target="https://app-web.statementrec.com/app#appuploadfiles/3a210ae9-8c50-2d60-8402-b87e3344150b" TargetMode="External"/><Relationship Id="rId3200" Type="http://schemas.openxmlformats.org/officeDocument/2006/relationships/hyperlink" Target="https://app-web.statementrec.com/app#appuploadfiles/3a210af6-2b9a-4b2b-2072-d39eab67ff35" TargetMode="External"/><Relationship Id="rId3201" Type="http://schemas.openxmlformats.org/officeDocument/2006/relationships/hyperlink" Target="https://app-web.statementrec.com/app#appuploadfiles/3a210aff-cd72-6426-be6c-6b63d49e79e4" TargetMode="External"/><Relationship Id="rId3202" Type="http://schemas.openxmlformats.org/officeDocument/2006/relationships/hyperlink" Target="https://app-web.statementrec.com/app#appuploadfiles/3a210b01-da9e-d5ef-a848-9c4652452002" TargetMode="External"/><Relationship Id="rId3203" Type="http://schemas.openxmlformats.org/officeDocument/2006/relationships/hyperlink" Target="https://app-web.statementrec.com/app#appuploadfiles/3a210b05-23d2-322a-a1da-f3390e7a8cdb" TargetMode="External"/><Relationship Id="rId3204" Type="http://schemas.openxmlformats.org/officeDocument/2006/relationships/hyperlink" Target="https://app-web.statementrec.com/app#appuploadfiles/3a210b10-bab0-0fb1-6e12-0bb396bcf3c4" TargetMode="External"/><Relationship Id="rId3205" Type="http://schemas.openxmlformats.org/officeDocument/2006/relationships/hyperlink" Target="https://app-web.statementrec.com/app#appuploadfiles/3a210b26-6c8c-7d9a-0474-0ddc74037c55" TargetMode="External"/><Relationship Id="rId3206" Type="http://schemas.openxmlformats.org/officeDocument/2006/relationships/hyperlink" Target="https://app-web.statementrec.com/app#appuploadfiles/3a210b2a-b22b-84e8-ed99-3b74a5591e81" TargetMode="External"/><Relationship Id="rId3207" Type="http://schemas.openxmlformats.org/officeDocument/2006/relationships/hyperlink" Target="https://app-web.statementrec.com/app#appuploadfiles/3a210b32-c361-421b-00a8-7c56540aa1ad" TargetMode="External"/><Relationship Id="rId3208" Type="http://schemas.openxmlformats.org/officeDocument/2006/relationships/hyperlink" Target="https://app-web.statementrec.com/app#appuploadfiles/3a210b46-4b6e-2efc-da57-4b4e19931f1a" TargetMode="External"/><Relationship Id="rId3209" Type="http://schemas.openxmlformats.org/officeDocument/2006/relationships/hyperlink" Target="https://app-web.statementrec.com/app#appuploadfiles/3a210b4e-7590-a3cb-d196-c78442a6f619" TargetMode="External"/><Relationship Id="rId3210" Type="http://schemas.openxmlformats.org/officeDocument/2006/relationships/hyperlink" Target="https://app-web.statementrec.com/app#appuploadfiles/3a210b5a-8942-7647-b8f4-5f44e42dddb5" TargetMode="External"/><Relationship Id="rId3211" Type="http://schemas.openxmlformats.org/officeDocument/2006/relationships/hyperlink" Target="https://app-web.statementrec.com/app#appuploadfiles/3a210b65-c59f-d5f1-c8d7-5554a0a69e37" TargetMode="External"/><Relationship Id="rId3212" Type="http://schemas.openxmlformats.org/officeDocument/2006/relationships/hyperlink" Target="https://app-web.statementrec.com/app#appuploadfiles/3a210b67-36fc-9e69-3ad9-794bf7e49581" TargetMode="External"/><Relationship Id="rId3213" Type="http://schemas.openxmlformats.org/officeDocument/2006/relationships/hyperlink" Target="https://app-web.statementrec.com/app#appuploadfiles/3a210b68-548d-bd2f-31fd-64e96d13d209" TargetMode="External"/><Relationship Id="rId3214" Type="http://schemas.openxmlformats.org/officeDocument/2006/relationships/hyperlink" Target="https://app-web.statementrec.com/app#appuploadfiles/3a210b98-e920-2658-5d2c-1d40805b979b" TargetMode="External"/><Relationship Id="rId3215" Type="http://schemas.openxmlformats.org/officeDocument/2006/relationships/hyperlink" Target="https://app-web.statementrec.com/app#appuploadfiles/3a210ba4-8415-7ec4-00b9-d07741e6fb33" TargetMode="External"/><Relationship Id="rId3216" Type="http://schemas.openxmlformats.org/officeDocument/2006/relationships/hyperlink" Target="https://app-web.statementrec.com/app#appuploadfiles/3a210bbe-7697-48a8-d6db-0ff0388e8dfd" TargetMode="External"/><Relationship Id="rId3217" Type="http://schemas.openxmlformats.org/officeDocument/2006/relationships/hyperlink" Target="https://app-web.statementrec.com/app#appuploadfiles/3a210bc8-1833-c731-4e01-ed6e953d6f90" TargetMode="External"/><Relationship Id="rId3218" Type="http://schemas.openxmlformats.org/officeDocument/2006/relationships/hyperlink" Target="https://app-web.statementrec.com/app#appuploadfiles/3a210bc9-28ef-4f31-475b-001a7d029536" TargetMode="External"/><Relationship Id="rId3219" Type="http://schemas.openxmlformats.org/officeDocument/2006/relationships/hyperlink" Target="https://app-web.statementrec.com/app#appuploadfiles/3a210bcb-4af9-e9bc-efef-711ce146ab54" TargetMode="External"/><Relationship Id="rId3220" Type="http://schemas.openxmlformats.org/officeDocument/2006/relationships/hyperlink" Target="https://app-web.statementrec.com/app#appuploadfiles/3a210bf4-110c-c5b6-900a-ca71bc477c64" TargetMode="External"/><Relationship Id="rId3221" Type="http://schemas.openxmlformats.org/officeDocument/2006/relationships/hyperlink" Target="https://app-web.statementrec.com/app#appuploadfiles/3a210c04-6ae0-e210-3022-1169b2598d8b" TargetMode="External"/><Relationship Id="rId3222" Type="http://schemas.openxmlformats.org/officeDocument/2006/relationships/hyperlink" Target="https://app-web.statementrec.com/app#appuploadfiles/3a210c06-46b6-c72f-478f-e83b9a4b0632" TargetMode="External"/><Relationship Id="rId3223" Type="http://schemas.openxmlformats.org/officeDocument/2006/relationships/hyperlink" Target="https://app-web.statementrec.com/app#appuploadfiles/3a210c56-56bf-1ff3-07ac-151dc605b377" TargetMode="External"/><Relationship Id="rId3224" Type="http://schemas.openxmlformats.org/officeDocument/2006/relationships/hyperlink" Target="https://app-web.statementrec.com/app#appuploadfiles/3a210c57-4370-4223-2d91-42ecf192d7c9" TargetMode="External"/><Relationship Id="rId3225" Type="http://schemas.openxmlformats.org/officeDocument/2006/relationships/hyperlink" Target="https://app-web.statementrec.com/app#appuploadfiles/3a210c77-51cb-b17a-0005-c28812311750" TargetMode="External"/><Relationship Id="rId3226" Type="http://schemas.openxmlformats.org/officeDocument/2006/relationships/hyperlink" Target="https://app-web.statementrec.com/app#appuploadfiles/3a210cbf-f4aa-d887-b85a-38640e10fb12" TargetMode="External"/><Relationship Id="rId3227" Type="http://schemas.openxmlformats.org/officeDocument/2006/relationships/hyperlink" Target="https://app-web.statementrec.com/app#appuploadfiles/3a210cdb-1f79-4e45-971a-cbd6e34a37ff" TargetMode="External"/><Relationship Id="rId3228" Type="http://schemas.openxmlformats.org/officeDocument/2006/relationships/hyperlink" Target="https://app-web.statementrec.com/app#appuploadfiles/3a210cf3-e069-f58f-c2c3-b41540622675" TargetMode="External"/><Relationship Id="rId3229" Type="http://schemas.openxmlformats.org/officeDocument/2006/relationships/hyperlink" Target="https://app-web.statementrec.com/app#appuploadfiles/3a210d32-4ebd-b929-4fef-c0315f70e71c" TargetMode="External"/><Relationship Id="rId3230" Type="http://schemas.openxmlformats.org/officeDocument/2006/relationships/hyperlink" Target="https://app-web.statementrec.com/app#appuploadfiles/3a210d34-5b09-16cc-e484-b42603380762" TargetMode="External"/><Relationship Id="rId3231" Type="http://schemas.openxmlformats.org/officeDocument/2006/relationships/hyperlink" Target="https://app-web.statementrec.com/app#appuploadfiles/3a210db0-3775-ad6b-45e2-e9d5be6b58cf" TargetMode="External"/><Relationship Id="rId3232" Type="http://schemas.openxmlformats.org/officeDocument/2006/relationships/hyperlink" Target="https://app-web.statementrec.com/app#appuploadfiles/3a210dec-5448-f605-77db-24a9757b87d5" TargetMode="External"/><Relationship Id="rId3233" Type="http://schemas.openxmlformats.org/officeDocument/2006/relationships/hyperlink" Target="https://app-web.statementrec.com/app#appuploadfiles/3a210e24-5140-9529-5d30-369071296750" TargetMode="External"/><Relationship Id="rId3234" Type="http://schemas.openxmlformats.org/officeDocument/2006/relationships/hyperlink" Target="https://app-web.statementrec.com/app#appuploadfiles/3a210e29-d7da-36b8-9c4e-e1980b3d9cb8" TargetMode="External"/><Relationship Id="rId3235" Type="http://schemas.openxmlformats.org/officeDocument/2006/relationships/hyperlink" Target="https://app-web.statementrec.com/app#appuploadfiles/3a210e42-c91b-21e2-ed7b-1e3e3f195527" TargetMode="External"/><Relationship Id="rId3236" Type="http://schemas.openxmlformats.org/officeDocument/2006/relationships/hyperlink" Target="https://app-web.statementrec.com/app#appuploadfiles/3a210e45-31db-917c-de80-650d0a9098c5" TargetMode="External"/><Relationship Id="rId3237" Type="http://schemas.openxmlformats.org/officeDocument/2006/relationships/hyperlink" Target="https://app-web.statementrec.com/app#appuploadfiles/3a210e4a-b180-b1df-25e8-a8821005134a" TargetMode="External"/><Relationship Id="rId3238" Type="http://schemas.openxmlformats.org/officeDocument/2006/relationships/hyperlink" Target="https://app-web.statementrec.com/app#appuploadfiles/3a210e55-c35e-4c2b-62ca-1da5ac188394" TargetMode="External"/><Relationship Id="rId3239" Type="http://schemas.openxmlformats.org/officeDocument/2006/relationships/hyperlink" Target="https://app-web.statementrec.com/app#appuploadfiles/3a210e71-4638-bd6b-bc52-b5710c50bc04" TargetMode="External"/><Relationship Id="rId3240" Type="http://schemas.openxmlformats.org/officeDocument/2006/relationships/hyperlink" Target="https://app-web.statementrec.com/app#appuploadfiles/3a210e72-5cda-5d6d-0ba1-16ce70351fbe" TargetMode="External"/><Relationship Id="rId3241" Type="http://schemas.openxmlformats.org/officeDocument/2006/relationships/hyperlink" Target="https://app-web.statementrec.com/app#appuploadfiles/3a210e74-d0c8-a2eb-13aa-0a251e7e0d22" TargetMode="External"/><Relationship Id="rId3242" Type="http://schemas.openxmlformats.org/officeDocument/2006/relationships/hyperlink" Target="https://app-web.statementrec.com/app#appuploadfiles/3a210e7c-9cc9-35b1-e8ba-23b074b5493f" TargetMode="External"/><Relationship Id="rId3243" Type="http://schemas.openxmlformats.org/officeDocument/2006/relationships/hyperlink" Target="https://app-web.statementrec.com/app#appuploadfiles/3a210e87-b177-d3f2-5b3a-bcb4684dee5a" TargetMode="External"/><Relationship Id="rId3244" Type="http://schemas.openxmlformats.org/officeDocument/2006/relationships/hyperlink" Target="https://app-web.statementrec.com/app#appuploadfiles/3a210e88-f56a-2c0b-921b-6fc4e98caca4" TargetMode="External"/><Relationship Id="rId3245" Type="http://schemas.openxmlformats.org/officeDocument/2006/relationships/hyperlink" Target="https://app-web.statementrec.com/app#appuploadfiles/3a210e8c-bcb8-dc7d-2702-9e5eb88b0a9c" TargetMode="External"/><Relationship Id="rId3246" Type="http://schemas.openxmlformats.org/officeDocument/2006/relationships/hyperlink" Target="https://app-web.statementrec.com/app#appuploadfiles/3a210e93-2c29-b201-e6f2-9a4ccf40f528" TargetMode="External"/><Relationship Id="rId3247" Type="http://schemas.openxmlformats.org/officeDocument/2006/relationships/hyperlink" Target="https://app-web.statementrec.com/app#appuploadfiles/3a210e9e-62b6-0b9f-d181-38fb208f86fd" TargetMode="External"/><Relationship Id="rId3248" Type="http://schemas.openxmlformats.org/officeDocument/2006/relationships/hyperlink" Target="https://app-web.statementrec.com/app#appuploadfiles/3a210e9e-aa7c-81bd-245e-fbed27aef609" TargetMode="External"/><Relationship Id="rId3249" Type="http://schemas.openxmlformats.org/officeDocument/2006/relationships/hyperlink" Target="https://app-web.statementrec.com/app#appuploadfiles/3a210ea1-f396-7846-6541-8c22002efe24" TargetMode="External"/><Relationship Id="rId3250" Type="http://schemas.openxmlformats.org/officeDocument/2006/relationships/hyperlink" Target="https://app-web.statementrec.com/app#appuploadfiles/3a210ea2-43a5-f969-68f0-61d530ed4458" TargetMode="External"/><Relationship Id="rId3251" Type="http://schemas.openxmlformats.org/officeDocument/2006/relationships/hyperlink" Target="https://app-web.statementrec.com/app#appuploadfiles/3a210ea3-7b01-1763-7ece-cabe59c7010c" TargetMode="External"/><Relationship Id="rId3252" Type="http://schemas.openxmlformats.org/officeDocument/2006/relationships/hyperlink" Target="https://app-web.statementrec.com/app#appuploadfiles/3a210ea3-880b-aae6-cde4-09dec33577fd" TargetMode="External"/><Relationship Id="rId3253" Type="http://schemas.openxmlformats.org/officeDocument/2006/relationships/hyperlink" Target="https://app-web.statementrec.com/app#appuploadfiles/3a210ea3-e7eb-857a-8c66-6786ef0bee33" TargetMode="External"/><Relationship Id="rId3254" Type="http://schemas.openxmlformats.org/officeDocument/2006/relationships/hyperlink" Target="https://app-web.statementrec.com/app#appuploadfiles/3a210ea4-7932-434a-08ec-83a0600fa402" TargetMode="External"/><Relationship Id="rId3255" Type="http://schemas.openxmlformats.org/officeDocument/2006/relationships/hyperlink" Target="https://app-web.statementrec.com/app#appuploadfiles/3a210eb3-09a9-b36c-8f9b-9a83c36d5bd6" TargetMode="External"/><Relationship Id="rId3256" Type="http://schemas.openxmlformats.org/officeDocument/2006/relationships/hyperlink" Target="https://app-web.statementrec.com/app#appuploadfiles/3a210ebf-5bc9-0bb1-48cc-a6d549c10370" TargetMode="External"/><Relationship Id="rId3257" Type="http://schemas.openxmlformats.org/officeDocument/2006/relationships/hyperlink" Target="https://app-web.statementrec.com/app#appuploadfiles/3a210ec0-27f7-8dce-eb4e-66ad2b7c95fa" TargetMode="External"/><Relationship Id="rId3258" Type="http://schemas.openxmlformats.org/officeDocument/2006/relationships/hyperlink" Target="https://app-web.statementrec.com/app#appuploadfiles/3a210ec1-f004-cf58-9512-39e14663446b" TargetMode="External"/><Relationship Id="rId3259" Type="http://schemas.openxmlformats.org/officeDocument/2006/relationships/hyperlink" Target="https://app-web.statementrec.com/app#appuploadfiles/3a210ed4-a4ce-3b41-7c60-ab68c9112391" TargetMode="External"/><Relationship Id="rId3260" Type="http://schemas.openxmlformats.org/officeDocument/2006/relationships/hyperlink" Target="https://app-web.statementrec.com/app#appuploadfiles/3a210edf-2981-de98-61a4-9f535eedf5ed" TargetMode="External"/><Relationship Id="rId3261" Type="http://schemas.openxmlformats.org/officeDocument/2006/relationships/hyperlink" Target="https://app-web.statementrec.com/app#appuploadfiles/3a210ee6-a6a3-3679-21c3-beb598250b1f" TargetMode="External"/><Relationship Id="rId3262" Type="http://schemas.openxmlformats.org/officeDocument/2006/relationships/hyperlink" Target="https://app-web.statementrec.com/app#appuploadfiles/3a210eef-fdc8-929b-3451-f053177a185b" TargetMode="External"/><Relationship Id="rId3263" Type="http://schemas.openxmlformats.org/officeDocument/2006/relationships/hyperlink" Target="https://app-web.statementrec.com/app#appuploadfiles/3a210f08-5f3d-dba6-5c2a-debf126ef676" TargetMode="External"/><Relationship Id="rId3264" Type="http://schemas.openxmlformats.org/officeDocument/2006/relationships/hyperlink" Target="https://app-web.statementrec.com/app#appuploadfiles/3a210f0a-186d-0f59-e59c-2c937c91113f" TargetMode="External"/><Relationship Id="rId3265" Type="http://schemas.openxmlformats.org/officeDocument/2006/relationships/hyperlink" Target="https://app-web.statementrec.com/app#appuploadfiles/3a210f14-1534-7eeb-15bc-d538ca13b37a" TargetMode="External"/><Relationship Id="rId3266" Type="http://schemas.openxmlformats.org/officeDocument/2006/relationships/hyperlink" Target="https://app-web.statementrec.com/app#appuploadfiles/3a210f17-bc69-b381-ce00-345860d14bd8" TargetMode="External"/><Relationship Id="rId3267" Type="http://schemas.openxmlformats.org/officeDocument/2006/relationships/hyperlink" Target="https://app-web.statementrec.com/app#appuploadfiles/3a210f1a-3266-768f-31dd-52e4870a08ec" TargetMode="External"/><Relationship Id="rId3268" Type="http://schemas.openxmlformats.org/officeDocument/2006/relationships/hyperlink" Target="https://app-web.statementrec.com/app#appuploadfiles/3a210f1a-835c-d7e8-3092-5578f0995546" TargetMode="External"/><Relationship Id="rId3269" Type="http://schemas.openxmlformats.org/officeDocument/2006/relationships/hyperlink" Target="https://app-web.statementrec.com/app#appuploadfiles/3a210f1a-eb89-0869-fb8f-14575c9724c6" TargetMode="External"/><Relationship Id="rId3270" Type="http://schemas.openxmlformats.org/officeDocument/2006/relationships/hyperlink" Target="https://app-web.statementrec.com/app#appuploadfiles/3a210f1c-025b-f93b-bee1-4b5fa9c0477a" TargetMode="External"/><Relationship Id="rId3271" Type="http://schemas.openxmlformats.org/officeDocument/2006/relationships/hyperlink" Target="https://app-web.statementrec.com/app#appuploadfiles/3a210f32-4e15-bd1e-8409-36f8e91745d0" TargetMode="External"/><Relationship Id="rId3272" Type="http://schemas.openxmlformats.org/officeDocument/2006/relationships/hyperlink" Target="https://app-web.statementrec.com/app#appuploadfiles/3a210f3b-5c6e-9d47-0a87-3e65397d78ee" TargetMode="External"/><Relationship Id="rId3273" Type="http://schemas.openxmlformats.org/officeDocument/2006/relationships/hyperlink" Target="https://app-web.statementrec.com/app#appuploadfiles/3a210f47-ac4b-908b-0732-08ffe03adf6d" TargetMode="External"/><Relationship Id="rId3274" Type="http://schemas.openxmlformats.org/officeDocument/2006/relationships/hyperlink" Target="https://app-web.statementrec.com/app#appuploadfiles/3a210f4e-f58f-6a40-18d4-6065bd77c589" TargetMode="External"/><Relationship Id="rId3275" Type="http://schemas.openxmlformats.org/officeDocument/2006/relationships/hyperlink" Target="https://app-web.statementrec.com/app#appuploadfiles/3a210f4f-9d35-97a6-57b2-0858a48ae6e3" TargetMode="External"/><Relationship Id="rId3276" Type="http://schemas.openxmlformats.org/officeDocument/2006/relationships/hyperlink" Target="https://app-web.statementrec.com/app#appuploadfiles/3a210f54-0381-7ad7-5e66-03b253b574dc" TargetMode="External"/><Relationship Id="rId3277" Type="http://schemas.openxmlformats.org/officeDocument/2006/relationships/hyperlink" Target="https://app-web.statementrec.com/app#appuploadfiles/3a210f58-0d2d-3d04-8904-d9e5346a7d22" TargetMode="External"/><Relationship Id="rId3278" Type="http://schemas.openxmlformats.org/officeDocument/2006/relationships/hyperlink" Target="https://app-web.statementrec.com/app#appuploadfiles/3a210f58-e31d-ac82-6a05-bbd5f4b9121a" TargetMode="External"/><Relationship Id="rId3279" Type="http://schemas.openxmlformats.org/officeDocument/2006/relationships/hyperlink" Target="https://app-web.statementrec.com/app#appuploadfiles/3a210f5e-2281-a893-974e-fa3c138a3875" TargetMode="External"/><Relationship Id="rId3280" Type="http://schemas.openxmlformats.org/officeDocument/2006/relationships/hyperlink" Target="https://app-web.statementrec.com/app#appuploadfiles/3a210f5e-9b6e-a291-9982-0aeb2c041cc4" TargetMode="External"/><Relationship Id="rId3281" Type="http://schemas.openxmlformats.org/officeDocument/2006/relationships/hyperlink" Target="https://app-web.statementrec.com/app#appuploadfiles/3a210f66-f9d0-cab9-912a-a5b3e91a8829" TargetMode="External"/><Relationship Id="rId3282" Type="http://schemas.openxmlformats.org/officeDocument/2006/relationships/hyperlink" Target="https://app-web.statementrec.com/app#appuploadfiles/3a210f72-c9a7-b870-71ee-0e3032230e50" TargetMode="External"/><Relationship Id="rId3283" Type="http://schemas.openxmlformats.org/officeDocument/2006/relationships/hyperlink" Target="https://app-web.statementrec.com/app#appuploadfiles/3a210f75-9758-5920-374c-131271c81c17" TargetMode="External"/><Relationship Id="rId3284" Type="http://schemas.openxmlformats.org/officeDocument/2006/relationships/hyperlink" Target="https://app-web.statementrec.com/app#appuploadfiles/3a210f88-c6d9-1de0-0988-59963c19953d" TargetMode="External"/><Relationship Id="rId3285" Type="http://schemas.openxmlformats.org/officeDocument/2006/relationships/hyperlink" Target="https://app-web.statementrec.com/app#appuploadfiles/3a210f94-a4e8-9b99-3d7e-2db5ccbf3a9a" TargetMode="External"/><Relationship Id="rId3286" Type="http://schemas.openxmlformats.org/officeDocument/2006/relationships/hyperlink" Target="https://app-web.statementrec.com/app#appuploadfiles/3a210f97-78ec-a0dc-f890-2d8d10a24276" TargetMode="External"/><Relationship Id="rId3287" Type="http://schemas.openxmlformats.org/officeDocument/2006/relationships/hyperlink" Target="https://app-web.statementrec.com/app#appuploadfiles/3a210fa1-1d0f-32f0-61d1-1c0d4884e8f9" TargetMode="External"/><Relationship Id="rId3288" Type="http://schemas.openxmlformats.org/officeDocument/2006/relationships/hyperlink" Target="https://app-web.statementrec.com/app#appuploadfiles/3a210fa2-1d0a-c3f6-f6c5-1f75c5c0b929" TargetMode="External"/><Relationship Id="rId3289" Type="http://schemas.openxmlformats.org/officeDocument/2006/relationships/hyperlink" Target="https://app-web.statementrec.com/app#appuploadfiles/3a210fa3-2387-48c0-d164-63c28b51fb14" TargetMode="External"/><Relationship Id="rId3290" Type="http://schemas.openxmlformats.org/officeDocument/2006/relationships/hyperlink" Target="https://app-web.statementrec.com/app#appuploadfiles/3a210fa4-0259-3806-36af-f507c7ecf6dc" TargetMode="External"/><Relationship Id="rId3291" Type="http://schemas.openxmlformats.org/officeDocument/2006/relationships/hyperlink" Target="https://app-web.statementrec.com/app#appuploadfiles/3a210fa4-45f9-ee44-a801-b069ffcb108d" TargetMode="External"/><Relationship Id="rId3292" Type="http://schemas.openxmlformats.org/officeDocument/2006/relationships/hyperlink" Target="https://app-web.statementrec.com/app#appuploadfiles/3a210fa4-9e45-25a6-0f48-5f0799cc953a" TargetMode="External"/><Relationship Id="rId3293" Type="http://schemas.openxmlformats.org/officeDocument/2006/relationships/hyperlink" Target="https://app-web.statementrec.com/app#appuploadfiles/3a210fa7-9f3a-4df2-1274-aa1f82a7d28c" TargetMode="External"/><Relationship Id="rId3294" Type="http://schemas.openxmlformats.org/officeDocument/2006/relationships/hyperlink" Target="https://app-web.statementrec.com/app#appuploadfiles/3a210fb1-969c-afe8-caf8-341c49e7d4f5" TargetMode="External"/><Relationship Id="rId3295" Type="http://schemas.openxmlformats.org/officeDocument/2006/relationships/hyperlink" Target="https://app-web.statementrec.com/app#appuploadfiles/3a210fbe-8d5f-c554-bcd8-d3ea20b1bff2" TargetMode="External"/><Relationship Id="rId3296" Type="http://schemas.openxmlformats.org/officeDocument/2006/relationships/hyperlink" Target="https://app-web.statementrec.com/app#appuploadfiles/3a210fc0-4483-981c-e785-be7f8bb4ee1c" TargetMode="External"/><Relationship Id="rId3297" Type="http://schemas.openxmlformats.org/officeDocument/2006/relationships/hyperlink" Target="https://app-web.statementrec.com/app#appuploadfiles/3a210fc1-f378-1bfe-c1bc-d39cc2f0442c" TargetMode="External"/><Relationship Id="rId3298" Type="http://schemas.openxmlformats.org/officeDocument/2006/relationships/hyperlink" Target="https://app-web.statementrec.com/app#appuploadfiles/3a210fc9-495b-2a95-0233-40c01644643f" TargetMode="External"/><Relationship Id="rId3299" Type="http://schemas.openxmlformats.org/officeDocument/2006/relationships/hyperlink" Target="https://app-web.statementrec.com/app#appuploadfiles/3a210fd3-792a-edd4-3ad5-7fc1026f10b2" TargetMode="External"/><Relationship Id="rId3300" Type="http://schemas.openxmlformats.org/officeDocument/2006/relationships/hyperlink" Target="https://app-web.statementrec.com/app#appuploadfiles/3a210fef-b148-bd0b-ca1d-37f3632ae06c" TargetMode="External"/><Relationship Id="rId3301" Type="http://schemas.openxmlformats.org/officeDocument/2006/relationships/hyperlink" Target="https://app-web.statementrec.com/app#appuploadfiles/3a210ff4-23a9-71b1-475e-6e67ea3664fe" TargetMode="External"/><Relationship Id="rId3302" Type="http://schemas.openxmlformats.org/officeDocument/2006/relationships/hyperlink" Target="https://app-web.statementrec.com/app#appuploadfiles/3a21100d-374b-6959-0977-97d4be13096f" TargetMode="External"/><Relationship Id="rId3303" Type="http://schemas.openxmlformats.org/officeDocument/2006/relationships/hyperlink" Target="https://app-web.statementrec.com/app#appuploadfiles/3a21101d-357c-7444-c16e-7a6ec41079d8" TargetMode="External"/><Relationship Id="rId3304" Type="http://schemas.openxmlformats.org/officeDocument/2006/relationships/hyperlink" Target="https://app-web.statementrec.com/app#appuploadfiles/3a211022-f4ff-bc47-5943-a4aaf98fad5d" TargetMode="External"/><Relationship Id="rId3305" Type="http://schemas.openxmlformats.org/officeDocument/2006/relationships/hyperlink" Target="https://app-web.statementrec.com/app#appuploadfiles/3a21102a-6df5-a202-4000-f44a38bc01c0" TargetMode="External"/><Relationship Id="rId3306" Type="http://schemas.openxmlformats.org/officeDocument/2006/relationships/hyperlink" Target="https://app-web.statementrec.com/app#appuploadfiles/3a211038-2286-5eb2-b12e-63199fdcfb57" TargetMode="External"/><Relationship Id="rId3307" Type="http://schemas.openxmlformats.org/officeDocument/2006/relationships/hyperlink" Target="https://app-web.statementrec.com/app#appuploadfiles/3a21103f-0369-d750-9292-70af31718507" TargetMode="External"/><Relationship Id="rId3308" Type="http://schemas.openxmlformats.org/officeDocument/2006/relationships/hyperlink" Target="https://app-web.statementrec.com/app#appuploadfiles/3a21103f-738b-0931-b7da-6908627e19b8" TargetMode="External"/><Relationship Id="rId3309" Type="http://schemas.openxmlformats.org/officeDocument/2006/relationships/hyperlink" Target="https://app-web.statementrec.com/app#appuploadfiles/3a21104a-1b69-71c1-08ad-e06d79f871c0" TargetMode="External"/><Relationship Id="rId3310" Type="http://schemas.openxmlformats.org/officeDocument/2006/relationships/hyperlink" Target="https://app-web.statementrec.com/app#appuploadfiles/3a211060-ad76-1c47-b82d-854b3a4ac9dc" TargetMode="External"/><Relationship Id="rId3311" Type="http://schemas.openxmlformats.org/officeDocument/2006/relationships/hyperlink" Target="https://app-web.statementrec.com/app#appuploadfiles/3a211072-617b-0d62-2a3b-86147e2250f8" TargetMode="External"/><Relationship Id="rId3312" Type="http://schemas.openxmlformats.org/officeDocument/2006/relationships/hyperlink" Target="https://app-web.statementrec.com/app#appuploadfiles/3a21108c-ecf7-87c7-08b4-83ade898fd55" TargetMode="External"/><Relationship Id="rId3313" Type="http://schemas.openxmlformats.org/officeDocument/2006/relationships/hyperlink" Target="https://app-web.statementrec.com/app#appuploadfiles/3a2110a6-435d-8f42-2754-2c5b509e2473" TargetMode="External"/><Relationship Id="rId3314" Type="http://schemas.openxmlformats.org/officeDocument/2006/relationships/hyperlink" Target="https://app-web.statementrec.com/app#appuploadfiles/3a2110d0-b448-99db-1e0e-94eab4a175b5" TargetMode="External"/><Relationship Id="rId3315" Type="http://schemas.openxmlformats.org/officeDocument/2006/relationships/hyperlink" Target="https://app-web.statementrec.com/app#appuploadfiles/3a2110d1-300c-f814-9e8b-d38589972c01" TargetMode="External"/><Relationship Id="rId3316" Type="http://schemas.openxmlformats.org/officeDocument/2006/relationships/hyperlink" Target="https://app-web.statementrec.com/app#appuploadfiles/3a2110d8-8e0e-f940-f7c3-ea337433516d" TargetMode="External"/><Relationship Id="rId3317" Type="http://schemas.openxmlformats.org/officeDocument/2006/relationships/hyperlink" Target="https://app-web.statementrec.com/app#appuploadfiles/3a2110ec-1c85-a129-8d62-9b68ff606ceb" TargetMode="External"/><Relationship Id="rId3318" Type="http://schemas.openxmlformats.org/officeDocument/2006/relationships/hyperlink" Target="https://app-web.statementrec.com/app#appuploadfiles/3a211110-d066-e5c5-f212-cbd296efb4f1" TargetMode="External"/><Relationship Id="rId3319" Type="http://schemas.openxmlformats.org/officeDocument/2006/relationships/hyperlink" Target="https://app-web.statementrec.com/app#appuploadfiles/3a21112b-72df-ae35-4272-97c6f0965db0" TargetMode="External"/><Relationship Id="rId3320" Type="http://schemas.openxmlformats.org/officeDocument/2006/relationships/hyperlink" Target="https://app-web.statementrec.com/app#appuploadfiles/3a211137-3b17-7dd5-bb0c-2f6c7a73ba5b" TargetMode="External"/><Relationship Id="rId3321" Type="http://schemas.openxmlformats.org/officeDocument/2006/relationships/hyperlink" Target="https://app-web.statementrec.com/app#appuploadfiles/3a21113b-54de-2bc5-c3ee-cf4f1f395c9d" TargetMode="External"/><Relationship Id="rId3322" Type="http://schemas.openxmlformats.org/officeDocument/2006/relationships/hyperlink" Target="https://app-web.statementrec.com/app#appuploadfiles/3a21113b-f9a4-3710-aa75-d68941478169" TargetMode="External"/><Relationship Id="rId3323" Type="http://schemas.openxmlformats.org/officeDocument/2006/relationships/hyperlink" Target="https://app-web.statementrec.com/app#appuploadfiles/3a211141-e38a-a19b-84cb-c384263ed60f" TargetMode="External"/><Relationship Id="rId3324" Type="http://schemas.openxmlformats.org/officeDocument/2006/relationships/hyperlink" Target="https://app-web.statementrec.com/app#appuploadfiles/3a211143-8471-053b-78d8-9cfea386d0ce" TargetMode="External"/><Relationship Id="rId3325" Type="http://schemas.openxmlformats.org/officeDocument/2006/relationships/hyperlink" Target="https://app-web.statementrec.com/app#appuploadfiles/3a211149-9836-6821-b53b-4019b1b5213c" TargetMode="External"/><Relationship Id="rId3326" Type="http://schemas.openxmlformats.org/officeDocument/2006/relationships/hyperlink" Target="https://app-web.statementrec.com/app#appuploadfiles/3a2111c1-1634-83a7-51b4-959e289a0f32" TargetMode="External"/><Relationship Id="rId3327" Type="http://schemas.openxmlformats.org/officeDocument/2006/relationships/hyperlink" Target="https://app-web.statementrec.com/app#appuploadfiles/3a2111d7-ddba-6b7f-f636-0f650786642e" TargetMode="External"/><Relationship Id="rId3328" Type="http://schemas.openxmlformats.org/officeDocument/2006/relationships/hyperlink" Target="https://app-web.statementrec.com/app#appuploadfiles/3a2111fc-e833-122d-bf2b-5f1493faf057" TargetMode="External"/><Relationship Id="rId3329" Type="http://schemas.openxmlformats.org/officeDocument/2006/relationships/hyperlink" Target="https://app-web.statementrec.com/app#appuploadfiles/3a211201-0fbd-3128-2dcf-e8928e99a14c" TargetMode="External"/><Relationship Id="rId3330" Type="http://schemas.openxmlformats.org/officeDocument/2006/relationships/hyperlink" Target="https://app-web.statementrec.com/app#appuploadfiles/3a21123a-e887-3d66-74b0-1d6043896e16" TargetMode="External"/><Relationship Id="rId3331" Type="http://schemas.openxmlformats.org/officeDocument/2006/relationships/hyperlink" Target="https://app-web.statementrec.com/app#appuploadfiles/3a21125c-bde5-a906-1b5c-21166f0e0616" TargetMode="External"/><Relationship Id="rId3332" Type="http://schemas.openxmlformats.org/officeDocument/2006/relationships/hyperlink" Target="https://app-web.statementrec.com/app#appuploadfiles/3a21126c-3280-41f8-0fd6-45a129da2358" TargetMode="External"/><Relationship Id="rId3333" Type="http://schemas.openxmlformats.org/officeDocument/2006/relationships/hyperlink" Target="https://app-web.statementrec.com/app#appuploadfiles/3a211295-578c-544e-4751-ffe5089144ff" TargetMode="External"/><Relationship Id="rId3334" Type="http://schemas.openxmlformats.org/officeDocument/2006/relationships/hyperlink" Target="https://app-web.statementrec.com/app#appuploadfiles/3a211295-9353-db54-fd6c-f2140f63a52e" TargetMode="External"/><Relationship Id="rId3335" Type="http://schemas.openxmlformats.org/officeDocument/2006/relationships/hyperlink" Target="https://app-web.statementrec.com/app#appuploadfiles/3a211302-5903-b0a9-457c-b5c722a0645c" TargetMode="External"/><Relationship Id="rId3336" Type="http://schemas.openxmlformats.org/officeDocument/2006/relationships/hyperlink" Target="https://app-web.statementrec.com/app#appuploadfiles/3a211311-756b-a383-4830-43cf770197b7" TargetMode="External"/><Relationship Id="rId3337" Type="http://schemas.openxmlformats.org/officeDocument/2006/relationships/hyperlink" Target="https://app-web.statementrec.com/app#appuploadfiles/3a21136f-269d-20ee-2385-5c3317324579" TargetMode="External"/><Relationship Id="rId3338" Type="http://schemas.openxmlformats.org/officeDocument/2006/relationships/hyperlink" Target="https://app-web.statementrec.com/app#appuploadfiles/3a211388-f6cc-1e39-694d-a6fc8f150040" TargetMode="External"/><Relationship Id="rId3339" Type="http://schemas.openxmlformats.org/officeDocument/2006/relationships/hyperlink" Target="https://app-web.statementrec.com/app#appuploadfiles/3a211399-cb2c-8905-c37b-1b927a684f32" TargetMode="External"/><Relationship Id="rId3340" Type="http://schemas.openxmlformats.org/officeDocument/2006/relationships/hyperlink" Target="https://app-web.statementrec.com/app#appuploadfiles/3a2113a7-fdef-c357-31cd-568370df0871" TargetMode="External"/><Relationship Id="rId3341" Type="http://schemas.openxmlformats.org/officeDocument/2006/relationships/hyperlink" Target="https://app-web.statementrec.com/app#appuploadfiles/3a2113b8-95ff-8e89-5139-0dcc14599060" TargetMode="External"/><Relationship Id="rId3342" Type="http://schemas.openxmlformats.org/officeDocument/2006/relationships/hyperlink" Target="https://app-web.statementrec.com/app#appuploadfiles/3a2113bd-762b-3807-555c-96a16405a2da" TargetMode="External"/><Relationship Id="rId3343" Type="http://schemas.openxmlformats.org/officeDocument/2006/relationships/hyperlink" Target="https://app-web.statementrec.com/app#appuploadfiles/3a2113c0-9a36-a3e4-b24c-cbfca4d8963c" TargetMode="External"/><Relationship Id="rId3344" Type="http://schemas.openxmlformats.org/officeDocument/2006/relationships/hyperlink" Target="https://app-web.statementrec.com/app#appuploadfiles/3a2113c0-ba0d-432b-b292-abda91c36f60" TargetMode="External"/><Relationship Id="rId3345" Type="http://schemas.openxmlformats.org/officeDocument/2006/relationships/hyperlink" Target="https://app-web.statementrec.com/app#appuploadfiles/3a2113c4-1bea-8ed3-207d-2d2d0b011ec3" TargetMode="External"/><Relationship Id="rId3346" Type="http://schemas.openxmlformats.org/officeDocument/2006/relationships/hyperlink" Target="https://app-web.statementrec.com/app#appuploadfiles/3a2113cf-335d-ef35-349e-119f7cb3ad78" TargetMode="External"/><Relationship Id="rId3347" Type="http://schemas.openxmlformats.org/officeDocument/2006/relationships/hyperlink" Target="https://app-web.statementrec.com/app#appuploadfiles/3a2113d3-bf8f-6c5d-dac9-2cd1d32a59cd" TargetMode="External"/><Relationship Id="rId3348" Type="http://schemas.openxmlformats.org/officeDocument/2006/relationships/hyperlink" Target="https://app-web.statementrec.com/app#appuploadfiles/3a2113d5-ac4f-024f-75ca-b0f48b2de2ed" TargetMode="External"/><Relationship Id="rId3349" Type="http://schemas.openxmlformats.org/officeDocument/2006/relationships/hyperlink" Target="https://app-web.statementrec.com/app#appuploadfiles/3a2113f0-7881-21b3-831f-92674297a543" TargetMode="External"/><Relationship Id="rId3350" Type="http://schemas.openxmlformats.org/officeDocument/2006/relationships/hyperlink" Target="https://app-web.statementrec.com/app#appuploadfiles/3a2113f7-9f49-3932-d129-6a5d26a0a430" TargetMode="External"/><Relationship Id="rId3351" Type="http://schemas.openxmlformats.org/officeDocument/2006/relationships/hyperlink" Target="https://app-web.statementrec.com/app#appuploadfiles/3a2113fa-a34f-dce5-b0b0-d01a5f47d285" TargetMode="External"/><Relationship Id="rId3352" Type="http://schemas.openxmlformats.org/officeDocument/2006/relationships/hyperlink" Target="https://app-web.statementrec.com/app#appuploadfiles/3a2113fa-a595-7260-d5dc-2f3a717650bc" TargetMode="External"/><Relationship Id="rId3353" Type="http://schemas.openxmlformats.org/officeDocument/2006/relationships/hyperlink" Target="https://app-web.statementrec.com/app#appuploadfiles/3a211402-b4a7-6ed9-4bfc-7948cdea1d1b" TargetMode="External"/><Relationship Id="rId3354" Type="http://schemas.openxmlformats.org/officeDocument/2006/relationships/hyperlink" Target="https://app-web.statementrec.com/app#appuploadfiles/3a211405-4c5b-59d9-36f5-c56ddc26fb96" TargetMode="External"/><Relationship Id="rId3355" Type="http://schemas.openxmlformats.org/officeDocument/2006/relationships/hyperlink" Target="https://app-web.statementrec.com/app#appuploadfiles/3a21140e-298a-a6cd-0140-0868ca95f60c" TargetMode="External"/><Relationship Id="rId3356" Type="http://schemas.openxmlformats.org/officeDocument/2006/relationships/hyperlink" Target="https://app-web.statementrec.com/app#appuploadfiles/3a211418-f705-8251-309a-a1d49097bed1" TargetMode="External"/><Relationship Id="rId3357" Type="http://schemas.openxmlformats.org/officeDocument/2006/relationships/hyperlink" Target="https://app-web.statementrec.com/app#appuploadfiles/3a211426-add3-97d5-2e1e-dceb8b30ac36" TargetMode="External"/><Relationship Id="rId3358" Type="http://schemas.openxmlformats.org/officeDocument/2006/relationships/hyperlink" Target="https://app-web.statementrec.com/app#appuploadfiles/3a211426-b27f-a9f2-6209-dd3405fef606" TargetMode="External"/><Relationship Id="rId3359" Type="http://schemas.openxmlformats.org/officeDocument/2006/relationships/hyperlink" Target="https://app-web.statementrec.com/app#appuploadfiles/3a211433-c562-9da4-3bab-4e662bee533e" TargetMode="External"/><Relationship Id="rId3360" Type="http://schemas.openxmlformats.org/officeDocument/2006/relationships/hyperlink" Target="https://app-web.statementrec.com/app#appuploadfiles/3a211437-0040-712a-0bee-8d0754ace677" TargetMode="External"/><Relationship Id="rId3361" Type="http://schemas.openxmlformats.org/officeDocument/2006/relationships/hyperlink" Target="https://app-web.statementrec.com/app#appuploadfiles/3a211439-8692-d37c-50f7-3884e672d955" TargetMode="External"/><Relationship Id="rId3362" Type="http://schemas.openxmlformats.org/officeDocument/2006/relationships/hyperlink" Target="https://app-web.statementrec.com/app#appuploadfiles/3a21143a-981c-9d30-007d-3083deec78a5" TargetMode="External"/><Relationship Id="rId3363" Type="http://schemas.openxmlformats.org/officeDocument/2006/relationships/hyperlink" Target="https://app-web.statementrec.com/app#appuploadfiles/3a21143e-46b0-6568-4934-2d4484a26dc3" TargetMode="External"/><Relationship Id="rId3364" Type="http://schemas.openxmlformats.org/officeDocument/2006/relationships/hyperlink" Target="https://app-web.statementrec.com/app#appuploadfiles/3a211440-2827-711f-3204-570b619c5699" TargetMode="External"/><Relationship Id="rId3365" Type="http://schemas.openxmlformats.org/officeDocument/2006/relationships/hyperlink" Target="https://app-web.statementrec.com/app#appuploadfiles/3a211441-7ae7-8335-0704-e18a956775ab" TargetMode="External"/><Relationship Id="rId3366" Type="http://schemas.openxmlformats.org/officeDocument/2006/relationships/hyperlink" Target="https://app-web.statementrec.com/app#appuploadfiles/3a211457-7852-2b10-c0bf-84b7f6dad172" TargetMode="External"/><Relationship Id="rId3367" Type="http://schemas.openxmlformats.org/officeDocument/2006/relationships/hyperlink" Target="https://app-web.statementrec.com/app#appuploadfiles/3a211467-00be-969f-895b-aac3c62b628d" TargetMode="External"/><Relationship Id="rId3368" Type="http://schemas.openxmlformats.org/officeDocument/2006/relationships/hyperlink" Target="https://app-web.statementrec.com/app#appuploadfiles/3a21146c-1990-62b2-4fc1-91b708d53ece" TargetMode="External"/><Relationship Id="rId3369" Type="http://schemas.openxmlformats.org/officeDocument/2006/relationships/hyperlink" Target="https://app-web.statementrec.com/app#appuploadfiles/3a21146e-0f24-4dcd-4bfe-dfefbcc2b83a" TargetMode="External"/><Relationship Id="rId3370" Type="http://schemas.openxmlformats.org/officeDocument/2006/relationships/hyperlink" Target="https://app-web.statementrec.com/app#appuploadfiles/3a211471-25cd-1142-84f6-9a15137dbd26" TargetMode="External"/><Relationship Id="rId3371" Type="http://schemas.openxmlformats.org/officeDocument/2006/relationships/hyperlink" Target="https://app-web.statementrec.com/app#appuploadfiles/3a211472-fd28-333d-441c-3bd3feeb996d" TargetMode="External"/><Relationship Id="rId3372" Type="http://schemas.openxmlformats.org/officeDocument/2006/relationships/hyperlink" Target="https://app-web.statementrec.com/app#appuploadfiles/3a211474-1715-9fd9-b6d1-cb4eacf1e419" TargetMode="External"/><Relationship Id="rId3373" Type="http://schemas.openxmlformats.org/officeDocument/2006/relationships/hyperlink" Target="https://app-web.statementrec.com/app#appuploadfiles/3a21149a-ed20-bd17-48ae-1cc74d53b1e9" TargetMode="External"/><Relationship Id="rId3374" Type="http://schemas.openxmlformats.org/officeDocument/2006/relationships/hyperlink" Target="https://app-web.statementrec.com/app#appuploadfiles/3a2114be-ea93-de77-4a20-b69dd0153176" TargetMode="External"/><Relationship Id="rId3375" Type="http://schemas.openxmlformats.org/officeDocument/2006/relationships/hyperlink" Target="https://app-web.statementrec.com/app#appuploadfiles/3a2114c1-bcb9-58f1-fda1-b6eb243f4863" TargetMode="External"/><Relationship Id="rId3376" Type="http://schemas.openxmlformats.org/officeDocument/2006/relationships/hyperlink" Target="https://app-web.statementrec.com/app#appuploadfiles/3a2114c4-b195-d894-699a-cddbb2465211" TargetMode="External"/><Relationship Id="rId3377" Type="http://schemas.openxmlformats.org/officeDocument/2006/relationships/hyperlink" Target="https://app-web.statementrec.com/app#appuploadfiles/3a2114ca-6028-3cea-f48e-42b2ef46593a" TargetMode="External"/><Relationship Id="rId3378" Type="http://schemas.openxmlformats.org/officeDocument/2006/relationships/hyperlink" Target="https://app-web.statementrec.com/app#appuploadfiles/3a2114cc-f307-1f1a-2f05-670c3e3fb151" TargetMode="External"/><Relationship Id="rId3379" Type="http://schemas.openxmlformats.org/officeDocument/2006/relationships/hyperlink" Target="https://app-web.statementrec.com/app#appuploadfiles/3a2114df-8824-3942-e74f-3f467b38b633" TargetMode="External"/><Relationship Id="rId3380" Type="http://schemas.openxmlformats.org/officeDocument/2006/relationships/hyperlink" Target="https://app-web.statementrec.com/app#appuploadfiles/3a2114e1-9461-2b09-8d87-0f438081435b" TargetMode="External"/><Relationship Id="rId3381" Type="http://schemas.openxmlformats.org/officeDocument/2006/relationships/hyperlink" Target="https://app-web.statementrec.com/app#appuploadfiles/3a2114f6-7906-9411-681d-5ca4149c943d" TargetMode="External"/><Relationship Id="rId3382" Type="http://schemas.openxmlformats.org/officeDocument/2006/relationships/hyperlink" Target="https://app-web.statementrec.com/app#appuploadfiles/3a2114f8-5e00-7dfb-834e-8dbb2513fd94" TargetMode="External"/><Relationship Id="rId3383" Type="http://schemas.openxmlformats.org/officeDocument/2006/relationships/hyperlink" Target="https://app-web.statementrec.com/app#appuploadfiles/3a2114f8-9844-9f4f-0eb3-996ec80b0bf7" TargetMode="External"/><Relationship Id="rId3384" Type="http://schemas.openxmlformats.org/officeDocument/2006/relationships/hyperlink" Target="https://app-web.statementrec.com/app#appuploadfiles/3a2114fb-7076-b1b8-923c-a24b5d10fc1f" TargetMode="External"/><Relationship Id="rId3385" Type="http://schemas.openxmlformats.org/officeDocument/2006/relationships/hyperlink" Target="https://app-web.statementrec.com/app#appuploadfiles/3a211501-ac7f-1036-da89-10e7818ecae7" TargetMode="External"/><Relationship Id="rId3386" Type="http://schemas.openxmlformats.org/officeDocument/2006/relationships/hyperlink" Target="https://app-web.statementrec.com/app#appuploadfiles/3a21150d-54f9-a116-a29b-45bb26a3c72d" TargetMode="External"/><Relationship Id="rId3387" Type="http://schemas.openxmlformats.org/officeDocument/2006/relationships/hyperlink" Target="https://app-web.statementrec.com/app#appuploadfiles/3a211516-957d-3f7d-7fdc-894fa7558641" TargetMode="External"/><Relationship Id="rId3388" Type="http://schemas.openxmlformats.org/officeDocument/2006/relationships/hyperlink" Target="https://app-web.statementrec.com/app#appuploadfiles/3a21151c-6097-c939-5290-b362985f7f2f" TargetMode="External"/><Relationship Id="rId3389" Type="http://schemas.openxmlformats.org/officeDocument/2006/relationships/hyperlink" Target="https://app-web.statementrec.com/app#appuploadfiles/3a21151c-a77b-2f8f-48d3-7f8039ff3021" TargetMode="External"/><Relationship Id="rId3390" Type="http://schemas.openxmlformats.org/officeDocument/2006/relationships/hyperlink" Target="https://app-web.statementrec.com/app#appuploadfiles/3a211520-1f43-d707-5f70-987da098e81f" TargetMode="External"/><Relationship Id="rId3391" Type="http://schemas.openxmlformats.org/officeDocument/2006/relationships/hyperlink" Target="https://app-web.statementrec.com/app#appuploadfiles/3a211522-77c5-ed85-96a7-b4d6638b93ec" TargetMode="External"/><Relationship Id="rId3392" Type="http://schemas.openxmlformats.org/officeDocument/2006/relationships/hyperlink" Target="https://app-web.statementrec.com/app#appuploadfiles/3a211526-39b4-93a6-fb89-52a923ffdd76" TargetMode="External"/><Relationship Id="rId3393" Type="http://schemas.openxmlformats.org/officeDocument/2006/relationships/hyperlink" Target="https://app-web.statementrec.com/app#appuploadfiles/3a211532-94a3-84ea-64d7-1b0352198870" TargetMode="External"/><Relationship Id="rId3394" Type="http://schemas.openxmlformats.org/officeDocument/2006/relationships/hyperlink" Target="https://app-web.statementrec.com/app#appuploadfiles/3a21153a-2fed-6b6c-b072-2b786a18c08c" TargetMode="External"/><Relationship Id="rId3395" Type="http://schemas.openxmlformats.org/officeDocument/2006/relationships/hyperlink" Target="https://app-web.statementrec.com/app#appuploadfiles/3a211542-20bd-7550-11bc-0ffe023fdb8f" TargetMode="External"/><Relationship Id="rId3396" Type="http://schemas.openxmlformats.org/officeDocument/2006/relationships/hyperlink" Target="https://app-web.statementrec.com/app#appuploadfiles/3a21154c-4164-5f96-6a63-c3d6a2cada26" TargetMode="External"/><Relationship Id="rId3397" Type="http://schemas.openxmlformats.org/officeDocument/2006/relationships/hyperlink" Target="https://app-web.statementrec.com/app#appuploadfiles/3a21154f-8f61-a8d8-ba2d-67bab7176cd5" TargetMode="External"/><Relationship Id="rId3398" Type="http://schemas.openxmlformats.org/officeDocument/2006/relationships/hyperlink" Target="https://app-web.statementrec.com/app#appuploadfiles/3a211556-c817-2d0e-84b5-c1ad64fdf2cf" TargetMode="External"/><Relationship Id="rId3399" Type="http://schemas.openxmlformats.org/officeDocument/2006/relationships/hyperlink" Target="https://app-web.statementrec.com/app#appuploadfiles/3a211558-227d-a193-fdbc-05fad7901dd6" TargetMode="External"/><Relationship Id="rId3400" Type="http://schemas.openxmlformats.org/officeDocument/2006/relationships/hyperlink" Target="https://app-web.statementrec.com/app#appuploadfiles/3a211561-822a-4ecb-7b65-add68adb26f2" TargetMode="External"/><Relationship Id="rId3401" Type="http://schemas.openxmlformats.org/officeDocument/2006/relationships/hyperlink" Target="https://app-web.statementrec.com/app#appuploadfiles/3a211565-c455-ccab-0d66-038ed6168575" TargetMode="External"/><Relationship Id="rId3402" Type="http://schemas.openxmlformats.org/officeDocument/2006/relationships/hyperlink" Target="https://app-web.statementrec.com/app#appuploadfiles/3a21156c-6530-ede9-da5d-4839da296307" TargetMode="External"/><Relationship Id="rId3403" Type="http://schemas.openxmlformats.org/officeDocument/2006/relationships/hyperlink" Target="https://app-web.statementrec.com/app#appuploadfiles/3a211575-661c-b394-30de-b46756e85d11" TargetMode="External"/><Relationship Id="rId3404" Type="http://schemas.openxmlformats.org/officeDocument/2006/relationships/hyperlink" Target="https://app-web.statementrec.com/app#appuploadfiles/3a21157d-66fe-3b44-878b-0ef48d0d112c" TargetMode="External"/><Relationship Id="rId3405" Type="http://schemas.openxmlformats.org/officeDocument/2006/relationships/hyperlink" Target="https://app-web.statementrec.com/app#appuploadfiles/3a2115ad-3143-677e-2a97-815bdd44782c" TargetMode="External"/><Relationship Id="rId3406" Type="http://schemas.openxmlformats.org/officeDocument/2006/relationships/hyperlink" Target="https://app-web.statementrec.com/app#appuploadfiles/3a2115ae-1a14-41a7-f7ad-80d74b4e54da" TargetMode="External"/><Relationship Id="rId3407" Type="http://schemas.openxmlformats.org/officeDocument/2006/relationships/hyperlink" Target="https://app-web.statementrec.com/app#appuploadfiles/3a2115b0-f46e-f501-6561-a9c091140f55" TargetMode="External"/><Relationship Id="rId3408" Type="http://schemas.openxmlformats.org/officeDocument/2006/relationships/hyperlink" Target="https://app-web.statementrec.com/app#appuploadfiles/3a2115d6-168e-4a1b-d6c2-4d218a01d2bd" TargetMode="External"/><Relationship Id="rId3409" Type="http://schemas.openxmlformats.org/officeDocument/2006/relationships/hyperlink" Target="https://app-web.statementrec.com/app#appuploadfiles/3a2115de-c719-ac58-a4a1-37c8f743f06a" TargetMode="External"/><Relationship Id="rId3410" Type="http://schemas.openxmlformats.org/officeDocument/2006/relationships/hyperlink" Target="https://app-web.statementrec.com/app#appuploadfiles/3a21161e-a1f3-c5a0-de73-9138e08aaa61" TargetMode="External"/><Relationship Id="rId3411" Type="http://schemas.openxmlformats.org/officeDocument/2006/relationships/hyperlink" Target="https://app-web.statementrec.com/app#appuploadfiles/3a211624-db7e-970b-1c62-c744d1aa848c" TargetMode="External"/><Relationship Id="rId3412" Type="http://schemas.openxmlformats.org/officeDocument/2006/relationships/hyperlink" Target="https://app-web.statementrec.com/app#appuploadfiles/3a211632-f71e-a48e-1f1e-30d50f1ebc9b" TargetMode="External"/><Relationship Id="rId3413" Type="http://schemas.openxmlformats.org/officeDocument/2006/relationships/hyperlink" Target="https://app-web.statementrec.com/app#appuploadfiles/3a211645-fea2-6776-5cc5-2651e749d78d" TargetMode="External"/><Relationship Id="rId3414" Type="http://schemas.openxmlformats.org/officeDocument/2006/relationships/hyperlink" Target="https://app-web.statementrec.com/app#appuploadfiles/3a211664-0d73-6e41-359a-1989dfffcc16" TargetMode="External"/><Relationship Id="rId3415" Type="http://schemas.openxmlformats.org/officeDocument/2006/relationships/hyperlink" Target="https://app-web.statementrec.com/app#appuploadfiles/3a21166f-bad1-dec5-1a2c-31bb3e3c63f0" TargetMode="External"/><Relationship Id="rId3416" Type="http://schemas.openxmlformats.org/officeDocument/2006/relationships/hyperlink" Target="https://app-web.statementrec.com/app#appuploadfiles/3a211670-707d-e6f4-eba7-72a8b1c927ff" TargetMode="External"/><Relationship Id="rId3417" Type="http://schemas.openxmlformats.org/officeDocument/2006/relationships/hyperlink" Target="https://app-web.statementrec.com/app#appuploadfiles/3a211672-11f0-9457-896c-7b42a9a88143" TargetMode="External"/><Relationship Id="rId3418" Type="http://schemas.openxmlformats.org/officeDocument/2006/relationships/hyperlink" Target="https://app-web.statementrec.com/app#appuploadfiles/3a211675-6f54-794d-a1e9-07d624e5bef8" TargetMode="External"/><Relationship Id="rId3419" Type="http://schemas.openxmlformats.org/officeDocument/2006/relationships/hyperlink" Target="https://app-web.statementrec.com/app#appuploadfiles/3a211695-05a1-c614-307e-26ec6e106010" TargetMode="External"/><Relationship Id="rId3420" Type="http://schemas.openxmlformats.org/officeDocument/2006/relationships/hyperlink" Target="https://app-web.statementrec.com/app#appuploadfiles/3a2116b2-cef3-49e4-5bb6-ed22d4649cba" TargetMode="External"/><Relationship Id="rId3421" Type="http://schemas.openxmlformats.org/officeDocument/2006/relationships/hyperlink" Target="https://app-web.statementrec.com/app#appuploadfiles/3a211703-614c-34cf-6ae9-8841f36f2694" TargetMode="External"/><Relationship Id="rId3422" Type="http://schemas.openxmlformats.org/officeDocument/2006/relationships/hyperlink" Target="https://app-web.statementrec.com/app#appuploadfiles/3a211727-6c4f-1db7-f609-7803fd72b0c9" TargetMode="External"/><Relationship Id="rId3423" Type="http://schemas.openxmlformats.org/officeDocument/2006/relationships/hyperlink" Target="https://app-web.statementrec.com/app#appuploadfiles/3a211746-53dc-74b6-45a1-6ca7003fb748" TargetMode="External"/><Relationship Id="rId3424" Type="http://schemas.openxmlformats.org/officeDocument/2006/relationships/hyperlink" Target="https://app-web.statementrec.com/app#appuploadfiles/3a211781-c83b-d913-c765-79012d087da4" TargetMode="External"/><Relationship Id="rId3425" Type="http://schemas.openxmlformats.org/officeDocument/2006/relationships/hyperlink" Target="https://app-web.statementrec.com/app#appuploadfiles/3a211782-ebf1-46c3-d6e8-e2f26bc82351" TargetMode="External"/><Relationship Id="rId3426" Type="http://schemas.openxmlformats.org/officeDocument/2006/relationships/hyperlink" Target="https://app-web.statementrec.com/app#appuploadfiles/3a211786-1112-9ab0-c0b5-c073c0e70f15" TargetMode="External"/><Relationship Id="rId3427" Type="http://schemas.openxmlformats.org/officeDocument/2006/relationships/hyperlink" Target="https://app-web.statementrec.com/app#appuploadfiles/3a2117b5-0532-3c73-1be9-ca6e140fecbb" TargetMode="External"/><Relationship Id="rId3428" Type="http://schemas.openxmlformats.org/officeDocument/2006/relationships/hyperlink" Target="https://app-web.statementrec.com/app#appuploadfiles/3a2117f3-d36b-0421-7eb1-3531126cfdf3" TargetMode="External"/><Relationship Id="rId3429" Type="http://schemas.openxmlformats.org/officeDocument/2006/relationships/hyperlink" Target="https://app-web.statementrec.com/app#appuploadfiles/3a211807-5e41-f1d2-3b75-3f97a63155c7" TargetMode="External"/><Relationship Id="rId3430" Type="http://schemas.openxmlformats.org/officeDocument/2006/relationships/hyperlink" Target="https://app-web.statementrec.com/app#appuploadfiles/3a21180c-5067-414f-024f-d6f781d3da8f" TargetMode="External"/><Relationship Id="rId3431" Type="http://schemas.openxmlformats.org/officeDocument/2006/relationships/hyperlink" Target="https://app-web.statementrec.com/app#appuploadfiles/3a211817-ada7-17cd-29b6-caff92d396ec" TargetMode="External"/><Relationship Id="rId3432" Type="http://schemas.openxmlformats.org/officeDocument/2006/relationships/hyperlink" Target="https://app-web.statementrec.com/app#appuploadfiles/3a211824-d370-b119-8f6c-d09bea71d57f" TargetMode="External"/><Relationship Id="rId3433" Type="http://schemas.openxmlformats.org/officeDocument/2006/relationships/hyperlink" Target="https://app-web.statementrec.com/app#appuploadfiles/3a211856-1e17-3f3a-3ca2-41b53563d4b2" TargetMode="External"/><Relationship Id="rId3434" Type="http://schemas.openxmlformats.org/officeDocument/2006/relationships/hyperlink" Target="https://app-web.statementrec.com/app#appuploadfiles/3a21185c-4b74-c187-b507-0ee3842c84d5" TargetMode="External"/><Relationship Id="rId3435" Type="http://schemas.openxmlformats.org/officeDocument/2006/relationships/hyperlink" Target="https://app-web.statementrec.com/app#appuploadfiles/3a211885-d001-561c-b5e5-05d39e16463e" TargetMode="External"/><Relationship Id="rId3436" Type="http://schemas.openxmlformats.org/officeDocument/2006/relationships/hyperlink" Target="https://app-web.statementrec.com/app#appuploadfiles/3a211898-49a0-73f6-d287-1b228f618fb2" TargetMode="External"/><Relationship Id="rId3437" Type="http://schemas.openxmlformats.org/officeDocument/2006/relationships/hyperlink" Target="https://app-web.statementrec.com/app#appuploadfiles/3a2118ba-ffb4-794a-c2f1-b083dd368bc0" TargetMode="External"/><Relationship Id="rId3438" Type="http://schemas.openxmlformats.org/officeDocument/2006/relationships/hyperlink" Target="https://app-web.statementrec.com/app#appuploadfiles/3a2118be-7be2-a112-3011-e6fc9f3dbd91" TargetMode="External"/><Relationship Id="rId3439" Type="http://schemas.openxmlformats.org/officeDocument/2006/relationships/hyperlink" Target="https://app-web.statementrec.com/app#appuploadfiles/3a2118d4-c602-5f15-01d2-8486e178f827" TargetMode="External"/><Relationship Id="rId3440" Type="http://schemas.openxmlformats.org/officeDocument/2006/relationships/hyperlink" Target="https://app-web.statementrec.com/app#appuploadfiles/3a2118e8-4e03-ffae-3781-e5837bb55ff8" TargetMode="External"/><Relationship Id="rId3441" Type="http://schemas.openxmlformats.org/officeDocument/2006/relationships/hyperlink" Target="https://app-web.statementrec.com/app#appuploadfiles/3a2118f8-d0a8-5649-50f4-318ee864b959" TargetMode="External"/><Relationship Id="rId3442" Type="http://schemas.openxmlformats.org/officeDocument/2006/relationships/hyperlink" Target="https://app-web.statementrec.com/app#appuploadfiles/3a211923-6933-dc03-b352-1d47bedf78dc" TargetMode="External"/><Relationship Id="rId3443" Type="http://schemas.openxmlformats.org/officeDocument/2006/relationships/hyperlink" Target="https://app-web.statementrec.com/app#appuploadfiles/3a211925-a2f6-bc0f-d44e-d6457d199057" TargetMode="External"/><Relationship Id="rId3444" Type="http://schemas.openxmlformats.org/officeDocument/2006/relationships/hyperlink" Target="https://app-web.statementrec.com/app#appuploadfiles/3a21193a-95d4-feb2-2fd7-c893363de4ab" TargetMode="External"/><Relationship Id="rId3445" Type="http://schemas.openxmlformats.org/officeDocument/2006/relationships/hyperlink" Target="https://app-web.statementrec.com/app#appuploadfiles/3a211942-e7f0-4271-e041-0ad9d7251512" TargetMode="External"/><Relationship Id="rId3446" Type="http://schemas.openxmlformats.org/officeDocument/2006/relationships/hyperlink" Target="https://app-web.statementrec.com/app#appuploadfiles/3a211950-d43d-83dd-a7d7-8cfebe9f29f4" TargetMode="External"/><Relationship Id="rId3447" Type="http://schemas.openxmlformats.org/officeDocument/2006/relationships/hyperlink" Target="https://app-web.statementrec.com/app#appuploadfiles/3a211960-9250-18df-36fa-141f798d2491" TargetMode="External"/><Relationship Id="rId3448" Type="http://schemas.openxmlformats.org/officeDocument/2006/relationships/hyperlink" Target="https://app-web.statementrec.com/app#appuploadfiles/3a211989-42c1-17b0-6199-07388f48f168" TargetMode="External"/><Relationship Id="rId3449" Type="http://schemas.openxmlformats.org/officeDocument/2006/relationships/hyperlink" Target="https://app-web.statementrec.com/app#appuploadfiles/3a21198a-97c2-ea1f-7962-e1391feae93f" TargetMode="External"/><Relationship Id="rId3450" Type="http://schemas.openxmlformats.org/officeDocument/2006/relationships/hyperlink" Target="https://app-web.statementrec.com/app#appuploadfiles/3a211990-5e36-c0a5-2bf8-a778321842bd" TargetMode="External"/><Relationship Id="rId3451" Type="http://schemas.openxmlformats.org/officeDocument/2006/relationships/hyperlink" Target="https://app-web.statementrec.com/app#appuploadfiles/3a211992-7647-43d2-56c1-214de6c1c77b" TargetMode="External"/><Relationship Id="rId3452" Type="http://schemas.openxmlformats.org/officeDocument/2006/relationships/hyperlink" Target="https://app-web.statementrec.com/app#appuploadfiles/3a211999-3c6b-9606-36c4-95120cb0b6ff" TargetMode="External"/><Relationship Id="rId3453" Type="http://schemas.openxmlformats.org/officeDocument/2006/relationships/hyperlink" Target="https://app-web.statementrec.com/app#appuploadfiles/3a2119bc-0ccb-6f5c-7f9c-8b2bfecfc155" TargetMode="External"/><Relationship Id="rId3454" Type="http://schemas.openxmlformats.org/officeDocument/2006/relationships/hyperlink" Target="https://app-web.statementrec.com/app#appuploadfiles/3a2119c6-a39a-718d-cb0c-38f383951855" TargetMode="External"/><Relationship Id="rId3455" Type="http://schemas.openxmlformats.org/officeDocument/2006/relationships/hyperlink" Target="https://app-web.statementrec.com/app#appuploadfiles/3a2119d6-7ba4-d6a4-be6a-4539061b26fc" TargetMode="External"/><Relationship Id="rId3456" Type="http://schemas.openxmlformats.org/officeDocument/2006/relationships/hyperlink" Target="https://app-web.statementrec.com/app#appuploadfiles/3a2119d8-583a-7f4a-329e-9739dd278ac4" TargetMode="External"/><Relationship Id="rId3457" Type="http://schemas.openxmlformats.org/officeDocument/2006/relationships/hyperlink" Target="https://app-web.statementrec.com/app#appuploadfiles/3a2119da-4986-e6e8-036d-a35d909a49e5" TargetMode="External"/><Relationship Id="rId3458" Type="http://schemas.openxmlformats.org/officeDocument/2006/relationships/hyperlink" Target="https://app-web.statementrec.com/app#appuploadfiles/3a2119de-0a55-425b-52ce-3a7ea4170d96" TargetMode="External"/><Relationship Id="rId3459" Type="http://schemas.openxmlformats.org/officeDocument/2006/relationships/hyperlink" Target="https://app-web.statementrec.com/app#appuploadfiles/3a2119e1-5ebc-971e-7c3c-ffb886802bd2" TargetMode="External"/><Relationship Id="rId3460" Type="http://schemas.openxmlformats.org/officeDocument/2006/relationships/hyperlink" Target="https://app-web.statementrec.com/app#appuploadfiles/3a2119ec-bbfa-6f98-9809-0944d3d2811b" TargetMode="External"/><Relationship Id="rId3461" Type="http://schemas.openxmlformats.org/officeDocument/2006/relationships/hyperlink" Target="https://app-web.statementrec.com/app#appuploadfiles/3a2119ef-2443-1df4-ba78-50e0c5472406" TargetMode="External"/><Relationship Id="rId3462" Type="http://schemas.openxmlformats.org/officeDocument/2006/relationships/hyperlink" Target="https://app-web.statementrec.com/app#appuploadfiles/3a2119f5-2070-3d80-1280-a6a59023d961" TargetMode="External"/><Relationship Id="rId3463" Type="http://schemas.openxmlformats.org/officeDocument/2006/relationships/hyperlink" Target="https://app-web.statementrec.com/app#appuploadfiles/3a211a08-3192-b618-e2a7-0917cf94d3ff" TargetMode="External"/><Relationship Id="rId3464" Type="http://schemas.openxmlformats.org/officeDocument/2006/relationships/hyperlink" Target="https://app-web.statementrec.com/app#appuploadfiles/3a211a21-6aef-1654-a2cc-1f68eb5e8e16" TargetMode="External"/><Relationship Id="rId3465" Type="http://schemas.openxmlformats.org/officeDocument/2006/relationships/hyperlink" Target="https://app-web.statementrec.com/app#appuploadfiles/3a211a21-b92b-adc1-068f-5a2235be961d" TargetMode="External"/><Relationship Id="rId3466" Type="http://schemas.openxmlformats.org/officeDocument/2006/relationships/hyperlink" Target="https://app-web.statementrec.com/app#appuploadfiles/3a211a25-ada2-2631-c51b-8e91639850aa" TargetMode="External"/><Relationship Id="rId3467" Type="http://schemas.openxmlformats.org/officeDocument/2006/relationships/hyperlink" Target="https://app-web.statementrec.com/app#appuploadfiles/3a211a27-2201-10ee-b9b0-0bc8c98c29d8" TargetMode="External"/><Relationship Id="rId3468" Type="http://schemas.openxmlformats.org/officeDocument/2006/relationships/hyperlink" Target="https://app-web.statementrec.com/app#appuploadfiles/3a211a27-2852-e946-05c8-9c20ce7be3c3" TargetMode="External"/><Relationship Id="rId3469" Type="http://schemas.openxmlformats.org/officeDocument/2006/relationships/hyperlink" Target="https://app-web.statementrec.com/app#appuploadfiles/3a211a2c-f718-d49a-e169-3c9977b3337e" TargetMode="External"/><Relationship Id="rId3470" Type="http://schemas.openxmlformats.org/officeDocument/2006/relationships/hyperlink" Target="https://app-web.statementrec.com/app#appuploadfiles/3a211a33-e262-699a-e676-9922417aac23" TargetMode="External"/><Relationship Id="rId3471" Type="http://schemas.openxmlformats.org/officeDocument/2006/relationships/hyperlink" Target="https://app-web.statementrec.com/app#appuploadfiles/3a211a39-80f7-111f-2f7d-e39e65378810" TargetMode="External"/><Relationship Id="rId3472" Type="http://schemas.openxmlformats.org/officeDocument/2006/relationships/hyperlink" Target="https://app-web.statementrec.com/app#appuploadfiles/3a211a3b-ce4b-0258-5678-5d687dd577b4" TargetMode="External"/><Relationship Id="rId3473" Type="http://schemas.openxmlformats.org/officeDocument/2006/relationships/hyperlink" Target="https://app-web.statementrec.com/app#appuploadfiles/3a211a3b-f7d1-639d-818d-0e2531c7a14d" TargetMode="External"/><Relationship Id="rId3474" Type="http://schemas.openxmlformats.org/officeDocument/2006/relationships/hyperlink" Target="https://app-web.statementrec.com/app#appuploadfiles/3a211a48-a5f6-1a27-ecc2-3bf3439e202b" TargetMode="External"/><Relationship Id="rId3475" Type="http://schemas.openxmlformats.org/officeDocument/2006/relationships/hyperlink" Target="https://app-web.statementrec.com/app#appuploadfiles/3a211a4f-bbe6-dd27-361a-3c9c740d5716" TargetMode="External"/><Relationship Id="rId3476" Type="http://schemas.openxmlformats.org/officeDocument/2006/relationships/hyperlink" Target="https://app-web.statementrec.com/app#appuploadfiles/3a211a67-e3b3-d8e9-15fc-00ad070c591b" TargetMode="External"/><Relationship Id="rId3477" Type="http://schemas.openxmlformats.org/officeDocument/2006/relationships/hyperlink" Target="https://app-web.statementrec.com/app#appuploadfiles/3a211a69-689f-b148-193b-2947390e8b8e" TargetMode="External"/><Relationship Id="rId3478" Type="http://schemas.openxmlformats.org/officeDocument/2006/relationships/hyperlink" Target="https://app-web.statementrec.com/app#appuploadfiles/3a211a69-89a6-8425-70e9-0453d8896be9" TargetMode="External"/><Relationship Id="rId3479" Type="http://schemas.openxmlformats.org/officeDocument/2006/relationships/hyperlink" Target="https://app-web.statementrec.com/app#appuploadfiles/3a211a6c-0977-381a-14ff-788992461526" TargetMode="External"/><Relationship Id="rId3480" Type="http://schemas.openxmlformats.org/officeDocument/2006/relationships/hyperlink" Target="https://app-web.statementrec.com/app#appuploadfiles/3a211a7a-201b-6399-d823-9efb93cd0e69" TargetMode="External"/><Relationship Id="rId3481" Type="http://schemas.openxmlformats.org/officeDocument/2006/relationships/hyperlink" Target="https://app-web.statementrec.com/app#appuploadfiles/3a211a7a-b426-a8f0-d999-c424dde388bb" TargetMode="External"/><Relationship Id="rId3482" Type="http://schemas.openxmlformats.org/officeDocument/2006/relationships/hyperlink" Target="https://app-web.statementrec.com/app#appuploadfiles/3a211a7b-1ede-f816-a844-e6a47d99b8c0" TargetMode="External"/><Relationship Id="rId3483" Type="http://schemas.openxmlformats.org/officeDocument/2006/relationships/hyperlink" Target="https://app-web.statementrec.com/app#appuploadfiles/3a211a7b-8ef9-f28d-ab26-d67a174c559d" TargetMode="External"/><Relationship Id="rId3484" Type="http://schemas.openxmlformats.org/officeDocument/2006/relationships/hyperlink" Target="https://app-web.statementrec.com/app#appuploadfiles/3a211a7c-0288-cd53-3677-b61fb808af5a" TargetMode="External"/><Relationship Id="rId3485" Type="http://schemas.openxmlformats.org/officeDocument/2006/relationships/hyperlink" Target="https://app-web.statementrec.com/app#appuploadfiles/3a211a7d-004f-644d-62df-9ca81a4028f7" TargetMode="External"/><Relationship Id="rId3486" Type="http://schemas.openxmlformats.org/officeDocument/2006/relationships/hyperlink" Target="https://app-web.statementrec.com/app#appuploadfiles/3a211a87-6c81-43a3-b2ed-7f9749421946" TargetMode="External"/><Relationship Id="rId3487" Type="http://schemas.openxmlformats.org/officeDocument/2006/relationships/hyperlink" Target="https://app-web.statementrec.com/app#appuploadfiles/3a211a88-57c3-0e5d-da34-ebdddd0e04c5" TargetMode="External"/><Relationship Id="rId3488" Type="http://schemas.openxmlformats.org/officeDocument/2006/relationships/hyperlink" Target="https://app-web.statementrec.com/app#appuploadfiles/3a211a89-3c98-a996-7404-afbd8764658e" TargetMode="External"/><Relationship Id="rId3489" Type="http://schemas.openxmlformats.org/officeDocument/2006/relationships/hyperlink" Target="https://app-web.statementrec.com/app#appuploadfiles/3a211a92-a337-cf27-e683-effb519b3818" TargetMode="External"/><Relationship Id="rId3490" Type="http://schemas.openxmlformats.org/officeDocument/2006/relationships/hyperlink" Target="https://app-web.statementrec.com/app#appuploadfiles/3a211a9d-5b96-aafa-444c-c00846ee1262" TargetMode="External"/><Relationship Id="rId3491" Type="http://schemas.openxmlformats.org/officeDocument/2006/relationships/hyperlink" Target="https://app-web.statementrec.com/app#appuploadfiles/3a211a9d-e9ad-0c1b-c830-7dd959e7657d" TargetMode="External"/><Relationship Id="rId3492" Type="http://schemas.openxmlformats.org/officeDocument/2006/relationships/hyperlink" Target="https://app-web.statementrec.com/app#appuploadfiles/3a211ab5-e6d8-04f1-4003-3363d3dc5b04" TargetMode="External"/><Relationship Id="rId3493" Type="http://schemas.openxmlformats.org/officeDocument/2006/relationships/hyperlink" Target="https://app-web.statementrec.com/app#appuploadfiles/3a211ab6-47fb-1856-9214-27de234abc4b" TargetMode="External"/><Relationship Id="rId3494" Type="http://schemas.openxmlformats.org/officeDocument/2006/relationships/hyperlink" Target="https://app-web.statementrec.com/app#appuploadfiles/3a211ac1-805b-4661-3e0b-14dd82311fac" TargetMode="External"/><Relationship Id="rId3495" Type="http://schemas.openxmlformats.org/officeDocument/2006/relationships/hyperlink" Target="https://app-web.statementrec.com/app#appuploadfiles/3a211b08-e04c-7620-d44b-21711c5f790a" TargetMode="External"/><Relationship Id="rId3496" Type="http://schemas.openxmlformats.org/officeDocument/2006/relationships/hyperlink" Target="https://app-web.statementrec.com/app#appuploadfiles/3a211b27-e066-34e5-8208-62e38915a888" TargetMode="External"/><Relationship Id="rId3497" Type="http://schemas.openxmlformats.org/officeDocument/2006/relationships/hyperlink" Target="https://app-web.statementrec.com/app#appuploadfiles/3a211b7b-fcb0-3662-4520-f2eeda10e44e" TargetMode="External"/><Relationship Id="rId3498" Type="http://schemas.openxmlformats.org/officeDocument/2006/relationships/hyperlink" Target="https://app-web.statementrec.com/app#appuploadfiles/3a211b8e-e096-f421-a071-a5d6c6572c6a" TargetMode="External"/><Relationship Id="rId3499" Type="http://schemas.openxmlformats.org/officeDocument/2006/relationships/hyperlink" Target="https://app-web.statementrec.com/app#appuploadfiles/3a211bd3-1fc5-805e-aa43-6a5bcd34896d" TargetMode="External"/><Relationship Id="rId3500" Type="http://schemas.openxmlformats.org/officeDocument/2006/relationships/hyperlink" Target="https://app-web.statementrec.com/app#appuploadfiles/3a211c03-5bd5-ad1b-e4ad-3c3eac0b8c14" TargetMode="External"/><Relationship Id="rId3501" Type="http://schemas.openxmlformats.org/officeDocument/2006/relationships/hyperlink" Target="https://app-web.statementrec.com/app#appuploadfiles/3a211d03-b2c6-8c40-a798-1c8776255ecc" TargetMode="External"/><Relationship Id="rId3502" Type="http://schemas.openxmlformats.org/officeDocument/2006/relationships/hyperlink" Target="https://app-web.statementrec.com/app#appuploadfiles/3a211e05-7737-eec2-fb0a-a062eb13e706" TargetMode="External"/><Relationship Id="rId3503" Type="http://schemas.openxmlformats.org/officeDocument/2006/relationships/hyperlink" Target="https://app-web.statementrec.com/app#appuploadfiles/3a211e3c-95e7-7442-3e50-fac955a85462" TargetMode="External"/><Relationship Id="rId3504" Type="http://schemas.openxmlformats.org/officeDocument/2006/relationships/hyperlink" Target="https://app-web.statementrec.com/app#appuploadfiles/3a211e4f-68b4-8abc-633a-9b84bf43083a" TargetMode="External"/><Relationship Id="rId3505" Type="http://schemas.openxmlformats.org/officeDocument/2006/relationships/hyperlink" Target="https://app-web.statementrec.com/app#appuploadfiles/3a211f9e-4662-9274-3ce9-930b27c07bb4" TargetMode="External"/><Relationship Id="rId3506" Type="http://schemas.openxmlformats.org/officeDocument/2006/relationships/hyperlink" Target="https://app-web.statementrec.com/app#appuploadfiles/3a212101-cd30-983e-413e-8b4a517f77b8" TargetMode="External"/><Relationship Id="rId3507" Type="http://schemas.openxmlformats.org/officeDocument/2006/relationships/hyperlink" Target="https://app-web.statementrec.com/app#appuploadfiles/3a2121b4-6ecf-2342-be0e-9ade4dcee3f6" TargetMode="External"/><Relationship Id="rId3508" Type="http://schemas.openxmlformats.org/officeDocument/2006/relationships/hyperlink" Target="https://app-web.statementrec.com/app#appuploadfiles/3a2121b4-e574-2cb6-00bc-18f3f6d62490" TargetMode="External"/><Relationship Id="rId3509" Type="http://schemas.openxmlformats.org/officeDocument/2006/relationships/hyperlink" Target="https://app-web.statementrec.com/app#appuploadfiles/3a2121b5-5f2f-dc27-5643-5ad31e2ac109" TargetMode="External"/><Relationship Id="rId3510" Type="http://schemas.openxmlformats.org/officeDocument/2006/relationships/hyperlink" Target="https://app-web.statementrec.com/app#appuploadfiles/3a2122de-3d3c-265b-6171-f76c19d2928f" TargetMode="External"/><Relationship Id="rId3511" Type="http://schemas.openxmlformats.org/officeDocument/2006/relationships/hyperlink" Target="https://app-web.statementrec.com/app#appuploadfiles/3a2123ab-7a7a-ca3e-891f-684781c8cd58" TargetMode="External"/><Relationship Id="rId3512" Type="http://schemas.openxmlformats.org/officeDocument/2006/relationships/hyperlink" Target="https://app-web.statementrec.com/app#appuploadfiles/3a212417-3d42-ea47-45db-59aaa3d759c9" TargetMode="External"/><Relationship Id="rId3513" Type="http://schemas.openxmlformats.org/officeDocument/2006/relationships/hyperlink" Target="https://app-web.statementrec.com/app#appuploadfiles/3a212475-4b87-5b3b-651d-e12ef081ba13" TargetMode="External"/><Relationship Id="rId3514" Type="http://schemas.openxmlformats.org/officeDocument/2006/relationships/hyperlink" Target="https://app-web.statementrec.com/app#appuploadfiles/3a2124c1-f89d-101e-522e-4eb6707683ed" TargetMode="External"/><Relationship Id="rId3515" Type="http://schemas.openxmlformats.org/officeDocument/2006/relationships/hyperlink" Target="https://app-web.statementrec.com/app#appuploadfiles/3a212527-6b15-277b-9385-e45f8b7d1072" TargetMode="External"/><Relationship Id="rId3516" Type="http://schemas.openxmlformats.org/officeDocument/2006/relationships/hyperlink" Target="https://app-web.statementrec.com/app#appuploadfiles/3a212529-73e1-8dce-e55e-ee7a1c27edcc" TargetMode="External"/><Relationship Id="rId3517" Type="http://schemas.openxmlformats.org/officeDocument/2006/relationships/hyperlink" Target="https://app-web.statementrec.com/app#appuploadfiles/3a212541-7f80-0948-068a-cf91ae36a9c6" TargetMode="External"/><Relationship Id="rId3518" Type="http://schemas.openxmlformats.org/officeDocument/2006/relationships/hyperlink" Target="https://app-web.statementrec.com/app#appuploadfiles/3a21256d-02b1-1a59-e50c-ec22eb17ea3c" TargetMode="External"/><Relationship Id="rId3519" Type="http://schemas.openxmlformats.org/officeDocument/2006/relationships/hyperlink" Target="https://app-web.statementrec.com/app#appuploadfiles/3a212638-1b24-d04e-a9ce-f4be07c24038" TargetMode="External"/><Relationship Id="rId3520" Type="http://schemas.openxmlformats.org/officeDocument/2006/relationships/hyperlink" Target="https://app-web.statementrec.com/app#appuploadfiles/3a21263e-2083-78d9-ccd6-41c35b7060e8" TargetMode="External"/><Relationship Id="rId3521" Type="http://schemas.openxmlformats.org/officeDocument/2006/relationships/hyperlink" Target="https://app-web.statementrec.com/app#appuploadfiles/3a212713-8d3b-ab96-12d8-ace1ac7e63ff" TargetMode="External"/><Relationship Id="rId3522" Type="http://schemas.openxmlformats.org/officeDocument/2006/relationships/hyperlink" Target="https://app-web.statementrec.com/app#appuploadfiles/3a212748-2b74-6d6b-7c43-e3a02d9130fc" TargetMode="External"/><Relationship Id="rId3523" Type="http://schemas.openxmlformats.org/officeDocument/2006/relationships/hyperlink" Target="https://app-web.statementrec.com/app#appuploadfiles/3a2127c0-0da5-066f-3799-c18322f5d93d" TargetMode="External"/><Relationship Id="rId3524" Type="http://schemas.openxmlformats.org/officeDocument/2006/relationships/hyperlink" Target="https://app-web.statementrec.com/app#appuploadfiles/3a2127c9-12b3-9828-df66-f59efc9d6123" TargetMode="External"/><Relationship Id="rId3525" Type="http://schemas.openxmlformats.org/officeDocument/2006/relationships/hyperlink" Target="https://app-web.statementrec.com/app#appuploadfiles/3a2127da-f5f1-baf8-f5dd-7dd16be546d6" TargetMode="External"/><Relationship Id="rId3526" Type="http://schemas.openxmlformats.org/officeDocument/2006/relationships/hyperlink" Target="https://app-web.statementrec.com/app#appuploadfiles/3a2127f1-6708-98a4-f829-17f3a502008d" TargetMode="External"/><Relationship Id="rId3527" Type="http://schemas.openxmlformats.org/officeDocument/2006/relationships/hyperlink" Target="https://app-web.statementrec.com/app#appuploadfiles/3a212809-bcaa-6637-a9fb-5b64a8978fc5" TargetMode="External"/><Relationship Id="rId3528" Type="http://schemas.openxmlformats.org/officeDocument/2006/relationships/hyperlink" Target="https://app-web.statementrec.com/app#appuploadfiles/3a21280b-528c-63a5-2248-7a2a2da8228e" TargetMode="External"/><Relationship Id="rId3529" Type="http://schemas.openxmlformats.org/officeDocument/2006/relationships/hyperlink" Target="https://app-web.statementrec.com/app#appuploadfiles/3a21280e-b39d-b72e-70bd-7a837efa629d" TargetMode="External"/><Relationship Id="rId3530" Type="http://schemas.openxmlformats.org/officeDocument/2006/relationships/hyperlink" Target="https://app-web.statementrec.com/app#appuploadfiles/3a212811-25fa-fda5-f724-0b279c5f9f79" TargetMode="External"/><Relationship Id="rId3531" Type="http://schemas.openxmlformats.org/officeDocument/2006/relationships/hyperlink" Target="https://app-web.statementrec.com/app#appuploadfiles/3a212813-48e9-2b6a-106e-1cade1a6fc20" TargetMode="External"/><Relationship Id="rId3532" Type="http://schemas.openxmlformats.org/officeDocument/2006/relationships/hyperlink" Target="https://app-web.statementrec.com/app#appuploadfiles/3a21282e-07a9-f451-a288-096f9d90c9a2" TargetMode="External"/><Relationship Id="rId3533" Type="http://schemas.openxmlformats.org/officeDocument/2006/relationships/hyperlink" Target="https://app-web.statementrec.com/app#appuploadfiles/3a21282f-48c7-c69f-6118-aeea7ea6d84b" TargetMode="External"/><Relationship Id="rId3534" Type="http://schemas.openxmlformats.org/officeDocument/2006/relationships/hyperlink" Target="https://app-web.statementrec.com/app#appuploadfiles/3a212831-44a3-d47d-5eef-b4f38204882c" TargetMode="External"/><Relationship Id="rId3535" Type="http://schemas.openxmlformats.org/officeDocument/2006/relationships/hyperlink" Target="https://app-web.statementrec.com/app#appuploadfiles/3a212843-0396-450a-2bc0-e5a753241706" TargetMode="External"/><Relationship Id="rId3536" Type="http://schemas.openxmlformats.org/officeDocument/2006/relationships/hyperlink" Target="https://app-web.statementrec.com/app#appuploadfiles/3a212844-4de7-eb55-c638-48e51964ce0a" TargetMode="External"/><Relationship Id="rId3537" Type="http://schemas.openxmlformats.org/officeDocument/2006/relationships/hyperlink" Target="https://app-web.statementrec.com/app#appuploadfiles/3a21284d-0c73-6a19-3eef-09fe3b20ff25" TargetMode="External"/><Relationship Id="rId3538" Type="http://schemas.openxmlformats.org/officeDocument/2006/relationships/hyperlink" Target="https://app-web.statementrec.com/app#appuploadfiles/3a21284d-3afe-68db-c44b-1b2ddf04fd57" TargetMode="External"/><Relationship Id="rId3539" Type="http://schemas.openxmlformats.org/officeDocument/2006/relationships/hyperlink" Target="https://app-web.statementrec.com/app#appuploadfiles/3a212854-368a-81f7-c02b-779c67119681" TargetMode="External"/><Relationship Id="rId3540" Type="http://schemas.openxmlformats.org/officeDocument/2006/relationships/hyperlink" Target="https://app-web.statementrec.com/app#appuploadfiles/3a212854-a82b-87ac-019d-d496b0c0e87a" TargetMode="External"/><Relationship Id="rId3541" Type="http://schemas.openxmlformats.org/officeDocument/2006/relationships/hyperlink" Target="https://app-web.statementrec.com/app#appuploadfiles/3a212855-20e4-1a91-e05f-cfc1f6d86c8b" TargetMode="External"/><Relationship Id="rId3542" Type="http://schemas.openxmlformats.org/officeDocument/2006/relationships/hyperlink" Target="https://app-web.statementrec.com/app#appuploadfiles/3a21285e-7fa8-9574-7f5f-6c0ea45694c4" TargetMode="External"/><Relationship Id="rId3543" Type="http://schemas.openxmlformats.org/officeDocument/2006/relationships/hyperlink" Target="https://app-web.statementrec.com/app#appuploadfiles/3a212865-5d97-d007-d467-164b39606653" TargetMode="External"/><Relationship Id="rId3544" Type="http://schemas.openxmlformats.org/officeDocument/2006/relationships/hyperlink" Target="https://app-web.statementrec.com/app#appuploadfiles/3a21286d-b35e-71a8-13cc-6e4094818f9c" TargetMode="External"/><Relationship Id="rId3545" Type="http://schemas.openxmlformats.org/officeDocument/2006/relationships/hyperlink" Target="https://app-web.statementrec.com/app#appuploadfiles/3a212870-3c64-cd05-d944-9c0be9b99fda" TargetMode="External"/><Relationship Id="rId3546" Type="http://schemas.openxmlformats.org/officeDocument/2006/relationships/hyperlink" Target="https://app-web.statementrec.com/app#appuploadfiles/3a212870-ef06-711f-8238-dbe6898610ce" TargetMode="External"/><Relationship Id="rId3547" Type="http://schemas.openxmlformats.org/officeDocument/2006/relationships/hyperlink" Target="https://app-web.statementrec.com/app#appuploadfiles/3a21287a-df65-1f91-078b-651c815fdfef" TargetMode="External"/><Relationship Id="rId3548" Type="http://schemas.openxmlformats.org/officeDocument/2006/relationships/hyperlink" Target="https://app-web.statementrec.com/app#appuploadfiles/3a212885-0e7f-5e36-e45f-db9cdb0c5cc4" TargetMode="External"/><Relationship Id="rId3549" Type="http://schemas.openxmlformats.org/officeDocument/2006/relationships/hyperlink" Target="https://app-web.statementrec.com/app#appuploadfiles/3a212892-1fc5-7fea-7a02-ba0a5b00d4db" TargetMode="External"/><Relationship Id="rId3550" Type="http://schemas.openxmlformats.org/officeDocument/2006/relationships/hyperlink" Target="https://app-web.statementrec.com/app#appuploadfiles/3a212894-ae78-b6f4-d777-0ca57adfd065" TargetMode="External"/><Relationship Id="rId3551" Type="http://schemas.openxmlformats.org/officeDocument/2006/relationships/hyperlink" Target="https://app-web.statementrec.com/app#appuploadfiles/3a21289b-964b-f0a8-cbca-49e8cf9f8154" TargetMode="External"/><Relationship Id="rId3552" Type="http://schemas.openxmlformats.org/officeDocument/2006/relationships/hyperlink" Target="https://app-web.statementrec.com/app#appuploadfiles/3a2128ad-127a-d3e7-e22c-821b48050b74" TargetMode="External"/><Relationship Id="rId3553" Type="http://schemas.openxmlformats.org/officeDocument/2006/relationships/hyperlink" Target="https://app-web.statementrec.com/app#appuploadfiles/3a2128bb-3d2f-b227-8357-0ba50f87e08b" TargetMode="External"/><Relationship Id="rId3554" Type="http://schemas.openxmlformats.org/officeDocument/2006/relationships/hyperlink" Target="https://app-web.statementrec.com/app#appuploadfiles/3a2128bb-cea5-ed1b-fbe5-e78a140eb933" TargetMode="External"/><Relationship Id="rId3555" Type="http://schemas.openxmlformats.org/officeDocument/2006/relationships/hyperlink" Target="https://app-web.statementrec.com/app#appuploadfiles/3a2128bd-933d-10a4-041c-1084ad75c4de" TargetMode="External"/><Relationship Id="rId3556" Type="http://schemas.openxmlformats.org/officeDocument/2006/relationships/hyperlink" Target="https://app-web.statementrec.com/app#appuploadfiles/3a2128c7-6116-9528-b758-ae703add9e01" TargetMode="External"/><Relationship Id="rId3557" Type="http://schemas.openxmlformats.org/officeDocument/2006/relationships/hyperlink" Target="https://app-web.statementrec.com/app#appuploadfiles/3a2128cc-ff7e-add3-18fa-02d7a64b8118" TargetMode="External"/><Relationship Id="rId3558" Type="http://schemas.openxmlformats.org/officeDocument/2006/relationships/hyperlink" Target="https://app-web.statementrec.com/app#appuploadfiles/3a2128d5-1a0f-59a3-39ee-aa9e8479388c" TargetMode="External"/><Relationship Id="rId3559" Type="http://schemas.openxmlformats.org/officeDocument/2006/relationships/hyperlink" Target="https://app-web.statementrec.com/app#appuploadfiles/3a2128dc-676e-588e-9bf6-02500f2e5daa" TargetMode="External"/><Relationship Id="rId3560" Type="http://schemas.openxmlformats.org/officeDocument/2006/relationships/hyperlink" Target="https://app-web.statementrec.com/app#appuploadfiles/3a2128e7-44b1-9887-f4ac-43dd3ab08244" TargetMode="External"/><Relationship Id="rId3561" Type="http://schemas.openxmlformats.org/officeDocument/2006/relationships/hyperlink" Target="https://app-web.statementrec.com/app#appuploadfiles/3a2128ed-0162-7d9a-e1f9-932edd0c9935" TargetMode="External"/><Relationship Id="rId3562" Type="http://schemas.openxmlformats.org/officeDocument/2006/relationships/hyperlink" Target="https://app-web.statementrec.com/app#appuploadfiles/3a212906-e584-b1c3-396b-2301fd26a972" TargetMode="External"/><Relationship Id="rId3563" Type="http://schemas.openxmlformats.org/officeDocument/2006/relationships/hyperlink" Target="https://app-web.statementrec.com/app#appuploadfiles/3a212916-289e-08b6-8065-4336ecc24db2" TargetMode="External"/><Relationship Id="rId3564" Type="http://schemas.openxmlformats.org/officeDocument/2006/relationships/hyperlink" Target="https://app-web.statementrec.com/app#appuploadfiles/3a212920-ea37-c46c-1160-768fd2e51f4f" TargetMode="External"/><Relationship Id="rId3565" Type="http://schemas.openxmlformats.org/officeDocument/2006/relationships/hyperlink" Target="https://app-web.statementrec.com/app#appuploadfiles/3a212923-a6c6-4e5d-26e8-bb0fd88aae14" TargetMode="External"/><Relationship Id="rId3566" Type="http://schemas.openxmlformats.org/officeDocument/2006/relationships/hyperlink" Target="https://app-web.statementrec.com/app#appuploadfiles/3a21292b-0875-9e77-355f-fbb4cdfe7f42" TargetMode="External"/><Relationship Id="rId3567" Type="http://schemas.openxmlformats.org/officeDocument/2006/relationships/hyperlink" Target="https://app-web.statementrec.com/app#appuploadfiles/3a212937-d68e-2208-e09a-92bdde49351f" TargetMode="External"/><Relationship Id="rId3568" Type="http://schemas.openxmlformats.org/officeDocument/2006/relationships/hyperlink" Target="https://app-web.statementrec.com/app#appuploadfiles/3a21293b-bb6e-afc3-8bc7-deda6ea26cef" TargetMode="External"/><Relationship Id="rId3569" Type="http://schemas.openxmlformats.org/officeDocument/2006/relationships/hyperlink" Target="https://app-web.statementrec.com/app#appuploadfiles/3a21294b-04ce-4116-9f14-c70b73dc1e44" TargetMode="External"/><Relationship Id="rId3570" Type="http://schemas.openxmlformats.org/officeDocument/2006/relationships/hyperlink" Target="https://app-web.statementrec.com/app#appuploadfiles/3a21295c-6a3e-e0c5-19cb-dd8bd5a194c1" TargetMode="External"/><Relationship Id="rId3571" Type="http://schemas.openxmlformats.org/officeDocument/2006/relationships/hyperlink" Target="https://app-web.statementrec.com/app#appuploadfiles/3a21295c-9ed2-e666-60b3-6c27eb4d9d8a" TargetMode="External"/><Relationship Id="rId3572" Type="http://schemas.openxmlformats.org/officeDocument/2006/relationships/hyperlink" Target="https://app-web.statementrec.com/app#appuploadfiles/3a212963-96e3-fdbc-e67d-e2e01969e449" TargetMode="External"/><Relationship Id="rId3573" Type="http://schemas.openxmlformats.org/officeDocument/2006/relationships/hyperlink" Target="https://app-web.statementrec.com/app#appuploadfiles/3a21296b-b7ef-ee7e-bc6f-3992aef7d657" TargetMode="External"/><Relationship Id="rId3574" Type="http://schemas.openxmlformats.org/officeDocument/2006/relationships/hyperlink" Target="https://app-web.statementrec.com/app#appuploadfiles/3a21297a-c81c-e988-f451-abb1bbece44a" TargetMode="External"/><Relationship Id="rId3575" Type="http://schemas.openxmlformats.org/officeDocument/2006/relationships/hyperlink" Target="https://app-web.statementrec.com/app#appuploadfiles/3a212980-934c-820d-95d3-e44c58feb4da" TargetMode="External"/><Relationship Id="rId3576" Type="http://schemas.openxmlformats.org/officeDocument/2006/relationships/hyperlink" Target="https://app-web.statementrec.com/app#appuploadfiles/3a212981-64e5-0159-6866-028f4e931a2b" TargetMode="External"/><Relationship Id="rId3577" Type="http://schemas.openxmlformats.org/officeDocument/2006/relationships/hyperlink" Target="https://app-web.statementrec.com/app#appuploadfiles/3a212984-9460-1b4b-08c0-31fea19d5a8b" TargetMode="External"/><Relationship Id="rId3578" Type="http://schemas.openxmlformats.org/officeDocument/2006/relationships/hyperlink" Target="https://app-web.statementrec.com/app#appuploadfiles/3a21298a-4704-a52b-6755-12427ea8a4e2" TargetMode="External"/><Relationship Id="rId3579" Type="http://schemas.openxmlformats.org/officeDocument/2006/relationships/hyperlink" Target="https://app-web.statementrec.com/app#appuploadfiles/3a2129a6-3050-9484-5a2a-96da3f006223" TargetMode="External"/><Relationship Id="rId3580" Type="http://schemas.openxmlformats.org/officeDocument/2006/relationships/hyperlink" Target="https://app-web.statementrec.com/app#appuploadfiles/3a2129b2-c909-3a49-0de4-92bc19df2295" TargetMode="External"/><Relationship Id="rId3581" Type="http://schemas.openxmlformats.org/officeDocument/2006/relationships/hyperlink" Target="https://app-web.statementrec.com/app#appuploadfiles/3a2129b4-42dc-991c-3788-0baa8409acfc" TargetMode="External"/><Relationship Id="rId3582" Type="http://schemas.openxmlformats.org/officeDocument/2006/relationships/hyperlink" Target="https://app-web.statementrec.com/app#appuploadfiles/3a2129bb-7efa-9feb-488f-065585be8cc6" TargetMode="External"/><Relationship Id="rId3583" Type="http://schemas.openxmlformats.org/officeDocument/2006/relationships/hyperlink" Target="https://app-web.statementrec.com/app#appuploadfiles/3a2129c9-65cc-e782-de43-ec5546edcfe3" TargetMode="External"/><Relationship Id="rId3584" Type="http://schemas.openxmlformats.org/officeDocument/2006/relationships/hyperlink" Target="https://app-web.statementrec.com/app#appuploadfiles/3a2129ce-05aa-79bb-9054-64c22b76301d" TargetMode="External"/><Relationship Id="rId3585" Type="http://schemas.openxmlformats.org/officeDocument/2006/relationships/hyperlink" Target="https://app-web.statementrec.com/app#appuploadfiles/3a2129d1-a927-13a8-30b2-f837597fc586" TargetMode="External"/><Relationship Id="rId3586" Type="http://schemas.openxmlformats.org/officeDocument/2006/relationships/hyperlink" Target="https://app-web.statementrec.com/app#appuploadfiles/3a2129db-55ff-244f-af49-39e0cc63a5ad" TargetMode="External"/><Relationship Id="rId3587" Type="http://schemas.openxmlformats.org/officeDocument/2006/relationships/hyperlink" Target="https://app-web.statementrec.com/app#appuploadfiles/3a2129e5-71dd-6600-a5e2-380c0af467bf" TargetMode="External"/><Relationship Id="rId3588" Type="http://schemas.openxmlformats.org/officeDocument/2006/relationships/hyperlink" Target="https://app-web.statementrec.com/app#appuploadfiles/3a212a03-13c3-b97b-49b2-84c41fd47d34" TargetMode="External"/><Relationship Id="rId3589" Type="http://schemas.openxmlformats.org/officeDocument/2006/relationships/hyperlink" Target="https://app-web.statementrec.com/app#appuploadfiles/3a212a41-fd45-d178-e7d2-8f4d010139a8" TargetMode="External"/><Relationship Id="rId3590" Type="http://schemas.openxmlformats.org/officeDocument/2006/relationships/hyperlink" Target="https://app-web.statementrec.com/app#appuploadfiles/3a212a43-634d-9251-1337-cf7e0594e9d8" TargetMode="External"/><Relationship Id="rId3591" Type="http://schemas.openxmlformats.org/officeDocument/2006/relationships/hyperlink" Target="https://app-web.statementrec.com/app#appuploadfiles/3a212ad3-63da-8c37-22df-f7db846d8490" TargetMode="External"/><Relationship Id="rId3592" Type="http://schemas.openxmlformats.org/officeDocument/2006/relationships/hyperlink" Target="https://app-web.statementrec.com/app#appuploadfiles/3a212ae4-1160-cb15-73b5-78efbcd337fe" TargetMode="External"/><Relationship Id="rId3593" Type="http://schemas.openxmlformats.org/officeDocument/2006/relationships/hyperlink" Target="https://app-web.statementrec.com/app#appuploadfiles/3a212af6-1716-edf7-d815-a1940f3adeee" TargetMode="External"/><Relationship Id="rId3594" Type="http://schemas.openxmlformats.org/officeDocument/2006/relationships/hyperlink" Target="https://app-web.statementrec.com/app#appuploadfiles/3a212b06-716b-f366-7ccd-c9f85beda6cf" TargetMode="External"/><Relationship Id="rId3595" Type="http://schemas.openxmlformats.org/officeDocument/2006/relationships/hyperlink" Target="https://app-web.statementrec.com/app#appuploadfiles/3a212b12-9264-8c1f-1ab3-2d976f210d20" TargetMode="External"/><Relationship Id="rId3596" Type="http://schemas.openxmlformats.org/officeDocument/2006/relationships/hyperlink" Target="https://app-web.statementrec.com/app#appuploadfiles/3a212b13-d868-fec6-ba8f-f83646f9d077" TargetMode="External"/><Relationship Id="rId3597" Type="http://schemas.openxmlformats.org/officeDocument/2006/relationships/hyperlink" Target="https://app-web.statementrec.com/app#appuploadfiles/3a212b27-8899-6ea7-77fa-04aaec5d7ba5" TargetMode="External"/><Relationship Id="rId3598" Type="http://schemas.openxmlformats.org/officeDocument/2006/relationships/hyperlink" Target="https://app-web.statementrec.com/app#appuploadfiles/3a212b4d-ee3a-52a2-7aa8-228599061bf0" TargetMode="External"/><Relationship Id="rId3599" Type="http://schemas.openxmlformats.org/officeDocument/2006/relationships/hyperlink" Target="https://app-web.statementrec.com/app#appuploadfiles/3a212b57-542d-cbf2-6ca5-f4c13425e0a0" TargetMode="External"/><Relationship Id="rId3600" Type="http://schemas.openxmlformats.org/officeDocument/2006/relationships/hyperlink" Target="https://app-web.statementrec.com/app#appuploadfiles/3a212b77-8cac-15d3-0fd7-271c82d13841" TargetMode="External"/><Relationship Id="rId3601" Type="http://schemas.openxmlformats.org/officeDocument/2006/relationships/hyperlink" Target="https://app-web.statementrec.com/app#appuploadfiles/3a212b81-1dd8-ff57-d22d-232c197c8d8f" TargetMode="External"/><Relationship Id="rId3602" Type="http://schemas.openxmlformats.org/officeDocument/2006/relationships/hyperlink" Target="https://app-web.statementrec.com/app#appuploadfiles/3a212bc8-1404-dafa-6305-0787ef919e93" TargetMode="External"/><Relationship Id="rId3603" Type="http://schemas.openxmlformats.org/officeDocument/2006/relationships/hyperlink" Target="https://app-web.statementrec.com/app#appuploadfiles/3a212c0b-336f-ad1d-f79d-531cfef3bdbe" TargetMode="External"/><Relationship Id="rId3604" Type="http://schemas.openxmlformats.org/officeDocument/2006/relationships/hyperlink" Target="https://app-web.statementrec.com/app#appuploadfiles/3a212c5f-2260-78d5-c4bc-0aee6c8e8ea9" TargetMode="External"/><Relationship Id="rId3605" Type="http://schemas.openxmlformats.org/officeDocument/2006/relationships/hyperlink" Target="https://app-web.statementrec.com/app#appuploadfiles/3a212c93-2d9b-c6b4-6342-e1e3e2a136d8" TargetMode="External"/><Relationship Id="rId3606" Type="http://schemas.openxmlformats.org/officeDocument/2006/relationships/hyperlink" Target="https://app-web.statementrec.com/app#appuploadfiles/3a212d49-7c7b-ca52-c6a5-53f05f495792" TargetMode="External"/><Relationship Id="rId3607" Type="http://schemas.openxmlformats.org/officeDocument/2006/relationships/hyperlink" Target="https://app-web.statementrec.com/app#appuploadfiles/3a212d53-55de-15a0-5cdd-300d62d4ec86" TargetMode="External"/><Relationship Id="rId3608" Type="http://schemas.openxmlformats.org/officeDocument/2006/relationships/hyperlink" Target="https://app-web.statementrec.com/app#appuploadfiles/3a212d58-b3b6-978c-3e1c-cd099e066583" TargetMode="External"/><Relationship Id="rId3609" Type="http://schemas.openxmlformats.org/officeDocument/2006/relationships/hyperlink" Target="https://app-web.statementrec.com/app#appuploadfiles/3a212d59-dfae-471b-81da-80c3e72aed1c" TargetMode="External"/><Relationship Id="rId3610" Type="http://schemas.openxmlformats.org/officeDocument/2006/relationships/hyperlink" Target="https://app-web.statementrec.com/app#appuploadfiles/3a212d5e-48d9-f19d-ae3d-cf5a9b7d1bb4" TargetMode="External"/><Relationship Id="rId3611" Type="http://schemas.openxmlformats.org/officeDocument/2006/relationships/hyperlink" Target="https://app-web.statementrec.com/app#appuploadfiles/3a212d6a-6502-b42a-4d9d-1848e2bb4217" TargetMode="External"/><Relationship Id="rId3612" Type="http://schemas.openxmlformats.org/officeDocument/2006/relationships/hyperlink" Target="https://app-web.statementrec.com/app#appuploadfiles/3a212d6b-a28f-1c37-f1e0-b90f8f605d68" TargetMode="External"/><Relationship Id="rId3613" Type="http://schemas.openxmlformats.org/officeDocument/2006/relationships/hyperlink" Target="https://app-web.statementrec.com/app#appuploadfiles/3a212d6c-a5a9-2d12-03b4-73785e0c661e" TargetMode="External"/><Relationship Id="rId3614" Type="http://schemas.openxmlformats.org/officeDocument/2006/relationships/hyperlink" Target="https://app-web.statementrec.com/app#appuploadfiles/3a212d70-df78-5388-b1fc-7c2f479b0632" TargetMode="External"/><Relationship Id="rId3615" Type="http://schemas.openxmlformats.org/officeDocument/2006/relationships/hyperlink" Target="https://app-web.statementrec.com/app#appuploadfiles/3a212d71-0033-81b2-b800-d3028c92a827" TargetMode="External"/><Relationship Id="rId3616" Type="http://schemas.openxmlformats.org/officeDocument/2006/relationships/hyperlink" Target="https://app-web.statementrec.com/app#appuploadfiles/3a212d71-5248-878c-9255-4d48beff14a3" TargetMode="External"/><Relationship Id="rId3617" Type="http://schemas.openxmlformats.org/officeDocument/2006/relationships/hyperlink" Target="https://app-web.statementrec.com/app#appuploadfiles/3a212d75-f22d-2ad7-ae84-553d728e7c25" TargetMode="External"/><Relationship Id="rId3618" Type="http://schemas.openxmlformats.org/officeDocument/2006/relationships/hyperlink" Target="https://app-web.statementrec.com/app#appuploadfiles/3a212d76-bf43-6b97-e058-0aba67255c2b" TargetMode="External"/><Relationship Id="rId3619" Type="http://schemas.openxmlformats.org/officeDocument/2006/relationships/hyperlink" Target="https://app-web.statementrec.com/app#appuploadfiles/3a212d84-9e2b-3298-cab4-e84bd8a0cdaf" TargetMode="External"/><Relationship Id="rId3620" Type="http://schemas.openxmlformats.org/officeDocument/2006/relationships/hyperlink" Target="https://app-web.statementrec.com/app#appuploadfiles/3a212d88-21e4-0634-fe29-87e1ca4f9816" TargetMode="External"/><Relationship Id="rId3621" Type="http://schemas.openxmlformats.org/officeDocument/2006/relationships/hyperlink" Target="https://app-web.statementrec.com/app#appuploadfiles/3a212d8b-8f0e-5d01-c7d1-2d3f488d5f11" TargetMode="External"/><Relationship Id="rId3622" Type="http://schemas.openxmlformats.org/officeDocument/2006/relationships/hyperlink" Target="https://app-web.statementrec.com/app#appuploadfiles/3a212d90-a56e-d8c0-0d48-c39c60277a18" TargetMode="External"/><Relationship Id="rId3623" Type="http://schemas.openxmlformats.org/officeDocument/2006/relationships/hyperlink" Target="https://app-web.statementrec.com/app#appuploadfiles/3a212d90-dbb5-0012-670a-13b13c92bcc6" TargetMode="External"/><Relationship Id="rId3624" Type="http://schemas.openxmlformats.org/officeDocument/2006/relationships/hyperlink" Target="https://app-web.statementrec.com/app#appuploadfiles/3a212d91-97d7-f75c-c8ef-d8c0a9d35e84" TargetMode="External"/><Relationship Id="rId3625" Type="http://schemas.openxmlformats.org/officeDocument/2006/relationships/hyperlink" Target="https://app-web.statementrec.com/app#appuploadfiles/3a212d95-af4a-1440-5a44-f148373fd83e" TargetMode="External"/><Relationship Id="rId3626" Type="http://schemas.openxmlformats.org/officeDocument/2006/relationships/hyperlink" Target="https://app-web.statementrec.com/app#appuploadfiles/3a212d96-5531-73ff-68f5-dfaa98918005" TargetMode="External"/><Relationship Id="rId3627" Type="http://schemas.openxmlformats.org/officeDocument/2006/relationships/hyperlink" Target="https://app-web.statementrec.com/app#appuploadfiles/3a212d96-a2a2-00ae-62e4-d31ff236d960" TargetMode="External"/><Relationship Id="rId3628" Type="http://schemas.openxmlformats.org/officeDocument/2006/relationships/hyperlink" Target="https://app-web.statementrec.com/app#appuploadfiles/3a212d99-d207-3cbd-6cc5-1543fb099918" TargetMode="External"/><Relationship Id="rId3629" Type="http://schemas.openxmlformats.org/officeDocument/2006/relationships/hyperlink" Target="https://app-web.statementrec.com/app#appuploadfiles/3a212d9a-df6c-aded-ebfb-ea8030b46d1d" TargetMode="External"/><Relationship Id="rId3630" Type="http://schemas.openxmlformats.org/officeDocument/2006/relationships/hyperlink" Target="https://app-web.statementrec.com/app#appuploadfiles/3a212da2-bd7a-980f-ff93-b7a61802fe75" TargetMode="External"/><Relationship Id="rId3631" Type="http://schemas.openxmlformats.org/officeDocument/2006/relationships/hyperlink" Target="https://app-web.statementrec.com/app#appuploadfiles/3a212da4-77b2-65f1-779a-8bb6af7e299e" TargetMode="External"/><Relationship Id="rId3632" Type="http://schemas.openxmlformats.org/officeDocument/2006/relationships/hyperlink" Target="https://app-web.statementrec.com/app#appuploadfiles/3a212daf-9b17-b64c-957f-8cced15b5de5" TargetMode="External"/><Relationship Id="rId3633" Type="http://schemas.openxmlformats.org/officeDocument/2006/relationships/hyperlink" Target="https://app-web.statementrec.com/app#appuploadfiles/3a212db1-de35-1046-d4f5-9f30436a4c5b" TargetMode="External"/><Relationship Id="rId3634" Type="http://schemas.openxmlformats.org/officeDocument/2006/relationships/hyperlink" Target="https://app-web.statementrec.com/app#appuploadfiles/3a212dbb-66a2-b464-ce59-1756b55167be" TargetMode="External"/><Relationship Id="rId3635" Type="http://schemas.openxmlformats.org/officeDocument/2006/relationships/hyperlink" Target="https://app-web.statementrec.com/app#appuploadfiles/3a212dc0-01f3-a9b7-8171-652c066cbed3" TargetMode="External"/><Relationship Id="rId3636" Type="http://schemas.openxmlformats.org/officeDocument/2006/relationships/hyperlink" Target="https://app-web.statementrec.com/app#appuploadfiles/3a212dc2-422b-540a-f3dc-01d7bc44911c" TargetMode="External"/><Relationship Id="rId3637" Type="http://schemas.openxmlformats.org/officeDocument/2006/relationships/hyperlink" Target="https://app-web.statementrec.com/app#appuploadfiles/3a212dcb-2b04-ccb8-65b2-3cda1df6a1e7" TargetMode="External"/><Relationship Id="rId3638" Type="http://schemas.openxmlformats.org/officeDocument/2006/relationships/hyperlink" Target="https://app-web.statementrec.com/app#appuploadfiles/3a212dd1-9312-2f98-71a8-9475e38c5f09" TargetMode="External"/><Relationship Id="rId3639" Type="http://schemas.openxmlformats.org/officeDocument/2006/relationships/hyperlink" Target="https://app-web.statementrec.com/app#appuploadfiles/3a212ddb-934b-6813-8f4a-ed3ccb989faf" TargetMode="External"/><Relationship Id="rId3640" Type="http://schemas.openxmlformats.org/officeDocument/2006/relationships/hyperlink" Target="https://app-web.statementrec.com/app#appuploadfiles/3a212ddb-afb5-c1c3-83c8-f3a9a4abd543" TargetMode="External"/><Relationship Id="rId3641" Type="http://schemas.openxmlformats.org/officeDocument/2006/relationships/hyperlink" Target="https://app-web.statementrec.com/app#appuploadfiles/3a212ddd-29fc-763d-9e95-0cd8c080d8ed" TargetMode="External"/><Relationship Id="rId3642" Type="http://schemas.openxmlformats.org/officeDocument/2006/relationships/hyperlink" Target="https://app-web.statementrec.com/app#appuploadfiles/3a212de0-7efc-6929-7e9d-06e615cd8113" TargetMode="External"/><Relationship Id="rId3643" Type="http://schemas.openxmlformats.org/officeDocument/2006/relationships/hyperlink" Target="https://app-web.statementrec.com/app#appuploadfiles/3a212de4-1806-9aa7-4d27-63cd9e71d72a" TargetMode="External"/><Relationship Id="rId3644" Type="http://schemas.openxmlformats.org/officeDocument/2006/relationships/hyperlink" Target="https://app-web.statementrec.com/app#appuploadfiles/3a212de6-86a5-c136-7d66-4d26bc940d28" TargetMode="External"/><Relationship Id="rId3645" Type="http://schemas.openxmlformats.org/officeDocument/2006/relationships/hyperlink" Target="https://app-web.statementrec.com/app#appuploadfiles/3a212dec-b1e8-0677-2aa7-33c2f34e845c" TargetMode="External"/><Relationship Id="rId3646" Type="http://schemas.openxmlformats.org/officeDocument/2006/relationships/hyperlink" Target="https://app-web.statementrec.com/app#appuploadfiles/3a212df5-be4f-866e-f9ba-d64ff7175483" TargetMode="External"/><Relationship Id="rId3647" Type="http://schemas.openxmlformats.org/officeDocument/2006/relationships/hyperlink" Target="https://app-web.statementrec.com/app#appuploadfiles/3a212dfc-85ae-11ef-709a-b9b3dc9f5bc1" TargetMode="External"/><Relationship Id="rId3648" Type="http://schemas.openxmlformats.org/officeDocument/2006/relationships/hyperlink" Target="https://app-web.statementrec.com/app#appuploadfiles/3a212e05-2899-2d04-1048-75d3b9b82c41" TargetMode="External"/><Relationship Id="rId3649" Type="http://schemas.openxmlformats.org/officeDocument/2006/relationships/hyperlink" Target="https://app-web.statementrec.com/app#appuploadfiles/3a212e06-2ed3-cf3b-d1f3-8c344e5f169f" TargetMode="External"/><Relationship Id="rId3650" Type="http://schemas.openxmlformats.org/officeDocument/2006/relationships/hyperlink" Target="https://app-web.statementrec.com/app#appuploadfiles/3a212e08-1304-b5cc-0771-247846d6d39a" TargetMode="External"/><Relationship Id="rId3651" Type="http://schemas.openxmlformats.org/officeDocument/2006/relationships/hyperlink" Target="https://app-web.statementrec.com/app#appuploadfiles/3a212e0e-379d-6a90-e3d3-f546cf4c0558" TargetMode="External"/><Relationship Id="rId3652" Type="http://schemas.openxmlformats.org/officeDocument/2006/relationships/hyperlink" Target="https://app-web.statementrec.com/app#appuploadfiles/3a212e11-df7c-8b9c-7b18-83880d88f3c4" TargetMode="External"/><Relationship Id="rId3653" Type="http://schemas.openxmlformats.org/officeDocument/2006/relationships/hyperlink" Target="https://app-web.statementrec.com/app#appuploadfiles/3a212e13-bca0-280f-1320-1811286bce16" TargetMode="External"/><Relationship Id="rId3654" Type="http://schemas.openxmlformats.org/officeDocument/2006/relationships/hyperlink" Target="https://app-web.statementrec.com/app#appuploadfiles/3a212e13-e65e-9d94-9136-3bbfe9d09f23" TargetMode="External"/><Relationship Id="rId3655" Type="http://schemas.openxmlformats.org/officeDocument/2006/relationships/hyperlink" Target="https://app-web.statementrec.com/app#appuploadfiles/3a212e16-21c1-4792-576a-16fd988feca8" TargetMode="External"/><Relationship Id="rId3656" Type="http://schemas.openxmlformats.org/officeDocument/2006/relationships/hyperlink" Target="https://app-web.statementrec.com/app#appuploadfiles/3a212e19-1217-8505-1f0e-6174f35109a0" TargetMode="External"/><Relationship Id="rId3657" Type="http://schemas.openxmlformats.org/officeDocument/2006/relationships/hyperlink" Target="https://app-web.statementrec.com/app#appuploadfiles/3a212e1a-1f54-1efe-2520-02a03478d3b0" TargetMode="External"/><Relationship Id="rId3658" Type="http://schemas.openxmlformats.org/officeDocument/2006/relationships/hyperlink" Target="https://app-web.statementrec.com/app#appuploadfiles/3a212e1a-3c89-8385-498e-c3f4f3c4d4e9" TargetMode="External"/><Relationship Id="rId3659" Type="http://schemas.openxmlformats.org/officeDocument/2006/relationships/hyperlink" Target="https://app-web.statementrec.com/app#appuploadfiles/3a212e1a-463e-6420-673c-f896aff6f454" TargetMode="External"/><Relationship Id="rId3660" Type="http://schemas.openxmlformats.org/officeDocument/2006/relationships/hyperlink" Target="https://app-web.statementrec.com/app#appuploadfiles/3a212e1a-ccb6-a210-c120-750e9c609f11" TargetMode="External"/><Relationship Id="rId3661" Type="http://schemas.openxmlformats.org/officeDocument/2006/relationships/hyperlink" Target="https://app-web.statementrec.com/app#appuploadfiles/3a212e22-9fce-a877-9226-6fe9af738f36" TargetMode="External"/><Relationship Id="rId3662" Type="http://schemas.openxmlformats.org/officeDocument/2006/relationships/hyperlink" Target="https://app-web.statementrec.com/app#appuploadfiles/3a212e30-1436-454f-d338-d41049f53d71" TargetMode="External"/><Relationship Id="rId3663" Type="http://schemas.openxmlformats.org/officeDocument/2006/relationships/hyperlink" Target="https://app-web.statementrec.com/app#appuploadfiles/3a212e31-fec1-1481-eff3-6a967147f4e7" TargetMode="External"/><Relationship Id="rId3664" Type="http://schemas.openxmlformats.org/officeDocument/2006/relationships/hyperlink" Target="https://app-web.statementrec.com/app#appuploadfiles/3a212e34-875a-ae69-7486-2800acf1d0c2" TargetMode="External"/><Relationship Id="rId3665" Type="http://schemas.openxmlformats.org/officeDocument/2006/relationships/hyperlink" Target="https://app-web.statementrec.com/app#appuploadfiles/3a212e3b-0619-1fae-8d57-789f59f2f4d4" TargetMode="External"/><Relationship Id="rId3666" Type="http://schemas.openxmlformats.org/officeDocument/2006/relationships/hyperlink" Target="https://app-web.statementrec.com/app#appuploadfiles/3a212e3b-9520-0711-647e-805dc5f92604" TargetMode="External"/><Relationship Id="rId3667" Type="http://schemas.openxmlformats.org/officeDocument/2006/relationships/hyperlink" Target="https://app-web.statementrec.com/app#appuploadfiles/3a212e3c-8ce1-2e40-d59b-dc2792532e06" TargetMode="External"/><Relationship Id="rId3668" Type="http://schemas.openxmlformats.org/officeDocument/2006/relationships/hyperlink" Target="https://app-web.statementrec.com/app#appuploadfiles/3a212e4a-5649-1a07-042e-3027d8b388cd" TargetMode="External"/><Relationship Id="rId3669" Type="http://schemas.openxmlformats.org/officeDocument/2006/relationships/hyperlink" Target="https://app-web.statementrec.com/app#appuploadfiles/3a212e4c-7333-1029-1b52-949a7d74cdff" TargetMode="External"/><Relationship Id="rId3670" Type="http://schemas.openxmlformats.org/officeDocument/2006/relationships/hyperlink" Target="https://app-web.statementrec.com/app#appuploadfiles/3a212e4f-90a0-ed60-4596-acba19eb695b" TargetMode="External"/><Relationship Id="rId3671" Type="http://schemas.openxmlformats.org/officeDocument/2006/relationships/hyperlink" Target="https://app-web.statementrec.com/app#appuploadfiles/3a212e50-0954-0ccc-b18c-5244932c2dc5" TargetMode="External"/><Relationship Id="rId3672" Type="http://schemas.openxmlformats.org/officeDocument/2006/relationships/hyperlink" Target="https://app-web.statementrec.com/app#appuploadfiles/3a212e51-a2d3-d8f5-3771-e489e59a7a8d" TargetMode="External"/><Relationship Id="rId3673" Type="http://schemas.openxmlformats.org/officeDocument/2006/relationships/hyperlink" Target="https://app-web.statementrec.com/app#appuploadfiles/3a212e53-2329-8b37-5e66-3efb9a8d2b39" TargetMode="External"/><Relationship Id="rId3674" Type="http://schemas.openxmlformats.org/officeDocument/2006/relationships/hyperlink" Target="https://app-web.statementrec.com/app#appuploadfiles/3a212e55-8ac3-e767-cd7e-0efea6f3a423" TargetMode="External"/><Relationship Id="rId3675" Type="http://schemas.openxmlformats.org/officeDocument/2006/relationships/hyperlink" Target="https://app-web.statementrec.com/app#appuploadfiles/3a212e58-44e2-c10d-1645-810ad9b36dfd" TargetMode="External"/><Relationship Id="rId3676" Type="http://schemas.openxmlformats.org/officeDocument/2006/relationships/hyperlink" Target="https://app-web.statementrec.com/app#appuploadfiles/3a212e5b-425e-88bc-e87a-1577f361464f" TargetMode="External"/><Relationship Id="rId3677" Type="http://schemas.openxmlformats.org/officeDocument/2006/relationships/hyperlink" Target="https://app-web.statementrec.com/app#appuploadfiles/3a212e63-b47a-1b22-6302-8e005e944ed1" TargetMode="External"/><Relationship Id="rId3678" Type="http://schemas.openxmlformats.org/officeDocument/2006/relationships/hyperlink" Target="https://app-web.statementrec.com/app#appuploadfiles/3a212e70-b1b0-9d18-ddda-9089330c8197" TargetMode="External"/><Relationship Id="rId3679" Type="http://schemas.openxmlformats.org/officeDocument/2006/relationships/hyperlink" Target="https://app-web.statementrec.com/app#appuploadfiles/3a212e75-3299-e173-3c00-1dfce564d0d5" TargetMode="External"/><Relationship Id="rId3680" Type="http://schemas.openxmlformats.org/officeDocument/2006/relationships/hyperlink" Target="https://app-web.statementrec.com/app#appuploadfiles/3a212e7d-2220-ebd2-282a-c1bf79bfcd24" TargetMode="External"/><Relationship Id="rId3681" Type="http://schemas.openxmlformats.org/officeDocument/2006/relationships/hyperlink" Target="https://app-web.statementrec.com/app#appuploadfiles/3a212e7f-48af-6e2f-5124-c88356b5feeb" TargetMode="External"/><Relationship Id="rId3682" Type="http://schemas.openxmlformats.org/officeDocument/2006/relationships/hyperlink" Target="https://app-web.statementrec.com/app#appuploadfiles/3a212e8b-9d51-0f26-e441-674c49ea15d8" TargetMode="External"/><Relationship Id="rId3683" Type="http://schemas.openxmlformats.org/officeDocument/2006/relationships/hyperlink" Target="https://app-web.statementrec.com/app#appuploadfiles/3a212e8c-38ac-fbd4-3666-a091fea47175" TargetMode="External"/><Relationship Id="rId3684" Type="http://schemas.openxmlformats.org/officeDocument/2006/relationships/hyperlink" Target="https://app-web.statementrec.com/app#appuploadfiles/3a212e8c-41d3-2802-5a6b-1d342f1888d9" TargetMode="External"/><Relationship Id="rId3685" Type="http://schemas.openxmlformats.org/officeDocument/2006/relationships/hyperlink" Target="https://app-web.statementrec.com/app#appuploadfiles/3a212e8d-3ed8-6d7f-6954-13731560714a" TargetMode="External"/><Relationship Id="rId3686" Type="http://schemas.openxmlformats.org/officeDocument/2006/relationships/hyperlink" Target="https://app-web.statementrec.com/app#appuploadfiles/3a212e8d-76a9-5e65-cdaa-56ebcc151667" TargetMode="External"/><Relationship Id="rId3687" Type="http://schemas.openxmlformats.org/officeDocument/2006/relationships/hyperlink" Target="https://app-web.statementrec.com/app#appuploadfiles/3a212e92-816a-5fa0-aa72-0346422319f1" TargetMode="External"/><Relationship Id="rId3688" Type="http://schemas.openxmlformats.org/officeDocument/2006/relationships/hyperlink" Target="https://app-web.statementrec.com/app#appuploadfiles/3a212e94-0db7-1cc0-0997-e607d9a4266c" TargetMode="External"/><Relationship Id="rId3689" Type="http://schemas.openxmlformats.org/officeDocument/2006/relationships/hyperlink" Target="https://app-web.statementrec.com/app#appuploadfiles/3a212e94-38b6-fcfd-8593-5dac2b32dec9" TargetMode="External"/><Relationship Id="rId3690" Type="http://schemas.openxmlformats.org/officeDocument/2006/relationships/hyperlink" Target="https://app-web.statementrec.com/app#appuploadfiles/3a212e9a-cf04-6b17-5a7e-8537861e8d91" TargetMode="External"/><Relationship Id="rId3691" Type="http://schemas.openxmlformats.org/officeDocument/2006/relationships/hyperlink" Target="https://app-web.statementrec.com/app#appuploadfiles/3a212e9a-d71e-961f-822e-674a461a1935" TargetMode="External"/><Relationship Id="rId3692" Type="http://schemas.openxmlformats.org/officeDocument/2006/relationships/hyperlink" Target="https://app-web.statementrec.com/app#appuploadfiles/3a212ea9-de7f-e3ea-275b-1d27818409f9" TargetMode="External"/><Relationship Id="rId3693" Type="http://schemas.openxmlformats.org/officeDocument/2006/relationships/hyperlink" Target="https://app-web.statementrec.com/app#appuploadfiles/3a212eaf-7d5e-d8c5-4b6f-67d465801ab8" TargetMode="External"/><Relationship Id="rId3694" Type="http://schemas.openxmlformats.org/officeDocument/2006/relationships/hyperlink" Target="https://app-web.statementrec.com/app#appuploadfiles/3a212eb3-c6f2-2e02-ca28-50f86cbae7b5" TargetMode="External"/><Relationship Id="rId3695" Type="http://schemas.openxmlformats.org/officeDocument/2006/relationships/hyperlink" Target="https://app-web.statementrec.com/app#appuploadfiles/3a212ebe-cb97-e0eb-5b04-7d44cac27d14" TargetMode="External"/><Relationship Id="rId3696" Type="http://schemas.openxmlformats.org/officeDocument/2006/relationships/hyperlink" Target="https://app-web.statementrec.com/app#appuploadfiles/3a212ecd-fd9d-e954-91ef-6aebe652f93d" TargetMode="External"/><Relationship Id="rId3697" Type="http://schemas.openxmlformats.org/officeDocument/2006/relationships/hyperlink" Target="https://app-web.statementrec.com/app#appuploadfiles/3a212ecf-f689-e051-f31a-54f1c478a5da" TargetMode="External"/><Relationship Id="rId3698" Type="http://schemas.openxmlformats.org/officeDocument/2006/relationships/hyperlink" Target="https://app-web.statementrec.com/app#appuploadfiles/3a212ed3-3e1f-544f-5566-50305a563c66" TargetMode="External"/><Relationship Id="rId3699" Type="http://schemas.openxmlformats.org/officeDocument/2006/relationships/hyperlink" Target="https://app-web.statementrec.com/app#appuploadfiles/3a212ed9-18c4-5066-638e-a8b846f1ad12" TargetMode="External"/><Relationship Id="rId3700" Type="http://schemas.openxmlformats.org/officeDocument/2006/relationships/hyperlink" Target="https://app-web.statementrec.com/app#appuploadfiles/3a212ee5-4690-5daf-9caa-816ab5ef15ba" TargetMode="External"/><Relationship Id="rId3701" Type="http://schemas.openxmlformats.org/officeDocument/2006/relationships/hyperlink" Target="https://app-web.statementrec.com/app#appuploadfiles/3a212ee5-ba95-0a47-c022-b884f726827d" TargetMode="External"/><Relationship Id="rId3702" Type="http://schemas.openxmlformats.org/officeDocument/2006/relationships/hyperlink" Target="https://app-web.statementrec.com/app#appuploadfiles/3a212ee7-de45-59a3-3280-8034e349cd69" TargetMode="External"/><Relationship Id="rId3703" Type="http://schemas.openxmlformats.org/officeDocument/2006/relationships/hyperlink" Target="https://app-web.statementrec.com/app#appuploadfiles/3a212ee9-7108-acd4-e69d-30d9f6f2e561" TargetMode="External"/><Relationship Id="rId3704" Type="http://schemas.openxmlformats.org/officeDocument/2006/relationships/hyperlink" Target="https://app-web.statementrec.com/app#appuploadfiles/3a212eec-a61c-2cfe-017c-ee0b6f292270" TargetMode="External"/><Relationship Id="rId3705" Type="http://schemas.openxmlformats.org/officeDocument/2006/relationships/hyperlink" Target="https://app-web.statementrec.com/app#appuploadfiles/3a212f09-fc2b-39cb-69b2-eb4a86dfce95" TargetMode="External"/><Relationship Id="rId3706" Type="http://schemas.openxmlformats.org/officeDocument/2006/relationships/hyperlink" Target="https://app-web.statementrec.com/app#appuploadfiles/3a212f0e-b875-c12a-fa9e-79c00685cb9e" TargetMode="External"/><Relationship Id="rId3707" Type="http://schemas.openxmlformats.org/officeDocument/2006/relationships/hyperlink" Target="https://app-web.statementrec.com/app#appuploadfiles/3a212f16-3248-bb9d-3cb3-cfed32c6af3b" TargetMode="External"/><Relationship Id="rId3708" Type="http://schemas.openxmlformats.org/officeDocument/2006/relationships/hyperlink" Target="https://app-web.statementrec.com/app#appuploadfiles/3a212f1c-1867-4ef3-c9e5-b46df91c7127" TargetMode="External"/><Relationship Id="rId3709" Type="http://schemas.openxmlformats.org/officeDocument/2006/relationships/hyperlink" Target="https://app-web.statementrec.com/app#appuploadfiles/3a212f21-86a5-a762-7600-ef5f191301be" TargetMode="External"/><Relationship Id="rId3710" Type="http://schemas.openxmlformats.org/officeDocument/2006/relationships/hyperlink" Target="https://app-web.statementrec.com/app#appuploadfiles/3a212f30-379f-9707-f684-9100724d85ca" TargetMode="External"/><Relationship Id="rId3711" Type="http://schemas.openxmlformats.org/officeDocument/2006/relationships/hyperlink" Target="https://app-web.statementrec.com/app#appuploadfiles/3a212f3c-4c8d-7554-f6ca-6f8f2e6d88f5" TargetMode="External"/><Relationship Id="rId3712" Type="http://schemas.openxmlformats.org/officeDocument/2006/relationships/hyperlink" Target="https://app-web.statementrec.com/app#appuploadfiles/3a212f41-a375-df53-9ca7-7c89a8884be9" TargetMode="External"/><Relationship Id="rId3713" Type="http://schemas.openxmlformats.org/officeDocument/2006/relationships/hyperlink" Target="https://app-web.statementrec.com/app#appuploadfiles/3a212f6a-cc68-8b4e-ed01-8090c6de1513" TargetMode="External"/><Relationship Id="rId3714" Type="http://schemas.openxmlformats.org/officeDocument/2006/relationships/hyperlink" Target="https://app-web.statementrec.com/app#appuploadfiles/3a212f8b-430b-07aa-dbcd-6e97304902e0" TargetMode="External"/><Relationship Id="rId3715" Type="http://schemas.openxmlformats.org/officeDocument/2006/relationships/hyperlink" Target="https://app-web.statementrec.com/app#appuploadfiles/3a212f92-83f1-db06-09e9-fbb825e21916" TargetMode="External"/><Relationship Id="rId3716" Type="http://schemas.openxmlformats.org/officeDocument/2006/relationships/hyperlink" Target="https://app-web.statementrec.com/app#appuploadfiles/3a212fa4-208e-7313-5017-920634253548" TargetMode="External"/><Relationship Id="rId3717" Type="http://schemas.openxmlformats.org/officeDocument/2006/relationships/hyperlink" Target="https://app-web.statementrec.com/app#appuploadfiles/3a212fc8-6233-861a-ae99-1b5817e002bd" TargetMode="External"/><Relationship Id="rId3718" Type="http://schemas.openxmlformats.org/officeDocument/2006/relationships/hyperlink" Target="https://app-web.statementrec.com/app#appuploadfiles/3a212fcc-b9f1-bf4e-e1c7-8404d2d79a46" TargetMode="External"/><Relationship Id="rId3719" Type="http://schemas.openxmlformats.org/officeDocument/2006/relationships/hyperlink" Target="https://app-web.statementrec.com/app#appuploadfiles/3a212fd9-7645-5d58-fd4c-ba8ea7e50b9b" TargetMode="External"/><Relationship Id="rId3720" Type="http://schemas.openxmlformats.org/officeDocument/2006/relationships/hyperlink" Target="https://app-web.statementrec.com/app#appuploadfiles/3a212fe6-2009-ea2f-5993-5135426fd62e" TargetMode="External"/><Relationship Id="rId3721" Type="http://schemas.openxmlformats.org/officeDocument/2006/relationships/hyperlink" Target="https://app-web.statementrec.com/app#appuploadfiles/3a21300c-c795-77da-59b0-578d1e57faee" TargetMode="External"/><Relationship Id="rId3722" Type="http://schemas.openxmlformats.org/officeDocument/2006/relationships/hyperlink" Target="https://app-web.statementrec.com/app#appuploadfiles/3a21305b-509d-5ab1-2fd7-d6d3700db677" TargetMode="External"/><Relationship Id="rId3723" Type="http://schemas.openxmlformats.org/officeDocument/2006/relationships/hyperlink" Target="https://app-web.statementrec.com/app#appuploadfiles/3a21305d-2f7a-af69-0ce5-888b2a3ec5e9" TargetMode="External"/><Relationship Id="rId3724" Type="http://schemas.openxmlformats.org/officeDocument/2006/relationships/hyperlink" Target="https://app-web.statementrec.com/app#appuploadfiles/3a21305f-dc81-7251-2cad-365a87935e34" TargetMode="External"/><Relationship Id="rId3725" Type="http://schemas.openxmlformats.org/officeDocument/2006/relationships/hyperlink" Target="https://app-web.statementrec.com/app#appuploadfiles/3a21307b-c5ca-a9fc-db08-b48e15cc5d0f" TargetMode="External"/><Relationship Id="rId3726" Type="http://schemas.openxmlformats.org/officeDocument/2006/relationships/hyperlink" Target="https://app-web.statementrec.com/app#appuploadfiles/3a2130a7-f0dd-1d07-a143-2fa59fdb0007" TargetMode="External"/><Relationship Id="rId3727" Type="http://schemas.openxmlformats.org/officeDocument/2006/relationships/hyperlink" Target="https://app-web.statementrec.com/app#appuploadfiles/3a2130ef-8148-f7e1-5a9f-13940cb9d21d" TargetMode="External"/><Relationship Id="rId3728" Type="http://schemas.openxmlformats.org/officeDocument/2006/relationships/hyperlink" Target="https://app-web.statementrec.com/app#appuploadfiles/3a213115-f2fd-6545-c9df-4845850d5e6a" TargetMode="External"/><Relationship Id="rId3729" Type="http://schemas.openxmlformats.org/officeDocument/2006/relationships/hyperlink" Target="https://app-web.statementrec.com/app#appuploadfiles/3a213122-0c9d-1438-1036-920166c3c0c2" TargetMode="External"/><Relationship Id="rId3730" Type="http://schemas.openxmlformats.org/officeDocument/2006/relationships/hyperlink" Target="https://app-web.statementrec.com/app#appuploadfiles/3a213132-2e27-b443-9731-6287d0535dac" TargetMode="External"/><Relationship Id="rId3731" Type="http://schemas.openxmlformats.org/officeDocument/2006/relationships/hyperlink" Target="https://app-web.statementrec.com/app#appuploadfiles/3a213166-97b8-5a8c-e28d-56b89b11390c" TargetMode="External"/><Relationship Id="rId3732" Type="http://schemas.openxmlformats.org/officeDocument/2006/relationships/hyperlink" Target="https://app-web.statementrec.com/app#appuploadfiles/3a21316c-6430-3441-5634-631b7685ecf1" TargetMode="External"/><Relationship Id="rId3733" Type="http://schemas.openxmlformats.org/officeDocument/2006/relationships/hyperlink" Target="https://app-web.statementrec.com/app#appuploadfiles/3a21316f-9aef-c63a-5841-052f73fae086" TargetMode="External"/><Relationship Id="rId3734" Type="http://schemas.openxmlformats.org/officeDocument/2006/relationships/hyperlink" Target="https://app-web.statementrec.com/app#appuploadfiles/3a213175-5891-edb5-88a6-1e618f76755a" TargetMode="External"/><Relationship Id="rId3735" Type="http://schemas.openxmlformats.org/officeDocument/2006/relationships/hyperlink" Target="https://app-web.statementrec.com/app#appuploadfiles/3a213178-1d8c-ea1e-1789-c846d9e7f19e" TargetMode="External"/><Relationship Id="rId3736" Type="http://schemas.openxmlformats.org/officeDocument/2006/relationships/hyperlink" Target="https://app-web.statementrec.com/app#appuploadfiles/3a213203-083b-d0f8-1476-7a6487b65012" TargetMode="External"/><Relationship Id="rId3737" Type="http://schemas.openxmlformats.org/officeDocument/2006/relationships/hyperlink" Target="https://app-web.statementrec.com/app#appuploadfiles/3a213261-29a2-c8b1-c4dd-bff245c620b0" TargetMode="External"/><Relationship Id="rId3738" Type="http://schemas.openxmlformats.org/officeDocument/2006/relationships/hyperlink" Target="https://app-web.statementrec.com/app#appuploadfiles/3a21326d-54c0-50fa-0391-4c5a17256151" TargetMode="External"/><Relationship Id="rId3739" Type="http://schemas.openxmlformats.org/officeDocument/2006/relationships/hyperlink" Target="https://app-web.statementrec.com/app#appuploadfiles/3a213272-3b1c-0573-21de-b37201e46687" TargetMode="External"/><Relationship Id="rId3740" Type="http://schemas.openxmlformats.org/officeDocument/2006/relationships/hyperlink" Target="https://app-web.statementrec.com/app#appuploadfiles/3a213274-2dc2-fb1f-2825-c6dc3115fdb0" TargetMode="External"/><Relationship Id="rId3741" Type="http://schemas.openxmlformats.org/officeDocument/2006/relationships/hyperlink" Target="https://app-web.statementrec.com/app#appuploadfiles/3a213276-187a-a027-ad0f-f46f004d9e3b" TargetMode="External"/><Relationship Id="rId3742" Type="http://schemas.openxmlformats.org/officeDocument/2006/relationships/hyperlink" Target="https://app-web.statementrec.com/app#appuploadfiles/3a213284-a67f-25b5-611b-43688104bd5b" TargetMode="External"/><Relationship Id="rId3743" Type="http://schemas.openxmlformats.org/officeDocument/2006/relationships/hyperlink" Target="https://app-web.statementrec.com/app#appuploadfiles/3a213285-aaa4-626b-3de9-6a2f954a3cfe" TargetMode="External"/><Relationship Id="rId3744" Type="http://schemas.openxmlformats.org/officeDocument/2006/relationships/hyperlink" Target="https://app-web.statementrec.com/app#appuploadfiles/3a21328a-3259-b74c-5875-69e3b14f0c4d" TargetMode="External"/><Relationship Id="rId3745" Type="http://schemas.openxmlformats.org/officeDocument/2006/relationships/hyperlink" Target="https://app-web.statementrec.com/app#appuploadfiles/3a21329b-9afb-1b61-1026-bfaf77625e2b" TargetMode="External"/><Relationship Id="rId3746" Type="http://schemas.openxmlformats.org/officeDocument/2006/relationships/hyperlink" Target="https://app-web.statementrec.com/app#appuploadfiles/3a21329c-0efb-b5f3-e4a2-5b71618c3933" TargetMode="External"/><Relationship Id="rId3747" Type="http://schemas.openxmlformats.org/officeDocument/2006/relationships/hyperlink" Target="https://app-web.statementrec.com/app#appuploadfiles/3a21329e-513a-acda-4fd9-8e7564896d7f" TargetMode="External"/><Relationship Id="rId3748" Type="http://schemas.openxmlformats.org/officeDocument/2006/relationships/hyperlink" Target="https://app-web.statementrec.com/app#appuploadfiles/3a21329e-fb8f-b154-f683-42198a44dab5" TargetMode="External"/><Relationship Id="rId3749" Type="http://schemas.openxmlformats.org/officeDocument/2006/relationships/hyperlink" Target="https://app-web.statementrec.com/app#appuploadfiles/3a2132a0-32e4-0fac-252b-1ed6e3f43497" TargetMode="External"/><Relationship Id="rId3750" Type="http://schemas.openxmlformats.org/officeDocument/2006/relationships/hyperlink" Target="https://app-web.statementrec.com/app#appuploadfiles/3a2132b4-8d14-e85b-648f-fdba30fd7221" TargetMode="External"/><Relationship Id="rId3751" Type="http://schemas.openxmlformats.org/officeDocument/2006/relationships/hyperlink" Target="https://app-web.statementrec.com/app#appuploadfiles/3a2132c1-b3fb-bfd3-72f6-574bc4dc1047" TargetMode="External"/><Relationship Id="rId3752" Type="http://schemas.openxmlformats.org/officeDocument/2006/relationships/hyperlink" Target="https://app-web.statementrec.com/app#appuploadfiles/3a2132c6-12e2-ddf3-6860-15de820412ad" TargetMode="External"/><Relationship Id="rId3753" Type="http://schemas.openxmlformats.org/officeDocument/2006/relationships/hyperlink" Target="https://app-web.statementrec.com/app#appuploadfiles/3a2132cb-c7da-f9fb-24d6-880d53604c80" TargetMode="External"/><Relationship Id="rId3754" Type="http://schemas.openxmlformats.org/officeDocument/2006/relationships/hyperlink" Target="https://app-web.statementrec.com/app#appuploadfiles/3a2132e1-ed5f-4734-1bfc-0cc493c067be" TargetMode="External"/><Relationship Id="rId3755" Type="http://schemas.openxmlformats.org/officeDocument/2006/relationships/hyperlink" Target="https://app-web.statementrec.com/app#appuploadfiles/3a2132e9-8ee4-0a6c-17f2-590f967204c7" TargetMode="External"/><Relationship Id="rId3756" Type="http://schemas.openxmlformats.org/officeDocument/2006/relationships/hyperlink" Target="https://app-web.statementrec.com/app#appuploadfiles/3a213307-db12-4aba-f0f0-8bb9188820eb" TargetMode="External"/><Relationship Id="rId3757" Type="http://schemas.openxmlformats.org/officeDocument/2006/relationships/hyperlink" Target="https://app-web.statementrec.com/app#appuploadfiles/3a21330c-8fec-b1c9-07ae-481bbad84ad3" TargetMode="External"/><Relationship Id="rId3758" Type="http://schemas.openxmlformats.org/officeDocument/2006/relationships/hyperlink" Target="https://app-web.statementrec.com/app#appuploadfiles/3a213319-1bef-24aa-074f-34a39d8cf91b" TargetMode="External"/><Relationship Id="rId3759" Type="http://schemas.openxmlformats.org/officeDocument/2006/relationships/hyperlink" Target="https://app-web.statementrec.com/app#appuploadfiles/3a21331a-a892-4024-29f9-0e7d35afae50" TargetMode="External"/><Relationship Id="rId3760" Type="http://schemas.openxmlformats.org/officeDocument/2006/relationships/hyperlink" Target="https://app-web.statementrec.com/app#appuploadfiles/3a213321-9c4f-31eb-d8a4-e41942cbf903" TargetMode="External"/><Relationship Id="rId3761" Type="http://schemas.openxmlformats.org/officeDocument/2006/relationships/hyperlink" Target="https://app-web.statementrec.com/app#appuploadfiles/3a213321-a98c-59fc-9890-865c520e7527" TargetMode="External"/><Relationship Id="rId3762" Type="http://schemas.openxmlformats.org/officeDocument/2006/relationships/hyperlink" Target="https://app-web.statementrec.com/app#appuploadfiles/3a213339-3833-7d28-ccd9-c9dfb31d529a" TargetMode="External"/><Relationship Id="rId3763" Type="http://schemas.openxmlformats.org/officeDocument/2006/relationships/hyperlink" Target="https://app-web.statementrec.com/app#appuploadfiles/3a213339-4943-5fd1-fdd1-6092da190a5d" TargetMode="External"/><Relationship Id="rId3764" Type="http://schemas.openxmlformats.org/officeDocument/2006/relationships/hyperlink" Target="https://app-web.statementrec.com/app#appuploadfiles/3a21333a-3fe6-b62f-29b4-9bac7fce197e" TargetMode="External"/><Relationship Id="rId3765" Type="http://schemas.openxmlformats.org/officeDocument/2006/relationships/hyperlink" Target="https://app-web.statementrec.com/app#appuploadfiles/3a21333c-290c-d67c-2edb-57a4c2997bde" TargetMode="External"/><Relationship Id="rId3766" Type="http://schemas.openxmlformats.org/officeDocument/2006/relationships/hyperlink" Target="https://app-web.statementrec.com/app#appuploadfiles/3a21333c-af27-9d3a-8bb2-d368f8a74916" TargetMode="External"/><Relationship Id="rId3767" Type="http://schemas.openxmlformats.org/officeDocument/2006/relationships/hyperlink" Target="https://app-web.statementrec.com/app#appuploadfiles/3a21333e-f3e9-0c0d-7c12-3e4e4829a6ff" TargetMode="External"/><Relationship Id="rId3768" Type="http://schemas.openxmlformats.org/officeDocument/2006/relationships/hyperlink" Target="https://app-web.statementrec.com/app#appuploadfiles/3a213340-f071-07b3-64f4-51a172e49f3e" TargetMode="External"/><Relationship Id="rId3769" Type="http://schemas.openxmlformats.org/officeDocument/2006/relationships/hyperlink" Target="https://app-web.statementrec.com/app#appuploadfiles/3a213343-9b52-fe86-ad90-6d4aa333d589" TargetMode="External"/><Relationship Id="rId3770" Type="http://schemas.openxmlformats.org/officeDocument/2006/relationships/hyperlink" Target="https://app-web.statementrec.com/app#appuploadfiles/3a213344-cbd8-41ee-35e5-8370032520dd" TargetMode="External"/><Relationship Id="rId3771" Type="http://schemas.openxmlformats.org/officeDocument/2006/relationships/hyperlink" Target="https://app-web.statementrec.com/app#appuploadfiles/3a213352-cead-9ee3-b43e-0574c82c5ee6" TargetMode="External"/><Relationship Id="rId3772" Type="http://schemas.openxmlformats.org/officeDocument/2006/relationships/hyperlink" Target="https://app-web.statementrec.com/app#appuploadfiles/3a213356-13b4-aa3c-04f7-6986488cc7e0" TargetMode="External"/><Relationship Id="rId3773" Type="http://schemas.openxmlformats.org/officeDocument/2006/relationships/hyperlink" Target="https://app-web.statementrec.com/app#appuploadfiles/3a21335b-a42f-b551-f28b-b993fa25d87b" TargetMode="External"/><Relationship Id="rId3774" Type="http://schemas.openxmlformats.org/officeDocument/2006/relationships/hyperlink" Target="https://app-web.statementrec.com/app#appuploadfiles/3a213362-3807-2c6f-b7bd-02d441b0a4c0" TargetMode="External"/><Relationship Id="rId3775" Type="http://schemas.openxmlformats.org/officeDocument/2006/relationships/hyperlink" Target="https://app-web.statementrec.com/app#appuploadfiles/3a213362-a307-bf79-afb7-a53d392211a6" TargetMode="External"/><Relationship Id="rId3776" Type="http://schemas.openxmlformats.org/officeDocument/2006/relationships/hyperlink" Target="https://app-web.statementrec.com/app#appuploadfiles/3a213364-95b8-b84e-11ea-a729cd51dd8c" TargetMode="External"/><Relationship Id="rId3777" Type="http://schemas.openxmlformats.org/officeDocument/2006/relationships/hyperlink" Target="https://app-web.statementrec.com/app#appuploadfiles/3a213377-1c10-2726-1957-4fc23628da5c" TargetMode="External"/><Relationship Id="rId3778" Type="http://schemas.openxmlformats.org/officeDocument/2006/relationships/hyperlink" Target="https://app-web.statementrec.com/app#appuploadfiles/3a21337a-99f9-e8c8-dd3c-a99a956fbfb9" TargetMode="External"/><Relationship Id="rId3779" Type="http://schemas.openxmlformats.org/officeDocument/2006/relationships/hyperlink" Target="https://app-web.statementrec.com/app#appuploadfiles/3a213380-4b07-e6b4-a451-632f44f3b996" TargetMode="External"/><Relationship Id="rId3780" Type="http://schemas.openxmlformats.org/officeDocument/2006/relationships/hyperlink" Target="https://app-web.statementrec.com/app#appuploadfiles/3a213385-2922-0e6f-7ca8-94ed489f86d7" TargetMode="External"/><Relationship Id="rId3781" Type="http://schemas.openxmlformats.org/officeDocument/2006/relationships/hyperlink" Target="https://app-web.statementrec.com/app#appuploadfiles/3a213391-a8f9-fd5f-3c59-f885fcb76ecc" TargetMode="External"/><Relationship Id="rId3782" Type="http://schemas.openxmlformats.org/officeDocument/2006/relationships/hyperlink" Target="https://app-web.statementrec.com/app#appuploadfiles/3a213395-835b-f446-0f62-8fad8a34d7c3" TargetMode="External"/><Relationship Id="rId3783" Type="http://schemas.openxmlformats.org/officeDocument/2006/relationships/hyperlink" Target="https://app-web.statementrec.com/app#appuploadfiles/3a213396-4216-1f13-ad7e-ffe4c29510a8" TargetMode="External"/><Relationship Id="rId3784" Type="http://schemas.openxmlformats.org/officeDocument/2006/relationships/hyperlink" Target="https://app-web.statementrec.com/app#appuploadfiles/3a21339b-8414-03e8-6f91-06f2c206b4fa" TargetMode="External"/><Relationship Id="rId3785" Type="http://schemas.openxmlformats.org/officeDocument/2006/relationships/hyperlink" Target="https://app-web.statementrec.com/app#appuploadfiles/3a21339d-800c-d55e-ff97-ec4b494c704d" TargetMode="External"/><Relationship Id="rId3786" Type="http://schemas.openxmlformats.org/officeDocument/2006/relationships/hyperlink" Target="https://app-web.statementrec.com/app#appuploadfiles/3a21339f-dce0-c88a-c7da-f95cd8c0fc1c" TargetMode="External"/><Relationship Id="rId3787" Type="http://schemas.openxmlformats.org/officeDocument/2006/relationships/hyperlink" Target="https://app-web.statementrec.com/app#appuploadfiles/3a2133a2-5c0a-5268-07b3-89f703287c00" TargetMode="External"/><Relationship Id="rId3788" Type="http://schemas.openxmlformats.org/officeDocument/2006/relationships/hyperlink" Target="https://app-web.statementrec.com/app#appuploadfiles/3a2133b1-a9b4-49e1-32fa-3978ae8418ba" TargetMode="External"/><Relationship Id="rId3789" Type="http://schemas.openxmlformats.org/officeDocument/2006/relationships/hyperlink" Target="https://app-web.statementrec.com/app#appuploadfiles/3a2133b4-05d9-6736-9b3e-c9f9182b013d" TargetMode="External"/><Relationship Id="rId3790" Type="http://schemas.openxmlformats.org/officeDocument/2006/relationships/hyperlink" Target="https://app-web.statementrec.com/app#appuploadfiles/3a2133b4-7ed5-bc98-3e55-3a7a45e00ba7" TargetMode="External"/><Relationship Id="rId3791" Type="http://schemas.openxmlformats.org/officeDocument/2006/relationships/hyperlink" Target="https://app-web.statementrec.com/app#appuploadfiles/3a2133c1-ddff-5d73-062c-1ddc302cd7c2" TargetMode="External"/><Relationship Id="rId3792" Type="http://schemas.openxmlformats.org/officeDocument/2006/relationships/hyperlink" Target="https://app-web.statementrec.com/app#appuploadfiles/3a2133c2-9cde-88e1-81ed-9d59e1143b41" TargetMode="External"/><Relationship Id="rId3793" Type="http://schemas.openxmlformats.org/officeDocument/2006/relationships/hyperlink" Target="https://app-web.statementrec.com/app#appuploadfiles/3a2133c8-91b3-d60d-6530-1724907145bf" TargetMode="External"/><Relationship Id="rId3794" Type="http://schemas.openxmlformats.org/officeDocument/2006/relationships/hyperlink" Target="https://app-web.statementrec.com/app#appuploadfiles/3a2133ca-daca-5462-bd8e-0b34d6663f5e" TargetMode="External"/><Relationship Id="rId3795" Type="http://schemas.openxmlformats.org/officeDocument/2006/relationships/hyperlink" Target="https://app-web.statementrec.com/app#appuploadfiles/3a2133de-930d-8a4a-9ac4-45130f5625fe" TargetMode="External"/><Relationship Id="rId3796" Type="http://schemas.openxmlformats.org/officeDocument/2006/relationships/hyperlink" Target="https://app-web.statementrec.com/app#appuploadfiles/3a2133e2-383c-eb87-5407-a330db02a1fa" TargetMode="External"/><Relationship Id="rId3797" Type="http://schemas.openxmlformats.org/officeDocument/2006/relationships/hyperlink" Target="https://app-web.statementrec.com/app#appuploadfiles/3a2133e5-a006-bd50-45a7-72a30baa6e2a" TargetMode="External"/><Relationship Id="rId3798" Type="http://schemas.openxmlformats.org/officeDocument/2006/relationships/hyperlink" Target="https://app-web.statementrec.com/app#appuploadfiles/3a2133ed-625c-b471-1909-8c7e203c20b2" TargetMode="External"/><Relationship Id="rId3799" Type="http://schemas.openxmlformats.org/officeDocument/2006/relationships/hyperlink" Target="https://app-web.statementrec.com/app#appuploadfiles/3a213401-bec4-f92a-d570-86056043f233" TargetMode="External"/><Relationship Id="rId3800" Type="http://schemas.openxmlformats.org/officeDocument/2006/relationships/hyperlink" Target="https://app-web.statementrec.com/app#appuploadfiles/3a213409-ddd1-10fe-3c12-82ed16452597" TargetMode="External"/><Relationship Id="rId3801" Type="http://schemas.openxmlformats.org/officeDocument/2006/relationships/hyperlink" Target="https://app-web.statementrec.com/app#appuploadfiles/3a21340f-56fa-f921-0d7e-8f1bf1f0ffec" TargetMode="External"/><Relationship Id="rId3802" Type="http://schemas.openxmlformats.org/officeDocument/2006/relationships/hyperlink" Target="https://app-web.statementrec.com/app#appuploadfiles/3a213410-7834-928e-99bf-36048708f30a" TargetMode="External"/><Relationship Id="rId3803" Type="http://schemas.openxmlformats.org/officeDocument/2006/relationships/hyperlink" Target="https://app-web.statementrec.com/app#appuploadfiles/3a213421-3776-487f-fe15-4b54d8e6bea1" TargetMode="External"/><Relationship Id="rId3804" Type="http://schemas.openxmlformats.org/officeDocument/2006/relationships/hyperlink" Target="https://app-web.statementrec.com/app#appuploadfiles/3a213422-0088-856d-3537-7ccdcfcc490d" TargetMode="External"/><Relationship Id="rId3805" Type="http://schemas.openxmlformats.org/officeDocument/2006/relationships/hyperlink" Target="https://app-web.statementrec.com/app#appuploadfiles/3a21342c-c2a2-8666-bbcc-458c943f2a5c" TargetMode="External"/><Relationship Id="rId3806" Type="http://schemas.openxmlformats.org/officeDocument/2006/relationships/hyperlink" Target="https://app-web.statementrec.com/app#appuploadfiles/3a21342d-328c-a5e2-97b6-3ca0834fb16a" TargetMode="External"/><Relationship Id="rId3807" Type="http://schemas.openxmlformats.org/officeDocument/2006/relationships/hyperlink" Target="https://app-web.statementrec.com/app#appuploadfiles/3a21342d-79b9-5620-2b96-19b8d7fdfbd6" TargetMode="External"/><Relationship Id="rId3808" Type="http://schemas.openxmlformats.org/officeDocument/2006/relationships/hyperlink" Target="https://app-web.statementrec.com/app#appuploadfiles/3a213432-1556-af09-aa80-00e84dd60070" TargetMode="External"/><Relationship Id="rId3809" Type="http://schemas.openxmlformats.org/officeDocument/2006/relationships/hyperlink" Target="https://app-web.statementrec.com/app#appuploadfiles/3a213446-591f-8a7b-09bc-45f671edb3c7" TargetMode="External"/><Relationship Id="rId3810" Type="http://schemas.openxmlformats.org/officeDocument/2006/relationships/hyperlink" Target="https://app-web.statementrec.com/app#appuploadfiles/3a213458-3288-94ea-de06-62c46fc09e18" TargetMode="External"/><Relationship Id="rId3811" Type="http://schemas.openxmlformats.org/officeDocument/2006/relationships/hyperlink" Target="https://app-web.statementrec.com/app#appuploadfiles/3a213470-e01e-8762-5633-b1ec8041c418" TargetMode="External"/><Relationship Id="rId3812" Type="http://schemas.openxmlformats.org/officeDocument/2006/relationships/hyperlink" Target="https://app-web.statementrec.com/app#appuploadfiles/3a213489-36b8-0105-a8f1-08e7ff7b24f3" TargetMode="External"/><Relationship Id="rId3813" Type="http://schemas.openxmlformats.org/officeDocument/2006/relationships/hyperlink" Target="https://app-web.statementrec.com/app#appuploadfiles/3a213489-ed70-5110-b179-ea1530bd9074" TargetMode="External"/><Relationship Id="rId3814" Type="http://schemas.openxmlformats.org/officeDocument/2006/relationships/hyperlink" Target="https://app-web.statementrec.com/app#appuploadfiles/3a21348a-526c-c830-c6a0-3953f6703755" TargetMode="External"/><Relationship Id="rId3815" Type="http://schemas.openxmlformats.org/officeDocument/2006/relationships/hyperlink" Target="https://app-web.statementrec.com/app#appuploadfiles/3a21348a-b1a7-3d89-f67b-2c374447f52e" TargetMode="External"/><Relationship Id="rId3816" Type="http://schemas.openxmlformats.org/officeDocument/2006/relationships/hyperlink" Target="https://app-web.statementrec.com/app#appuploadfiles/3a21348b-1e99-efda-204d-3db26bef4ad3" TargetMode="External"/><Relationship Id="rId3817" Type="http://schemas.openxmlformats.org/officeDocument/2006/relationships/hyperlink" Target="https://app-web.statementrec.com/app#appuploadfiles/3a21348b-7199-9b59-b290-343435ed367a" TargetMode="External"/><Relationship Id="rId3818" Type="http://schemas.openxmlformats.org/officeDocument/2006/relationships/hyperlink" Target="https://app-web.statementrec.com/app#appuploadfiles/3a213494-0509-a926-b54d-49df07d2d36c" TargetMode="External"/><Relationship Id="rId3819" Type="http://schemas.openxmlformats.org/officeDocument/2006/relationships/hyperlink" Target="https://app-web.statementrec.com/app#appuploadfiles/3a2134cd-a968-1ddf-2673-d1d768ef46a3" TargetMode="External"/><Relationship Id="rId3820" Type="http://schemas.openxmlformats.org/officeDocument/2006/relationships/hyperlink" Target="https://app-web.statementrec.com/app#appuploadfiles/3a2134d5-ae43-bc6c-d779-158c67690923" TargetMode="External"/><Relationship Id="rId3821" Type="http://schemas.openxmlformats.org/officeDocument/2006/relationships/hyperlink" Target="https://app-web.statementrec.com/app#appuploadfiles/3a2134e0-0b66-b14a-7f94-5a43139f4476" TargetMode="External"/><Relationship Id="rId3822" Type="http://schemas.openxmlformats.org/officeDocument/2006/relationships/hyperlink" Target="https://app-web.statementrec.com/app#appuploadfiles/3a2134e5-05b4-9882-67b5-d26882cc205b" TargetMode="External"/><Relationship Id="rId3823" Type="http://schemas.openxmlformats.org/officeDocument/2006/relationships/hyperlink" Target="https://app-web.statementrec.com/app#appuploadfiles/3a2134e6-0a94-16c5-db61-2d507ddaa4cf" TargetMode="External"/><Relationship Id="rId3824" Type="http://schemas.openxmlformats.org/officeDocument/2006/relationships/hyperlink" Target="https://app-web.statementrec.com/app#appuploadfiles/3a2134f6-af89-5d42-ff61-ba6eef5620bb" TargetMode="External"/><Relationship Id="rId3825" Type="http://schemas.openxmlformats.org/officeDocument/2006/relationships/hyperlink" Target="https://app-web.statementrec.com/app#appuploadfiles/3a213503-4e2b-d71c-7285-6bc51ef54be8" TargetMode="External"/><Relationship Id="rId3826" Type="http://schemas.openxmlformats.org/officeDocument/2006/relationships/hyperlink" Target="https://app-web.statementrec.com/app#appuploadfiles/3a213535-b6c9-86d5-a329-1130714b078f" TargetMode="External"/><Relationship Id="rId3827" Type="http://schemas.openxmlformats.org/officeDocument/2006/relationships/hyperlink" Target="https://app-web.statementrec.com/app#appuploadfiles/3a213547-208a-d97e-a0f4-d1a2eb5d82f2" TargetMode="External"/><Relationship Id="rId3828" Type="http://schemas.openxmlformats.org/officeDocument/2006/relationships/hyperlink" Target="https://app-web.statementrec.com/app#appuploadfiles/3a213549-e194-a21e-90aa-2f0d74997d51" TargetMode="External"/><Relationship Id="rId3829" Type="http://schemas.openxmlformats.org/officeDocument/2006/relationships/hyperlink" Target="https://app-web.statementrec.com/app#appuploadfiles/3a2135c1-a0aa-84e3-70ec-8b6c626b242f" TargetMode="External"/><Relationship Id="rId3830" Type="http://schemas.openxmlformats.org/officeDocument/2006/relationships/hyperlink" Target="https://app-web.statementrec.com/app#appuploadfiles/3a21361a-2330-49a2-d1e2-d0bf7f0bb67c" TargetMode="External"/><Relationship Id="rId3831" Type="http://schemas.openxmlformats.org/officeDocument/2006/relationships/hyperlink" Target="https://app-web.statementrec.com/app#appuploadfiles/3a2136a4-e950-571b-1247-b06ad71dbbe0" TargetMode="External"/><Relationship Id="rId3832" Type="http://schemas.openxmlformats.org/officeDocument/2006/relationships/hyperlink" Target="https://app-web.statementrec.com/app#appuploadfiles/3a213742-c934-9297-8dd1-6ca4ed7b5093" TargetMode="External"/><Relationship Id="rId3833" Type="http://schemas.openxmlformats.org/officeDocument/2006/relationships/hyperlink" Target="https://app-web.statementrec.com/app#appuploadfiles/3a213782-df7f-3808-7174-b54dc6d168dc" TargetMode="External"/><Relationship Id="rId3834" Type="http://schemas.openxmlformats.org/officeDocument/2006/relationships/hyperlink" Target="https://app-web.statementrec.com/app#appuploadfiles/3a213785-7086-9675-57d3-a9ef418956ee" TargetMode="External"/><Relationship Id="rId3835" Type="http://schemas.openxmlformats.org/officeDocument/2006/relationships/hyperlink" Target="https://app-web.statementrec.com/app#appuploadfiles/3a213791-655b-353e-6b9f-68cd7957d91b" TargetMode="External"/><Relationship Id="rId3836" Type="http://schemas.openxmlformats.org/officeDocument/2006/relationships/hyperlink" Target="https://app-web.statementrec.com/app#appuploadfiles/3a21379a-1a2a-0621-4560-a9ba627f6a0e" TargetMode="External"/><Relationship Id="rId3837" Type="http://schemas.openxmlformats.org/officeDocument/2006/relationships/hyperlink" Target="https://app-web.statementrec.com/app#appuploadfiles/3a21379e-d0a6-878f-c5d1-a9d70dbb9ec0" TargetMode="External"/><Relationship Id="rId3838" Type="http://schemas.openxmlformats.org/officeDocument/2006/relationships/hyperlink" Target="https://app-web.statementrec.com/app#appuploadfiles/3a2137a5-b9f4-5a68-d9a4-aa5d0c133bf7" TargetMode="External"/><Relationship Id="rId3839" Type="http://schemas.openxmlformats.org/officeDocument/2006/relationships/hyperlink" Target="https://app-web.statementrec.com/app#appuploadfiles/3a2137b0-8300-d3a8-769d-aaf63095a2fc" TargetMode="External"/><Relationship Id="rId3840" Type="http://schemas.openxmlformats.org/officeDocument/2006/relationships/hyperlink" Target="https://app-web.statementrec.com/app#appuploadfiles/3a2137b4-07a4-7ed5-d278-c959abb4e9e7" TargetMode="External"/><Relationship Id="rId3841" Type="http://schemas.openxmlformats.org/officeDocument/2006/relationships/hyperlink" Target="https://app-web.statementrec.com/app#appuploadfiles/3a2137b8-29e9-8d6c-0f79-e9d1962f4660" TargetMode="External"/><Relationship Id="rId3842" Type="http://schemas.openxmlformats.org/officeDocument/2006/relationships/hyperlink" Target="https://app-web.statementrec.com/app#appuploadfiles/3a2137cc-5d21-9c1e-9cbc-90f2c0cc8400" TargetMode="External"/><Relationship Id="rId3843" Type="http://schemas.openxmlformats.org/officeDocument/2006/relationships/hyperlink" Target="https://app-web.statementrec.com/app#appuploadfiles/3a2137cc-634c-b3f2-b2bd-74aeaec0b674" TargetMode="External"/><Relationship Id="rId3844" Type="http://schemas.openxmlformats.org/officeDocument/2006/relationships/hyperlink" Target="https://app-web.statementrec.com/app#appuploadfiles/3a2137cc-89f3-72f5-bfde-1fb79b4173e7" TargetMode="External"/><Relationship Id="rId3845" Type="http://schemas.openxmlformats.org/officeDocument/2006/relationships/hyperlink" Target="https://app-web.statementrec.com/app#appuploadfiles/3a2137ce-3baf-1cd2-68bc-2f95545c71c3" TargetMode="External"/><Relationship Id="rId3846" Type="http://schemas.openxmlformats.org/officeDocument/2006/relationships/hyperlink" Target="https://app-web.statementrec.com/app#appuploadfiles/3a2137d4-30da-6b56-8f10-d6fc31ca35c2" TargetMode="External"/><Relationship Id="rId3847" Type="http://schemas.openxmlformats.org/officeDocument/2006/relationships/hyperlink" Target="https://app-web.statementrec.com/app#appuploadfiles/3a2137e0-4b33-c1de-61b3-a96e32b83085" TargetMode="External"/><Relationship Id="rId3848" Type="http://schemas.openxmlformats.org/officeDocument/2006/relationships/hyperlink" Target="https://app-web.statementrec.com/app#appuploadfiles/3a2137e1-97c9-77a1-50bd-108f4254fd7c" TargetMode="External"/><Relationship Id="rId3849" Type="http://schemas.openxmlformats.org/officeDocument/2006/relationships/hyperlink" Target="https://app-web.statementrec.com/app#appuploadfiles/3a2137e2-d7a5-9b22-8545-339608fc19b6" TargetMode="External"/><Relationship Id="rId3850" Type="http://schemas.openxmlformats.org/officeDocument/2006/relationships/hyperlink" Target="https://app-web.statementrec.com/app#appuploadfiles/3a2137ee-abe2-e8c2-77da-dedbb273be44" TargetMode="External"/><Relationship Id="rId3851" Type="http://schemas.openxmlformats.org/officeDocument/2006/relationships/hyperlink" Target="https://app-web.statementrec.com/app#appuploadfiles/3a2137ef-bb02-e4f8-1856-683740f8f734" TargetMode="External"/><Relationship Id="rId3852" Type="http://schemas.openxmlformats.org/officeDocument/2006/relationships/hyperlink" Target="https://app-web.statementrec.com/app#appuploadfiles/3a2137f3-9fbb-e316-7a65-5ea6baeea2a3" TargetMode="External"/><Relationship Id="rId3853" Type="http://schemas.openxmlformats.org/officeDocument/2006/relationships/hyperlink" Target="https://app-web.statementrec.com/app#appuploadfiles/3a2137f8-a1bf-4b50-886a-bba248070c5b" TargetMode="External"/><Relationship Id="rId3854" Type="http://schemas.openxmlformats.org/officeDocument/2006/relationships/hyperlink" Target="https://app-web.statementrec.com/app#appuploadfiles/3a2137fc-be98-d00c-ffbb-3b2b736f3e7e" TargetMode="External"/><Relationship Id="rId3855" Type="http://schemas.openxmlformats.org/officeDocument/2006/relationships/hyperlink" Target="https://app-web.statementrec.com/app#appuploadfiles/3a2137ff-834b-8a66-a68d-4badd3b5848c" TargetMode="External"/><Relationship Id="rId3856" Type="http://schemas.openxmlformats.org/officeDocument/2006/relationships/hyperlink" Target="https://app-web.statementrec.com/app#appuploadfiles/3a213817-7939-141a-aa46-47a4dceba0fb" TargetMode="External"/><Relationship Id="rId3857" Type="http://schemas.openxmlformats.org/officeDocument/2006/relationships/hyperlink" Target="https://app-web.statementrec.com/app#appuploadfiles/3a21382b-8f5f-3426-d67f-d54c9c399c40" TargetMode="External"/><Relationship Id="rId3858" Type="http://schemas.openxmlformats.org/officeDocument/2006/relationships/hyperlink" Target="https://app-web.statementrec.com/app#appuploadfiles/3a21383b-841e-72b6-dee2-bb84f183a10e" TargetMode="External"/><Relationship Id="rId3859" Type="http://schemas.openxmlformats.org/officeDocument/2006/relationships/hyperlink" Target="https://app-web.statementrec.com/app#appuploadfiles/3a21383f-2ed6-89c9-234c-b27f5a983ffd" TargetMode="External"/><Relationship Id="rId3860" Type="http://schemas.openxmlformats.org/officeDocument/2006/relationships/hyperlink" Target="https://app-web.statementrec.com/app#appuploadfiles/3a213843-5d65-8c2b-00f2-52bd926e9def" TargetMode="External"/><Relationship Id="rId3861" Type="http://schemas.openxmlformats.org/officeDocument/2006/relationships/hyperlink" Target="https://app-web.statementrec.com/app#appuploadfiles/3a213846-bd40-c524-8ac2-fa4c9440e4eb" TargetMode="External"/><Relationship Id="rId3862" Type="http://schemas.openxmlformats.org/officeDocument/2006/relationships/hyperlink" Target="https://app-web.statementrec.com/app#appuploadfiles/3a21384e-0d42-15fa-314d-754af3bc0ec5" TargetMode="External"/><Relationship Id="rId3863" Type="http://schemas.openxmlformats.org/officeDocument/2006/relationships/hyperlink" Target="https://app-web.statementrec.com/app#appuploadfiles/3a213859-2471-f1cc-ae09-c5941e0f7d5b" TargetMode="External"/><Relationship Id="rId3864" Type="http://schemas.openxmlformats.org/officeDocument/2006/relationships/hyperlink" Target="https://app-web.statementrec.com/app#appuploadfiles/3a21385c-4194-68b3-22f0-f2a86f9b0d7e" TargetMode="External"/><Relationship Id="rId3865" Type="http://schemas.openxmlformats.org/officeDocument/2006/relationships/hyperlink" Target="https://app-web.statementrec.com/app#appuploadfiles/3a213861-016f-24f9-44f6-50fc7696272a" TargetMode="External"/><Relationship Id="rId3866" Type="http://schemas.openxmlformats.org/officeDocument/2006/relationships/hyperlink" Target="https://app-web.statementrec.com/app#appuploadfiles/3a213868-0b80-a564-a205-1f8280b04911" TargetMode="External"/><Relationship Id="rId3867" Type="http://schemas.openxmlformats.org/officeDocument/2006/relationships/hyperlink" Target="https://app-web.statementrec.com/app#appuploadfiles/3a21386a-715b-26ca-771c-0b2a53122254" TargetMode="External"/><Relationship Id="rId3868" Type="http://schemas.openxmlformats.org/officeDocument/2006/relationships/hyperlink" Target="https://app-web.statementrec.com/app#appuploadfiles/3a213871-27fc-2813-9d7c-caee860d9d71" TargetMode="External"/><Relationship Id="rId3869" Type="http://schemas.openxmlformats.org/officeDocument/2006/relationships/hyperlink" Target="https://app-web.statementrec.com/app#appuploadfiles/3a21387c-c802-f517-2e01-6f05aaaf67b5" TargetMode="External"/><Relationship Id="rId3870" Type="http://schemas.openxmlformats.org/officeDocument/2006/relationships/hyperlink" Target="https://app-web.statementrec.com/app#appuploadfiles/3a213881-068c-bc2f-a6dc-e5b0d45a1051" TargetMode="External"/><Relationship Id="rId3871" Type="http://schemas.openxmlformats.org/officeDocument/2006/relationships/hyperlink" Target="https://app-web.statementrec.com/app#appuploadfiles/3a213888-f8aa-3598-af42-ca9bc04f1fc5" TargetMode="External"/><Relationship Id="rId3872" Type="http://schemas.openxmlformats.org/officeDocument/2006/relationships/hyperlink" Target="https://app-web.statementrec.com/app#appuploadfiles/3a213889-d69e-822c-6c8a-d0bebf652d2a" TargetMode="External"/><Relationship Id="rId3873" Type="http://schemas.openxmlformats.org/officeDocument/2006/relationships/hyperlink" Target="https://app-web.statementrec.com/app#appuploadfiles/3a213895-c560-dea2-4b31-ac599c932a60" TargetMode="External"/><Relationship Id="rId3874" Type="http://schemas.openxmlformats.org/officeDocument/2006/relationships/hyperlink" Target="https://app-web.statementrec.com/app#appuploadfiles/3a2138ae-ad4f-4f9b-9943-bf38757d835b" TargetMode="External"/><Relationship Id="rId3875" Type="http://schemas.openxmlformats.org/officeDocument/2006/relationships/hyperlink" Target="https://app-web.statementrec.com/app#appuploadfiles/3a2138b3-c220-daa3-926e-348a3502b45f" TargetMode="External"/><Relationship Id="rId3876" Type="http://schemas.openxmlformats.org/officeDocument/2006/relationships/hyperlink" Target="https://app-web.statementrec.com/app#appuploadfiles/3a2138bc-5373-4ee8-44f0-bf2bc356f1c4" TargetMode="External"/><Relationship Id="rId3877" Type="http://schemas.openxmlformats.org/officeDocument/2006/relationships/hyperlink" Target="https://app-web.statementrec.com/app#appuploadfiles/3a2138c7-b5df-bc71-1175-07ec21a0e59c" TargetMode="External"/><Relationship Id="rId3878" Type="http://schemas.openxmlformats.org/officeDocument/2006/relationships/hyperlink" Target="https://app-web.statementrec.com/app#appuploadfiles/3a2138d2-acf8-a06c-81f9-96701a81d33a" TargetMode="External"/><Relationship Id="rId3879" Type="http://schemas.openxmlformats.org/officeDocument/2006/relationships/hyperlink" Target="https://app-web.statementrec.com/app#appuploadfiles/3a2138d8-4c5a-7e62-f526-52e6de7505bf" TargetMode="External"/><Relationship Id="rId3880" Type="http://schemas.openxmlformats.org/officeDocument/2006/relationships/hyperlink" Target="https://app-web.statementrec.com/app#appuploadfiles/3a2138e8-9d1e-fcbb-6200-39c66a2405c5" TargetMode="External"/><Relationship Id="rId3881" Type="http://schemas.openxmlformats.org/officeDocument/2006/relationships/hyperlink" Target="https://app-web.statementrec.com/app#appuploadfiles/3a213900-a8bd-46f3-7938-f9819f5c0718" TargetMode="External"/><Relationship Id="rId3882" Type="http://schemas.openxmlformats.org/officeDocument/2006/relationships/hyperlink" Target="https://app-web.statementrec.com/app#appuploadfiles/3a213901-5a25-39c7-2f01-0db4e3b9d841" TargetMode="External"/><Relationship Id="rId3883" Type="http://schemas.openxmlformats.org/officeDocument/2006/relationships/hyperlink" Target="https://app-web.statementrec.com/app#appuploadfiles/3a21390e-38bf-3102-79a3-339db35a9b23" TargetMode="External"/><Relationship Id="rId3884" Type="http://schemas.openxmlformats.org/officeDocument/2006/relationships/hyperlink" Target="https://app-web.statementrec.com/app#appuploadfiles/3a213916-0361-8684-ee4f-a8575edf9b3a" TargetMode="External"/><Relationship Id="rId3885" Type="http://schemas.openxmlformats.org/officeDocument/2006/relationships/hyperlink" Target="https://app-web.statementrec.com/app#appuploadfiles/3a21391d-bbd6-e720-f4dd-a521b6a5c61d" TargetMode="External"/><Relationship Id="rId3886" Type="http://schemas.openxmlformats.org/officeDocument/2006/relationships/hyperlink" Target="https://app-web.statementrec.com/app#appuploadfiles/3a213920-1e99-8c4c-62c1-35a1d4aba63b" TargetMode="External"/><Relationship Id="rId3887" Type="http://schemas.openxmlformats.org/officeDocument/2006/relationships/hyperlink" Target="https://app-web.statementrec.com/app#appuploadfiles/3a21393c-a335-2df3-b9b7-a42a728d791c" TargetMode="External"/><Relationship Id="rId3888" Type="http://schemas.openxmlformats.org/officeDocument/2006/relationships/hyperlink" Target="https://app-web.statementrec.com/app#appuploadfiles/3a213940-e235-2477-f3d5-e484f2e512c4" TargetMode="External"/><Relationship Id="rId3889" Type="http://schemas.openxmlformats.org/officeDocument/2006/relationships/hyperlink" Target="https://app-web.statementrec.com/app#appuploadfiles/3a21394e-02ec-4fe7-2d5c-b6c3151b884c" TargetMode="External"/><Relationship Id="rId3890" Type="http://schemas.openxmlformats.org/officeDocument/2006/relationships/hyperlink" Target="https://app-web.statementrec.com/app#appuploadfiles/3a21394f-30b8-99d0-197a-5bfbe46af72d" TargetMode="External"/><Relationship Id="rId3891" Type="http://schemas.openxmlformats.org/officeDocument/2006/relationships/hyperlink" Target="https://app-web.statementrec.com/app#appuploadfiles/3a21394f-5fab-a5f4-90df-285aba2ed8a4" TargetMode="External"/><Relationship Id="rId3892" Type="http://schemas.openxmlformats.org/officeDocument/2006/relationships/hyperlink" Target="https://app-web.statementrec.com/app#appuploadfiles/3a213952-3415-1e5c-0888-1a82541f7cae" TargetMode="External"/><Relationship Id="rId3893" Type="http://schemas.openxmlformats.org/officeDocument/2006/relationships/hyperlink" Target="https://app-web.statementrec.com/app#appuploadfiles/3a213953-f840-ba40-872d-10d0ae6cd9b6" TargetMode="External"/><Relationship Id="rId3894" Type="http://schemas.openxmlformats.org/officeDocument/2006/relationships/hyperlink" Target="https://app-web.statementrec.com/app#appuploadfiles/3a213956-44cf-8940-d3d4-9d48e87fa66e" TargetMode="External"/><Relationship Id="rId3895" Type="http://schemas.openxmlformats.org/officeDocument/2006/relationships/hyperlink" Target="https://app-web.statementrec.com/app#appuploadfiles/3a21395a-bf5a-6bb9-0b33-3e6f003dce52" TargetMode="External"/><Relationship Id="rId3896" Type="http://schemas.openxmlformats.org/officeDocument/2006/relationships/hyperlink" Target="https://app-web.statementrec.com/app#appuploadfiles/3a21396f-c008-ff5a-dd2a-4ab9d0aa1d1c" TargetMode="External"/><Relationship Id="rId3897" Type="http://schemas.openxmlformats.org/officeDocument/2006/relationships/hyperlink" Target="https://app-web.statementrec.com/app#appuploadfiles/3a213974-c0e2-2abd-dea4-9fb2d2d3a4b9" TargetMode="External"/><Relationship Id="rId3898" Type="http://schemas.openxmlformats.org/officeDocument/2006/relationships/hyperlink" Target="https://app-web.statementrec.com/app#appuploadfiles/3a21398f-9c63-3b37-5990-a0ab015374c9" TargetMode="External"/><Relationship Id="rId3899" Type="http://schemas.openxmlformats.org/officeDocument/2006/relationships/hyperlink" Target="https://app-web.statementrec.com/app#appuploadfiles/3a213992-9f54-ab27-76a7-40e575b9c319" TargetMode="External"/><Relationship Id="rId3900" Type="http://schemas.openxmlformats.org/officeDocument/2006/relationships/hyperlink" Target="https://app-web.statementrec.com/app#appuploadfiles/3a2139ad-e9fa-f600-b6a5-e7eb189d6262" TargetMode="External"/><Relationship Id="rId3901" Type="http://schemas.openxmlformats.org/officeDocument/2006/relationships/hyperlink" Target="https://app-web.statementrec.com/app#appuploadfiles/3a2139cf-fda6-88dc-9ae7-34dd9e66d753" TargetMode="External"/><Relationship Id="rId3902" Type="http://schemas.openxmlformats.org/officeDocument/2006/relationships/hyperlink" Target="https://app-web.statementrec.com/app#appuploadfiles/3a2139ff-0d2c-9d3e-3061-ffdc6a14b038" TargetMode="External"/><Relationship Id="rId3903" Type="http://schemas.openxmlformats.org/officeDocument/2006/relationships/hyperlink" Target="https://app-web.statementrec.com/app#appuploadfiles/3a213a2d-3611-2f77-3052-429b35c6b4d7" TargetMode="External"/><Relationship Id="rId3904" Type="http://schemas.openxmlformats.org/officeDocument/2006/relationships/hyperlink" Target="https://app-web.statementrec.com/app#appuploadfiles/3a213a30-33cd-761d-d11e-ca0bd9a9b057" TargetMode="External"/><Relationship Id="rId3905" Type="http://schemas.openxmlformats.org/officeDocument/2006/relationships/hyperlink" Target="https://app-web.statementrec.com/app#appuploadfiles/3a213a52-fb69-6e75-7228-30f3355ecc6d" TargetMode="External"/><Relationship Id="rId3906" Type="http://schemas.openxmlformats.org/officeDocument/2006/relationships/hyperlink" Target="https://app-web.statementrec.com/app#appuploadfiles/3a213a90-eb85-3c6a-8597-fca9a3c5d727" TargetMode="External"/><Relationship Id="rId3907" Type="http://schemas.openxmlformats.org/officeDocument/2006/relationships/hyperlink" Target="https://app-web.statementrec.com/app#appuploadfiles/3a213a95-07c7-269a-617b-893b41baf8c1" TargetMode="External"/><Relationship Id="rId3908" Type="http://schemas.openxmlformats.org/officeDocument/2006/relationships/hyperlink" Target="https://app-web.statementrec.com/app#appuploadfiles/3a213aa6-e327-abe0-1a04-8f7b95c85db7" TargetMode="External"/><Relationship Id="rId3909" Type="http://schemas.openxmlformats.org/officeDocument/2006/relationships/hyperlink" Target="https://app-web.statementrec.com/app#appuploadfiles/3a213acd-fc80-4491-c187-a2598bdf4ce7" TargetMode="External"/><Relationship Id="rId3910" Type="http://schemas.openxmlformats.org/officeDocument/2006/relationships/hyperlink" Target="https://app-web.statementrec.com/app#appuploadfiles/3a213ad7-2016-4de7-39f0-049ebed82dd5" TargetMode="External"/><Relationship Id="rId3911" Type="http://schemas.openxmlformats.org/officeDocument/2006/relationships/hyperlink" Target="https://app-web.statementrec.com/app#appuploadfiles/3a213b03-517c-152d-0162-6b917f507238" TargetMode="External"/><Relationship Id="rId3912" Type="http://schemas.openxmlformats.org/officeDocument/2006/relationships/hyperlink" Target="https://app-web.statementrec.com/app#appuploadfiles/3a213b04-d162-98d1-c7f0-7079b6a97257" TargetMode="External"/><Relationship Id="rId3913" Type="http://schemas.openxmlformats.org/officeDocument/2006/relationships/hyperlink" Target="https://app-web.statementrec.com/app#appuploadfiles/3a213b05-d451-78dc-8145-57a03c9a02fe" TargetMode="External"/><Relationship Id="rId3914" Type="http://schemas.openxmlformats.org/officeDocument/2006/relationships/hyperlink" Target="https://app-web.statementrec.com/app#appuploadfiles/3a213b82-9628-8779-4421-b48d2ccef4e3" TargetMode="External"/><Relationship Id="rId3915" Type="http://schemas.openxmlformats.org/officeDocument/2006/relationships/hyperlink" Target="https://app-web.statementrec.com/app#appuploadfiles/3a213c14-c27f-5398-747f-b4e94bfc6f29" TargetMode="External"/><Relationship Id="rId3916" Type="http://schemas.openxmlformats.org/officeDocument/2006/relationships/hyperlink" Target="https://app-web.statementrec.com/app#appuploadfiles/3a213c97-e089-b940-2c0c-104763eae167" TargetMode="External"/><Relationship Id="rId3917" Type="http://schemas.openxmlformats.org/officeDocument/2006/relationships/hyperlink" Target="https://app-web.statementrec.com/app#appuploadfiles/3a213cad-c443-b308-418c-7574183650f4" TargetMode="External"/><Relationship Id="rId3918" Type="http://schemas.openxmlformats.org/officeDocument/2006/relationships/hyperlink" Target="https://app-web.statementrec.com/app#appuploadfiles/3a213cae-8770-4747-947a-218b2cb2c400" TargetMode="External"/><Relationship Id="rId3919" Type="http://schemas.openxmlformats.org/officeDocument/2006/relationships/hyperlink" Target="https://app-web.statementrec.com/app#appuploadfiles/3a213cb9-201d-7500-56c8-655d6f65166e" TargetMode="External"/><Relationship Id="rId3920" Type="http://schemas.openxmlformats.org/officeDocument/2006/relationships/hyperlink" Target="https://app-web.statementrec.com/app#appuploadfiles/3a213cbb-f3dd-5456-2113-36cc88c64fcf" TargetMode="External"/><Relationship Id="rId3921" Type="http://schemas.openxmlformats.org/officeDocument/2006/relationships/hyperlink" Target="https://app-web.statementrec.com/app#appuploadfiles/3a213cc6-a749-fa71-92d4-ce85bc628feb" TargetMode="External"/><Relationship Id="rId3922" Type="http://schemas.openxmlformats.org/officeDocument/2006/relationships/hyperlink" Target="https://app-web.statementrec.com/app#appuploadfiles/3a213ce4-5b66-cfc5-4da8-91ff40f50c75" TargetMode="External"/><Relationship Id="rId3923" Type="http://schemas.openxmlformats.org/officeDocument/2006/relationships/hyperlink" Target="https://app-web.statementrec.com/app#appuploadfiles/3a213cf0-1263-5b6e-830d-133ee149ea2b" TargetMode="External"/><Relationship Id="rId3924" Type="http://schemas.openxmlformats.org/officeDocument/2006/relationships/hyperlink" Target="https://app-web.statementrec.com/app#appuploadfiles/3a213cf1-ecc6-29cb-20a3-d8e741c8f020" TargetMode="External"/><Relationship Id="rId3925" Type="http://schemas.openxmlformats.org/officeDocument/2006/relationships/hyperlink" Target="https://app-web.statementrec.com/app#appuploadfiles/3a213cf4-688a-9a9f-f69b-b52d749fa467" TargetMode="External"/><Relationship Id="rId3926" Type="http://schemas.openxmlformats.org/officeDocument/2006/relationships/hyperlink" Target="https://app-web.statementrec.com/app#appuploadfiles/3a213cf5-c13b-a553-adae-b6d0a1633186" TargetMode="External"/><Relationship Id="rId3927" Type="http://schemas.openxmlformats.org/officeDocument/2006/relationships/hyperlink" Target="https://app-web.statementrec.com/app#appuploadfiles/3a213cf8-3970-3a3b-9490-7f04986112ff" TargetMode="External"/><Relationship Id="rId3928" Type="http://schemas.openxmlformats.org/officeDocument/2006/relationships/hyperlink" Target="https://app-web.statementrec.com/app#appuploadfiles/3a213cfa-0dcc-da58-a79b-0fe86a4372b5" TargetMode="External"/><Relationship Id="rId3929" Type="http://schemas.openxmlformats.org/officeDocument/2006/relationships/hyperlink" Target="https://app-web.statementrec.com/app#appuploadfiles/3a213cfa-0ed0-40db-1668-a213e2820cfa" TargetMode="External"/><Relationship Id="rId3930" Type="http://schemas.openxmlformats.org/officeDocument/2006/relationships/hyperlink" Target="https://app-web.statementrec.com/app#appuploadfiles/3a213d09-e19f-fb48-ec01-6a5578d12517" TargetMode="External"/><Relationship Id="rId3931" Type="http://schemas.openxmlformats.org/officeDocument/2006/relationships/hyperlink" Target="https://app-web.statementrec.com/app#appuploadfiles/3a213d19-a885-7e5c-957b-4d3ae275a7b4" TargetMode="External"/><Relationship Id="rId3932" Type="http://schemas.openxmlformats.org/officeDocument/2006/relationships/hyperlink" Target="https://app-web.statementrec.com/app#appuploadfiles/3a213d29-a8bd-f8d4-6c75-7102787c9075" TargetMode="External"/><Relationship Id="rId3933" Type="http://schemas.openxmlformats.org/officeDocument/2006/relationships/hyperlink" Target="https://app-web.statementrec.com/app#appuploadfiles/3a213d5b-637e-61e2-9749-17a145415cac" TargetMode="External"/><Relationship Id="rId3934" Type="http://schemas.openxmlformats.org/officeDocument/2006/relationships/hyperlink" Target="https://app-web.statementrec.com/app#appuploadfiles/3a213d67-ccdd-dcc1-dc0b-19499556302e" TargetMode="External"/><Relationship Id="rId3935" Type="http://schemas.openxmlformats.org/officeDocument/2006/relationships/hyperlink" Target="https://app-web.statementrec.com/app#appuploadfiles/3a213d6c-0359-6ffe-ad38-e7df8d36101f" TargetMode="External"/><Relationship Id="rId3936" Type="http://schemas.openxmlformats.org/officeDocument/2006/relationships/hyperlink" Target="https://app-web.statementrec.com/app#appuploadfiles/3a213d73-c091-75b4-3a9d-370ca52f6014" TargetMode="External"/><Relationship Id="rId3937" Type="http://schemas.openxmlformats.org/officeDocument/2006/relationships/hyperlink" Target="https://app-web.statementrec.com/app#appuploadfiles/3a213d7b-761b-4ec5-05da-57db7058471d" TargetMode="External"/><Relationship Id="rId3938" Type="http://schemas.openxmlformats.org/officeDocument/2006/relationships/hyperlink" Target="https://app-web.statementrec.com/app#appuploadfiles/3a213d90-acb0-da09-1e22-74060738a71f" TargetMode="External"/><Relationship Id="rId3939" Type="http://schemas.openxmlformats.org/officeDocument/2006/relationships/hyperlink" Target="https://app-web.statementrec.com/app#appuploadfiles/3a213d9d-560c-7f34-cb74-3bcb485a1128" TargetMode="External"/><Relationship Id="rId3940" Type="http://schemas.openxmlformats.org/officeDocument/2006/relationships/hyperlink" Target="https://app-web.statementrec.com/app#appuploadfiles/3a213d9e-6e5c-940b-64ec-57f3f6d8a591" TargetMode="External"/><Relationship Id="rId3941" Type="http://schemas.openxmlformats.org/officeDocument/2006/relationships/hyperlink" Target="https://app-web.statementrec.com/app#appuploadfiles/3a213da7-f517-a0e9-26fe-dfeddc8a9dde" TargetMode="External"/><Relationship Id="rId3942" Type="http://schemas.openxmlformats.org/officeDocument/2006/relationships/hyperlink" Target="https://app-web.statementrec.com/app#appuploadfiles/3a213db4-10f7-d64f-5845-a8f67399645c" TargetMode="External"/><Relationship Id="rId3943" Type="http://schemas.openxmlformats.org/officeDocument/2006/relationships/hyperlink" Target="https://app-web.statementrec.com/app#appuploadfiles/3a213db9-7222-462c-b8c7-c0bbd6a422c1" TargetMode="External"/><Relationship Id="rId3944" Type="http://schemas.openxmlformats.org/officeDocument/2006/relationships/hyperlink" Target="https://app-web.statementrec.com/app#appuploadfiles/3a213dc1-eb10-7a0a-f832-82d2b7742027" TargetMode="External"/><Relationship Id="rId3945" Type="http://schemas.openxmlformats.org/officeDocument/2006/relationships/hyperlink" Target="https://app-web.statementrec.com/app#appuploadfiles/3a213dcf-1edb-12f9-27cb-97b6c8794780" TargetMode="External"/><Relationship Id="rId3946" Type="http://schemas.openxmlformats.org/officeDocument/2006/relationships/hyperlink" Target="https://app-web.statementrec.com/app#appuploadfiles/3a213de4-952d-5e82-b09e-55eea09a510e" TargetMode="External"/><Relationship Id="rId3947" Type="http://schemas.openxmlformats.org/officeDocument/2006/relationships/hyperlink" Target="https://app-web.statementrec.com/app#appuploadfiles/3a213de8-321e-71e5-174e-c1b5c182fdaf" TargetMode="External"/><Relationship Id="rId3948" Type="http://schemas.openxmlformats.org/officeDocument/2006/relationships/hyperlink" Target="https://app-web.statementrec.com/app#appuploadfiles/3a213df0-0cf5-0eee-4ae9-6de0abcd44d5" TargetMode="External"/><Relationship Id="rId3949" Type="http://schemas.openxmlformats.org/officeDocument/2006/relationships/hyperlink" Target="https://app-web.statementrec.com/app#appuploadfiles/3a213df1-4b3b-bd9e-eb88-b97e75f5dd35" TargetMode="External"/><Relationship Id="rId3950" Type="http://schemas.openxmlformats.org/officeDocument/2006/relationships/hyperlink" Target="https://app-web.statementrec.com/app#appuploadfiles/3a213df2-dc37-d0c4-aa60-56dae7f2dd68" TargetMode="External"/><Relationship Id="rId3951" Type="http://schemas.openxmlformats.org/officeDocument/2006/relationships/hyperlink" Target="https://app-web.statementrec.com/app#appuploadfiles/3a213e0b-e02e-1164-22ef-a66fa75f343b" TargetMode="External"/><Relationship Id="rId3952" Type="http://schemas.openxmlformats.org/officeDocument/2006/relationships/hyperlink" Target="https://app-web.statementrec.com/app#appuploadfiles/3a213e0c-2ba2-696a-c6db-53ebca824deb" TargetMode="External"/><Relationship Id="rId3953" Type="http://schemas.openxmlformats.org/officeDocument/2006/relationships/hyperlink" Target="https://app-web.statementrec.com/app#appuploadfiles/3a213e14-9ad9-909d-11be-c542d7c309a3" TargetMode="External"/><Relationship Id="rId3954" Type="http://schemas.openxmlformats.org/officeDocument/2006/relationships/hyperlink" Target="https://app-web.statementrec.com/app#appuploadfiles/3a213e19-2be4-55cb-43eb-04761bbb88f5" TargetMode="External"/><Relationship Id="rId3955" Type="http://schemas.openxmlformats.org/officeDocument/2006/relationships/hyperlink" Target="https://app-web.statementrec.com/app#appuploadfiles/3a213e1f-3c8c-82a2-a625-7efefe408385" TargetMode="External"/><Relationship Id="rId3956" Type="http://schemas.openxmlformats.org/officeDocument/2006/relationships/hyperlink" Target="https://app-web.statementrec.com/app#appuploadfiles/3a213e22-7d3f-dd99-6952-e9311756258f" TargetMode="External"/><Relationship Id="rId3957" Type="http://schemas.openxmlformats.org/officeDocument/2006/relationships/hyperlink" Target="https://app-web.statementrec.com/app#appuploadfiles/3a213e35-9ee5-b554-d30f-822f033450b6" TargetMode="External"/><Relationship Id="rId3958" Type="http://schemas.openxmlformats.org/officeDocument/2006/relationships/hyperlink" Target="https://app-web.statementrec.com/app#appuploadfiles/3a213e35-fca6-bd52-bb44-7380d9084f67" TargetMode="External"/><Relationship Id="rId3959" Type="http://schemas.openxmlformats.org/officeDocument/2006/relationships/hyperlink" Target="https://app-web.statementrec.com/app#appuploadfiles/3a213e38-0c5a-502d-ab56-35611618241b" TargetMode="External"/><Relationship Id="rId3960" Type="http://schemas.openxmlformats.org/officeDocument/2006/relationships/hyperlink" Target="https://app-web.statementrec.com/app#appuploadfiles/3a213e54-59ea-d0f2-71c9-9c7a2b613c81" TargetMode="External"/><Relationship Id="rId3961" Type="http://schemas.openxmlformats.org/officeDocument/2006/relationships/hyperlink" Target="https://app-web.statementrec.com/app#appuploadfiles/3a213e5b-1046-e7df-fd0f-4d356ff7324d" TargetMode="External"/><Relationship Id="rId3962" Type="http://schemas.openxmlformats.org/officeDocument/2006/relationships/hyperlink" Target="https://app-web.statementrec.com/app#appuploadfiles/3a213e6b-a690-cc05-1770-2c8969a34855" TargetMode="External"/><Relationship Id="rId3963" Type="http://schemas.openxmlformats.org/officeDocument/2006/relationships/hyperlink" Target="https://app-web.statementrec.com/app#appuploadfiles/3a213e6e-7865-3ff8-2f6a-b42d9abc07f2" TargetMode="External"/><Relationship Id="rId3964" Type="http://schemas.openxmlformats.org/officeDocument/2006/relationships/hyperlink" Target="https://app-web.statementrec.com/app#appuploadfiles/3a213e6e-d292-33cc-04d3-36529f874150" TargetMode="External"/><Relationship Id="rId3965" Type="http://schemas.openxmlformats.org/officeDocument/2006/relationships/hyperlink" Target="https://app-web.statementrec.com/app#appuploadfiles/3a213e71-ffd6-850e-5284-c42be375d764" TargetMode="External"/><Relationship Id="rId3966" Type="http://schemas.openxmlformats.org/officeDocument/2006/relationships/hyperlink" Target="https://app-web.statementrec.com/app#appuploadfiles/3a213e86-c03c-c517-d8e2-7123d8696800" TargetMode="External"/><Relationship Id="rId3967" Type="http://schemas.openxmlformats.org/officeDocument/2006/relationships/hyperlink" Target="https://app-web.statementrec.com/app#appuploadfiles/3a213e91-c39f-1d39-8e13-1e54925525b8" TargetMode="External"/><Relationship Id="rId3968" Type="http://schemas.openxmlformats.org/officeDocument/2006/relationships/hyperlink" Target="https://app-web.statementrec.com/app#appuploadfiles/3a213ec4-347e-2d69-b008-b123c53af4a2" TargetMode="External"/><Relationship Id="rId3969" Type="http://schemas.openxmlformats.org/officeDocument/2006/relationships/hyperlink" Target="https://app-web.statementrec.com/app#appuploadfiles/3a213ec5-6988-5e27-6edd-5b6379e0da38" TargetMode="External"/><Relationship Id="rId3970" Type="http://schemas.openxmlformats.org/officeDocument/2006/relationships/hyperlink" Target="https://app-web.statementrec.com/app#appuploadfiles/3a213eca-2202-7ee1-ce06-f5b53440e3b8" TargetMode="External"/><Relationship Id="rId3971" Type="http://schemas.openxmlformats.org/officeDocument/2006/relationships/hyperlink" Target="https://app-web.statementrec.com/app#appuploadfiles/3a213ed8-dd07-5c7d-48c9-c8a84ce8a497" TargetMode="External"/><Relationship Id="rId3972" Type="http://schemas.openxmlformats.org/officeDocument/2006/relationships/hyperlink" Target="https://app-web.statementrec.com/app#appuploadfiles/3a213f02-006b-c699-a917-7aabe0b5d9d8" TargetMode="External"/><Relationship Id="rId3973" Type="http://schemas.openxmlformats.org/officeDocument/2006/relationships/hyperlink" Target="https://app-web.statementrec.com/app#appuploadfiles/3a213f60-0376-aa2f-4235-45ca345345c5" TargetMode="External"/><Relationship Id="rId3974" Type="http://schemas.openxmlformats.org/officeDocument/2006/relationships/hyperlink" Target="https://app-web.statementrec.com/app#appuploadfiles/3a213f75-bb86-9170-d035-3b2e52251fd1" TargetMode="External"/><Relationship Id="rId3975" Type="http://schemas.openxmlformats.org/officeDocument/2006/relationships/hyperlink" Target="https://app-web.statementrec.com/app#appuploadfiles/3a213f76-cc85-264f-c44d-bc6d3c4305e1" TargetMode="External"/><Relationship Id="rId3976" Type="http://schemas.openxmlformats.org/officeDocument/2006/relationships/hyperlink" Target="https://app-web.statementrec.com/app#appuploadfiles/3a21400e-9543-db63-16d0-74f12ad621e9" TargetMode="External"/><Relationship Id="rId3977" Type="http://schemas.openxmlformats.org/officeDocument/2006/relationships/hyperlink" Target="https://app-web.statementrec.com/app#appuploadfiles/3a21422c-f0bc-9ff9-70d9-f93f50334166" TargetMode="External"/><Relationship Id="rId3978" Type="http://schemas.openxmlformats.org/officeDocument/2006/relationships/hyperlink" Target="https://app-web.statementrec.com/app#appuploadfiles/3a2142fb-95e1-e500-dd9c-70ff5860448f" TargetMode="External"/><Relationship Id="rId3979" Type="http://schemas.openxmlformats.org/officeDocument/2006/relationships/hyperlink" Target="https://app-web.statementrec.com/app#appuploadfiles/3a2142fb-ff1a-68eb-6dd8-a03dffac94fc" TargetMode="External"/><Relationship Id="rId3980" Type="http://schemas.openxmlformats.org/officeDocument/2006/relationships/hyperlink" Target="https://app-web.statementrec.com/app#appuploadfiles/3a214305-0e1e-5035-2ed5-fdc8149cb729" TargetMode="External"/><Relationship Id="rId3981" Type="http://schemas.openxmlformats.org/officeDocument/2006/relationships/hyperlink" Target="https://app-web.statementrec.com/app#appuploadfiles/3a21431d-cb52-59c6-693c-97f509936b21" TargetMode="External"/><Relationship Id="rId3982" Type="http://schemas.openxmlformats.org/officeDocument/2006/relationships/hyperlink" Target="https://app-web.statementrec.com/app#appuploadfiles/3a2147dc-b853-f064-64f9-2702d6ef4956" TargetMode="External"/><Relationship Id="rId3983" Type="http://schemas.openxmlformats.org/officeDocument/2006/relationships/hyperlink" Target="https://app-web.statementrec.com/app#appuploadfiles/3a21487a-040d-811b-1c9a-0752a309ea41" TargetMode="External"/><Relationship Id="rId3984" Type="http://schemas.openxmlformats.org/officeDocument/2006/relationships/hyperlink" Target="https://app-web.statementrec.com/app#appuploadfiles/3a214886-1e37-1dcf-fcfc-582c441ecb7c" TargetMode="External"/><Relationship Id="rId3985" Type="http://schemas.openxmlformats.org/officeDocument/2006/relationships/hyperlink" Target="https://app-web.statementrec.com/app#appuploadfiles/3a2148ab-345e-363c-af8b-b80fb55d3f24" TargetMode="External"/><Relationship Id="rId3986" Type="http://schemas.openxmlformats.org/officeDocument/2006/relationships/hyperlink" Target="https://app-web.statementrec.com/app#appuploadfiles/3a21490b-f151-223b-f4fc-ca015e84077f" TargetMode="External"/><Relationship Id="rId3987" Type="http://schemas.openxmlformats.org/officeDocument/2006/relationships/hyperlink" Target="https://app-web.statementrec.com/app#appuploadfiles/3a214965-edc0-5717-876a-29a637b91d32" TargetMode="External"/><Relationship Id="rId3988" Type="http://schemas.openxmlformats.org/officeDocument/2006/relationships/hyperlink" Target="https://app-web.statementrec.com/app#appuploadfiles/3a2149d3-3a32-87f8-d609-54439b5461ae" TargetMode="External"/><Relationship Id="rId3989" Type="http://schemas.openxmlformats.org/officeDocument/2006/relationships/hyperlink" Target="https://app-web.statementrec.com/app#appuploadfiles/3a214a28-c2b5-33b6-4386-7d1b43340906" TargetMode="External"/><Relationship Id="rId3990" Type="http://schemas.openxmlformats.org/officeDocument/2006/relationships/hyperlink" Target="https://app-web.statementrec.com/app#appuploadfiles/3a214b02-92fe-80e7-4f8e-cd545398452e" TargetMode="External"/><Relationship Id="rId3991" Type="http://schemas.openxmlformats.org/officeDocument/2006/relationships/hyperlink" Target="https://app-web.statementrec.com/app#appuploadfiles/3a214bde-a89e-b027-9b6c-dfcff7f1641c" TargetMode="External"/><Relationship Id="rId3992" Type="http://schemas.openxmlformats.org/officeDocument/2006/relationships/hyperlink" Target="https://app-web.statementrec.com/app#appuploadfiles/3a214c30-afeb-b2d3-169d-e10aeae6f9eb" TargetMode="External"/><Relationship Id="rId3993" Type="http://schemas.openxmlformats.org/officeDocument/2006/relationships/hyperlink" Target="https://app-web.statementrec.com/app#appuploadfiles/3a214c32-b134-6169-660f-d102727b39b7" TargetMode="External"/><Relationship Id="rId3994" Type="http://schemas.openxmlformats.org/officeDocument/2006/relationships/hyperlink" Target="https://app-web.statementrec.com/app#appuploadfiles/3a214c47-7e11-1eb5-1540-8809a5c906ff" TargetMode="External"/><Relationship Id="rId3995" Type="http://schemas.openxmlformats.org/officeDocument/2006/relationships/hyperlink" Target="https://app-web.statementrec.com/app#appuploadfiles/3a214c4e-148e-f7a1-44c4-aed215c7cf76" TargetMode="External"/><Relationship Id="rId3996" Type="http://schemas.openxmlformats.org/officeDocument/2006/relationships/hyperlink" Target="https://app-web.statementrec.com/app#appuploadfiles/3a214c57-36e4-81a2-4959-b9fe553f4fa5" TargetMode="External"/><Relationship Id="rId3997" Type="http://schemas.openxmlformats.org/officeDocument/2006/relationships/hyperlink" Target="https://app-web.statementrec.com/app#appuploadfiles/3a214c58-c6ef-ac69-13e8-9a1290b44432" TargetMode="External"/><Relationship Id="rId3998" Type="http://schemas.openxmlformats.org/officeDocument/2006/relationships/hyperlink" Target="https://app-web.statementrec.com/app#appuploadfiles/3a214c5a-31d6-002d-cea9-2da08533ef86" TargetMode="External"/><Relationship Id="rId3999" Type="http://schemas.openxmlformats.org/officeDocument/2006/relationships/hyperlink" Target="https://app-web.statementrec.com/app#appuploadfiles/3a214c60-e747-72c8-42ad-579b7b75aca3" TargetMode="External"/><Relationship Id="rId4000" Type="http://schemas.openxmlformats.org/officeDocument/2006/relationships/hyperlink" Target="https://app-web.statementrec.com/app#appuploadfiles/3a214c6c-5bca-5036-7a62-fde4e89c0f23" TargetMode="External"/><Relationship Id="rId4001" Type="http://schemas.openxmlformats.org/officeDocument/2006/relationships/hyperlink" Target="https://app-web.statementrec.com/app#appuploadfiles/3a214c72-5d56-6919-cd36-d66ff954e351" TargetMode="External"/><Relationship Id="rId4002" Type="http://schemas.openxmlformats.org/officeDocument/2006/relationships/hyperlink" Target="https://app-web.statementrec.com/app#appuploadfiles/3a214c7c-d54c-53f4-6e89-939debf08dff" TargetMode="External"/><Relationship Id="rId4003" Type="http://schemas.openxmlformats.org/officeDocument/2006/relationships/hyperlink" Target="https://app-web.statementrec.com/app#appuploadfiles/3a214c96-d8c3-d574-bea5-3adb76ad4d95" TargetMode="External"/><Relationship Id="rId4004" Type="http://schemas.openxmlformats.org/officeDocument/2006/relationships/hyperlink" Target="https://app-web.statementrec.com/app#appuploadfiles/3a214cb6-2367-658d-395a-fc878837877d" TargetMode="External"/><Relationship Id="rId4005" Type="http://schemas.openxmlformats.org/officeDocument/2006/relationships/hyperlink" Target="https://app-web.statementrec.com/app#appuploadfiles/3a214cbb-5c00-c932-b324-12dbd652f1ff" TargetMode="External"/><Relationship Id="rId4006" Type="http://schemas.openxmlformats.org/officeDocument/2006/relationships/hyperlink" Target="https://app-web.statementrec.com/app#appuploadfiles/3a214cd8-47f9-d05e-2b90-aaa998a7964e" TargetMode="External"/><Relationship Id="rId4007" Type="http://schemas.openxmlformats.org/officeDocument/2006/relationships/hyperlink" Target="https://app-web.statementrec.com/app#appuploadfiles/3a214ce5-620d-a0fb-ed33-694465b4af3b" TargetMode="External"/><Relationship Id="rId4008" Type="http://schemas.openxmlformats.org/officeDocument/2006/relationships/hyperlink" Target="https://app-web.statementrec.com/app#appuploadfiles/3a214cee-4ad5-b307-9800-70815086c9b3" TargetMode="External"/><Relationship Id="rId4009" Type="http://schemas.openxmlformats.org/officeDocument/2006/relationships/hyperlink" Target="https://app-web.statementrec.com/app#appuploadfiles/3a214cee-f569-4231-ca0e-d7e889bb55a8" TargetMode="External"/><Relationship Id="rId4010" Type="http://schemas.openxmlformats.org/officeDocument/2006/relationships/hyperlink" Target="https://app-web.statementrec.com/app#appuploadfiles/3a214cf2-8f82-4a30-508c-df4220152ae3" TargetMode="External"/><Relationship Id="rId4011" Type="http://schemas.openxmlformats.org/officeDocument/2006/relationships/hyperlink" Target="https://app-web.statementrec.com/app#appuploadfiles/3a214cf6-c3d3-f17a-7290-aa4638d52a86" TargetMode="External"/><Relationship Id="rId4012" Type="http://schemas.openxmlformats.org/officeDocument/2006/relationships/hyperlink" Target="https://app-web.statementrec.com/app#appuploadfiles/3a214cfb-9a40-7f4f-ae59-317984018852" TargetMode="External"/><Relationship Id="rId4013" Type="http://schemas.openxmlformats.org/officeDocument/2006/relationships/hyperlink" Target="https://app-web.statementrec.com/app#appuploadfiles/3a214d04-4bd6-ea73-282d-4405693d7de3" TargetMode="External"/><Relationship Id="rId4014" Type="http://schemas.openxmlformats.org/officeDocument/2006/relationships/hyperlink" Target="https://app-web.statementrec.com/app#appuploadfiles/3a214d1f-48f9-2ac4-093b-50808c40eff6" TargetMode="External"/><Relationship Id="rId4015" Type="http://schemas.openxmlformats.org/officeDocument/2006/relationships/hyperlink" Target="https://app-web.statementrec.com/app#appuploadfiles/3a214d24-dc58-e693-7698-bf755238cc6d" TargetMode="External"/><Relationship Id="rId4016" Type="http://schemas.openxmlformats.org/officeDocument/2006/relationships/hyperlink" Target="https://app-web.statementrec.com/app#appuploadfiles/3a214d25-27b0-6f8a-e68e-e46ad924d911" TargetMode="External"/><Relationship Id="rId4017" Type="http://schemas.openxmlformats.org/officeDocument/2006/relationships/hyperlink" Target="https://app-web.statementrec.com/app#appuploadfiles/3a214d2b-36d4-18c8-368f-518c6a7bc5f3" TargetMode="External"/><Relationship Id="rId4018" Type="http://schemas.openxmlformats.org/officeDocument/2006/relationships/hyperlink" Target="https://app-web.statementrec.com/app#appuploadfiles/3a214d37-25ea-6b75-0819-3064c3e7e8c0" TargetMode="External"/><Relationship Id="rId4019" Type="http://schemas.openxmlformats.org/officeDocument/2006/relationships/hyperlink" Target="https://app-web.statementrec.com/app#appuploadfiles/3a214d3f-7805-1263-4b66-8de0e7b8b4c5" TargetMode="External"/><Relationship Id="rId4020" Type="http://schemas.openxmlformats.org/officeDocument/2006/relationships/hyperlink" Target="https://app-web.statementrec.com/app#appuploadfiles/3a214d46-4aef-11eb-4561-b4a388d8925c" TargetMode="External"/><Relationship Id="rId4021" Type="http://schemas.openxmlformats.org/officeDocument/2006/relationships/hyperlink" Target="https://app-web.statementrec.com/app#appuploadfiles/3a214d66-cf3f-b148-1048-64576c004587" TargetMode="External"/><Relationship Id="rId4022" Type="http://schemas.openxmlformats.org/officeDocument/2006/relationships/hyperlink" Target="https://app-web.statementrec.com/app#appuploadfiles/3a214d7c-223a-d404-09b8-bf5a8ab6f111" TargetMode="External"/><Relationship Id="rId4023" Type="http://schemas.openxmlformats.org/officeDocument/2006/relationships/hyperlink" Target="https://app-web.statementrec.com/app#appuploadfiles/3a214d89-a79d-c149-5cf5-a09a7cad8909" TargetMode="External"/><Relationship Id="rId4024" Type="http://schemas.openxmlformats.org/officeDocument/2006/relationships/hyperlink" Target="https://app-web.statementrec.com/app#appuploadfiles/3a214d9e-6550-f7f5-97f1-83b77619edd5" TargetMode="External"/><Relationship Id="rId4025" Type="http://schemas.openxmlformats.org/officeDocument/2006/relationships/hyperlink" Target="https://app-web.statementrec.com/app#appuploadfiles/3a214d9f-56e8-95bf-c0cc-a5a6c49cbcd1" TargetMode="External"/><Relationship Id="rId4026" Type="http://schemas.openxmlformats.org/officeDocument/2006/relationships/hyperlink" Target="https://app-web.statementrec.com/app#appuploadfiles/3a214da4-2d9f-4fba-ff62-2396f6c57161" TargetMode="External"/><Relationship Id="rId4027" Type="http://schemas.openxmlformats.org/officeDocument/2006/relationships/hyperlink" Target="https://app-web.statementrec.com/app#appuploadfiles/3a214dab-18e0-2dfb-7660-bec1ef8524c2" TargetMode="External"/><Relationship Id="rId4028" Type="http://schemas.openxmlformats.org/officeDocument/2006/relationships/hyperlink" Target="https://app-web.statementrec.com/app#appuploadfiles/3a214daf-dd8f-274a-85ab-cfac446160d5" TargetMode="External"/><Relationship Id="rId4029" Type="http://schemas.openxmlformats.org/officeDocument/2006/relationships/hyperlink" Target="https://app-web.statementrec.com/app#appuploadfiles/3a214db0-1744-7fae-d638-e017db477730" TargetMode="External"/><Relationship Id="rId4030" Type="http://schemas.openxmlformats.org/officeDocument/2006/relationships/hyperlink" Target="https://app-web.statementrec.com/app#appuploadfiles/3a214db5-b9ef-1e65-acf9-264698d6d101" TargetMode="External"/><Relationship Id="rId4031" Type="http://schemas.openxmlformats.org/officeDocument/2006/relationships/hyperlink" Target="https://app-web.statementrec.com/app#appuploadfiles/3a214dd6-8770-beb1-bd63-c9cbb0e30fd3" TargetMode="External"/><Relationship Id="rId4032" Type="http://schemas.openxmlformats.org/officeDocument/2006/relationships/hyperlink" Target="https://app-web.statementrec.com/app#appuploadfiles/3a214de3-d236-2809-da58-46692ba72e06" TargetMode="External"/><Relationship Id="rId4033" Type="http://schemas.openxmlformats.org/officeDocument/2006/relationships/hyperlink" Target="https://app-web.statementrec.com/app#appuploadfiles/3a214de4-81e1-04c9-bf0a-e8c2d3d5902e" TargetMode="External"/><Relationship Id="rId4034" Type="http://schemas.openxmlformats.org/officeDocument/2006/relationships/hyperlink" Target="https://app-web.statementrec.com/app#appuploadfiles/3a214de8-afa7-0772-3589-4e755980afb9" TargetMode="External"/><Relationship Id="rId4035" Type="http://schemas.openxmlformats.org/officeDocument/2006/relationships/hyperlink" Target="https://app-web.statementrec.com/app#appuploadfiles/3a214df9-70e1-2a35-1177-191328cce0e7" TargetMode="External"/><Relationship Id="rId4036" Type="http://schemas.openxmlformats.org/officeDocument/2006/relationships/hyperlink" Target="https://app-web.statementrec.com/app#appuploadfiles/3a214dfd-0f22-5ec2-04ce-3c5572de9188" TargetMode="External"/><Relationship Id="rId4037" Type="http://schemas.openxmlformats.org/officeDocument/2006/relationships/hyperlink" Target="https://app-web.statementrec.com/app#appuploadfiles/3a214dfe-8a7b-a516-896d-8ae2ec09ca3a" TargetMode="External"/><Relationship Id="rId4038" Type="http://schemas.openxmlformats.org/officeDocument/2006/relationships/hyperlink" Target="https://app-web.statementrec.com/app#appuploadfiles/3a214e00-3eb9-e628-c0a1-6b9143dd3ed3" TargetMode="External"/><Relationship Id="rId4039" Type="http://schemas.openxmlformats.org/officeDocument/2006/relationships/hyperlink" Target="https://app-web.statementrec.com/app#appuploadfiles/3a214e03-edea-7f14-81c3-3ccd757ddb46" TargetMode="External"/><Relationship Id="rId4040" Type="http://schemas.openxmlformats.org/officeDocument/2006/relationships/hyperlink" Target="https://app-web.statementrec.com/app#appuploadfiles/3a214e0c-b10d-e66c-492d-1296f3f6e4a3" TargetMode="External"/><Relationship Id="rId4041" Type="http://schemas.openxmlformats.org/officeDocument/2006/relationships/hyperlink" Target="https://app-web.statementrec.com/app#appuploadfiles/3a214e0c-ebec-d09a-83e6-3231147dc463" TargetMode="External"/><Relationship Id="rId4042" Type="http://schemas.openxmlformats.org/officeDocument/2006/relationships/hyperlink" Target="https://app-web.statementrec.com/app#appuploadfiles/3a214e1d-325d-9bd5-74ed-d4a12d01022c" TargetMode="External"/><Relationship Id="rId4043" Type="http://schemas.openxmlformats.org/officeDocument/2006/relationships/hyperlink" Target="https://app-web.statementrec.com/app#appuploadfiles/3a214e2a-e424-19f0-b472-17e2598bb3f8" TargetMode="External"/><Relationship Id="rId4044" Type="http://schemas.openxmlformats.org/officeDocument/2006/relationships/hyperlink" Target="https://app-web.statementrec.com/app#appuploadfiles/3a214e54-8067-7e26-c811-4fa9a0149615" TargetMode="External"/><Relationship Id="rId4045" Type="http://schemas.openxmlformats.org/officeDocument/2006/relationships/hyperlink" Target="https://app-web.statementrec.com/app#appuploadfiles/3a214e5b-bdd7-1aa4-38c1-9063db4ad2ed" TargetMode="External"/><Relationship Id="rId4046" Type="http://schemas.openxmlformats.org/officeDocument/2006/relationships/hyperlink" Target="https://app-web.statementrec.com/app#appuploadfiles/3a214ea2-1e81-7bea-6bb2-621734360141" TargetMode="External"/><Relationship Id="rId4047" Type="http://schemas.openxmlformats.org/officeDocument/2006/relationships/hyperlink" Target="https://app-web.statementrec.com/app#appuploadfiles/3a214edd-9afd-41b6-f63a-baae7f64ce55" TargetMode="External"/><Relationship Id="rId4048" Type="http://schemas.openxmlformats.org/officeDocument/2006/relationships/hyperlink" Target="https://app-web.statementrec.com/app#appuploadfiles/3a214eec-0d2f-5596-b57b-ad8e6cf3a28e" TargetMode="External"/><Relationship Id="rId4049" Type="http://schemas.openxmlformats.org/officeDocument/2006/relationships/hyperlink" Target="https://app-web.statementrec.com/app#appuploadfiles/3a214f50-b9d5-66fe-70d5-0f1d2a401800" TargetMode="External"/><Relationship Id="rId4050" Type="http://schemas.openxmlformats.org/officeDocument/2006/relationships/hyperlink" Target="https://app-web.statementrec.com/app#appuploadfiles/3a214f5e-d723-3f98-0441-bbf2d27a8cba" TargetMode="External"/><Relationship Id="rId4051" Type="http://schemas.openxmlformats.org/officeDocument/2006/relationships/hyperlink" Target="https://app-web.statementrec.com/app#appuploadfiles/3a214f62-0d35-50f7-1bf0-a411f0cdd1d7" TargetMode="External"/><Relationship Id="rId4052" Type="http://schemas.openxmlformats.org/officeDocument/2006/relationships/hyperlink" Target="https://app-web.statementrec.com/app#appuploadfiles/3a214f6d-cd90-a645-57f4-a39d7fae2702" TargetMode="External"/><Relationship Id="rId4053" Type="http://schemas.openxmlformats.org/officeDocument/2006/relationships/hyperlink" Target="https://app-web.statementrec.com/app#appuploadfiles/3a214f8e-6e00-e1b5-c0ce-5b675acf029d" TargetMode="External"/><Relationship Id="rId4054" Type="http://schemas.openxmlformats.org/officeDocument/2006/relationships/hyperlink" Target="https://app-web.statementrec.com/app#appuploadfiles/3a214fa2-8fa9-15a0-d3b3-cdd94ee1913d" TargetMode="External"/><Relationship Id="rId4055" Type="http://schemas.openxmlformats.org/officeDocument/2006/relationships/hyperlink" Target="https://app-web.statementrec.com/app#appuploadfiles/3a214fa7-a3d8-4805-6705-55c9e7272e09" TargetMode="External"/><Relationship Id="rId4056" Type="http://schemas.openxmlformats.org/officeDocument/2006/relationships/hyperlink" Target="https://app-web.statementrec.com/app#appuploadfiles/3a214fed-33cc-3583-4955-75f6e88070f7" TargetMode="External"/><Relationship Id="rId4057" Type="http://schemas.openxmlformats.org/officeDocument/2006/relationships/hyperlink" Target="https://app-web.statementrec.com/app#appuploadfiles/3a215027-579e-8376-c764-786eeb0a3450" TargetMode="External"/><Relationship Id="rId4058" Type="http://schemas.openxmlformats.org/officeDocument/2006/relationships/hyperlink" Target="https://app-web.statementrec.com/app#appuploadfiles/3a2150d9-6f5c-522e-a143-371ee7f70fb5" TargetMode="External"/><Relationship Id="rId4059" Type="http://schemas.openxmlformats.org/officeDocument/2006/relationships/hyperlink" Target="https://app-web.statementrec.com/app#appuploadfiles/3a215109-31cc-d96f-e32d-6c3addf369ec" TargetMode="External"/><Relationship Id="rId4060" Type="http://schemas.openxmlformats.org/officeDocument/2006/relationships/hyperlink" Target="https://app-web.statementrec.com/app#appuploadfiles/3a215132-fa3c-853e-3e06-72549afd5f07" TargetMode="External"/><Relationship Id="rId4061" Type="http://schemas.openxmlformats.org/officeDocument/2006/relationships/hyperlink" Target="https://app-web.statementrec.com/app#appuploadfiles/3a215155-ae85-325d-a601-868fc8b610de" TargetMode="External"/><Relationship Id="rId4062" Type="http://schemas.openxmlformats.org/officeDocument/2006/relationships/hyperlink" Target="https://app-web.statementrec.com/app#appuploadfiles/3a215156-b730-72c5-3362-64d24e1ddc44" TargetMode="External"/><Relationship Id="rId4063" Type="http://schemas.openxmlformats.org/officeDocument/2006/relationships/hyperlink" Target="https://app-web.statementrec.com/app#appuploadfiles/3a215164-0bfa-89bc-576b-bd71cf256799" TargetMode="External"/><Relationship Id="rId4064" Type="http://schemas.openxmlformats.org/officeDocument/2006/relationships/hyperlink" Target="https://app-web.statementrec.com/app#appuploadfiles/3a21516a-a97c-c96c-7ffb-7a92a2be7371" TargetMode="External"/><Relationship Id="rId4065" Type="http://schemas.openxmlformats.org/officeDocument/2006/relationships/hyperlink" Target="https://app-web.statementrec.com/app#appuploadfiles/3a21517c-f829-f25d-65fe-745541ad1a14" TargetMode="External"/><Relationship Id="rId4066" Type="http://schemas.openxmlformats.org/officeDocument/2006/relationships/hyperlink" Target="https://app-web.statementrec.com/app#appuploadfiles/3a21517f-8333-84f9-db81-53380f37958e" TargetMode="External"/><Relationship Id="rId4067" Type="http://schemas.openxmlformats.org/officeDocument/2006/relationships/hyperlink" Target="https://app-web.statementrec.com/app#appuploadfiles/3a215193-d6d0-3bc6-c918-1810178bd4de" TargetMode="External"/><Relationship Id="rId4068" Type="http://schemas.openxmlformats.org/officeDocument/2006/relationships/hyperlink" Target="https://app-web.statementrec.com/app#appuploadfiles/3a215195-0442-5d6c-3d93-7478636d4194" TargetMode="External"/><Relationship Id="rId4069" Type="http://schemas.openxmlformats.org/officeDocument/2006/relationships/hyperlink" Target="https://app-web.statementrec.com/app#appuploadfiles/3a215195-978e-2e7d-1033-b8e9dcc9d164" TargetMode="External"/><Relationship Id="rId4070" Type="http://schemas.openxmlformats.org/officeDocument/2006/relationships/hyperlink" Target="https://app-web.statementrec.com/app#appuploadfiles/3a215197-d03f-3a6c-cdda-e80ee4dd8d8d" TargetMode="External"/><Relationship Id="rId4071" Type="http://schemas.openxmlformats.org/officeDocument/2006/relationships/hyperlink" Target="https://app-web.statementrec.com/app#appuploadfiles/3a21519a-e7c6-7f70-2ab0-c0ba9dbb46f4" TargetMode="External"/><Relationship Id="rId4072" Type="http://schemas.openxmlformats.org/officeDocument/2006/relationships/hyperlink" Target="https://app-web.statementrec.com/app#appuploadfiles/3a21519b-9a26-dfbb-814e-b4eb4663bf2e" TargetMode="External"/><Relationship Id="rId4073" Type="http://schemas.openxmlformats.org/officeDocument/2006/relationships/hyperlink" Target="https://app-web.statementrec.com/app#appuploadfiles/3a21519f-a3eb-8c62-4eb7-dd34795d31ac" TargetMode="External"/><Relationship Id="rId4074" Type="http://schemas.openxmlformats.org/officeDocument/2006/relationships/hyperlink" Target="https://app-web.statementrec.com/app#appuploadfiles/3a2151a0-2fd3-d8d8-2c87-ef302aee1983" TargetMode="External"/><Relationship Id="rId4075" Type="http://schemas.openxmlformats.org/officeDocument/2006/relationships/hyperlink" Target="https://app-web.statementrec.com/app#appuploadfiles/3a2151a7-260f-1c6f-214d-28a6d6820534" TargetMode="External"/><Relationship Id="rId4076" Type="http://schemas.openxmlformats.org/officeDocument/2006/relationships/hyperlink" Target="https://app-web.statementrec.com/app#appuploadfiles/3a2151a9-fe0a-21ae-2c84-c6c9834fc6f2" TargetMode="External"/><Relationship Id="rId4077" Type="http://schemas.openxmlformats.org/officeDocument/2006/relationships/hyperlink" Target="https://app-web.statementrec.com/app#appuploadfiles/3a2151ac-4e7d-d676-b2b7-da992cf03c64" TargetMode="External"/><Relationship Id="rId4078" Type="http://schemas.openxmlformats.org/officeDocument/2006/relationships/hyperlink" Target="https://app-web.statementrec.com/app#appuploadfiles/3a2151ad-1dd9-7e8f-6ac0-f9cf4a5b3ffa" TargetMode="External"/><Relationship Id="rId4079" Type="http://schemas.openxmlformats.org/officeDocument/2006/relationships/hyperlink" Target="https://app-web.statementrec.com/app#appuploadfiles/3a2151ad-e9e9-cc4c-f71e-2622e5986e55" TargetMode="External"/><Relationship Id="rId4080" Type="http://schemas.openxmlformats.org/officeDocument/2006/relationships/hyperlink" Target="https://app-web.statementrec.com/app#appuploadfiles/3a2151b9-f50f-2612-2552-ead1c28de92b" TargetMode="External"/><Relationship Id="rId4081" Type="http://schemas.openxmlformats.org/officeDocument/2006/relationships/hyperlink" Target="https://app-web.statementrec.com/app#appuploadfiles/3a2151bf-b799-de31-064f-3042a1f9c201" TargetMode="External"/><Relationship Id="rId4082" Type="http://schemas.openxmlformats.org/officeDocument/2006/relationships/hyperlink" Target="https://app-web.statementrec.com/app#appuploadfiles/3a2151c2-e9f9-eac9-618e-e5a5efc0dd8d" TargetMode="External"/><Relationship Id="rId4083" Type="http://schemas.openxmlformats.org/officeDocument/2006/relationships/hyperlink" Target="https://app-web.statementrec.com/app#appuploadfiles/3a2151c5-6c73-08e9-0d6a-ca44da1e8ce2" TargetMode="External"/><Relationship Id="rId4084" Type="http://schemas.openxmlformats.org/officeDocument/2006/relationships/hyperlink" Target="https://app-web.statementrec.com/app#appuploadfiles/3a2151d7-7c16-475b-eb4c-c0049df70807" TargetMode="External"/><Relationship Id="rId4085" Type="http://schemas.openxmlformats.org/officeDocument/2006/relationships/hyperlink" Target="https://app-web.statementrec.com/app#appuploadfiles/3a2151db-6371-3075-d90d-11769f6b4373" TargetMode="External"/><Relationship Id="rId4086" Type="http://schemas.openxmlformats.org/officeDocument/2006/relationships/hyperlink" Target="https://app-web.statementrec.com/app#appuploadfiles/3a2151df-9435-38fd-d6fc-53ae66737969" TargetMode="External"/><Relationship Id="rId4087" Type="http://schemas.openxmlformats.org/officeDocument/2006/relationships/hyperlink" Target="https://app-web.statementrec.com/app#appuploadfiles/3a2151e9-3742-f238-ab3a-a2f954f5c482" TargetMode="External"/><Relationship Id="rId4088" Type="http://schemas.openxmlformats.org/officeDocument/2006/relationships/hyperlink" Target="https://app-web.statementrec.com/app#appuploadfiles/3a2151f2-5ed9-8eb5-6a3d-688c089c1aff" TargetMode="External"/><Relationship Id="rId4089" Type="http://schemas.openxmlformats.org/officeDocument/2006/relationships/hyperlink" Target="https://app-web.statementrec.com/app#appuploadfiles/3a2151f5-e6de-7304-b0ca-384b043daad4" TargetMode="External"/><Relationship Id="rId4090" Type="http://schemas.openxmlformats.org/officeDocument/2006/relationships/hyperlink" Target="https://app-web.statementrec.com/app#appuploadfiles/3a21520c-89b1-e8c6-5849-3d8a5c5ef351" TargetMode="External"/><Relationship Id="rId4091" Type="http://schemas.openxmlformats.org/officeDocument/2006/relationships/hyperlink" Target="https://app-web.statementrec.com/app#appuploadfiles/3a215210-4297-700d-d337-fbbf420176b3" TargetMode="External"/><Relationship Id="rId4092" Type="http://schemas.openxmlformats.org/officeDocument/2006/relationships/hyperlink" Target="https://app-web.statementrec.com/app#appuploadfiles/3a21521f-7179-bc79-84c4-2bf21c65a8f1" TargetMode="External"/><Relationship Id="rId4093" Type="http://schemas.openxmlformats.org/officeDocument/2006/relationships/hyperlink" Target="https://app-web.statementrec.com/app#appuploadfiles/3a21522a-2794-043b-8087-99576632edd2" TargetMode="External"/><Relationship Id="rId4094" Type="http://schemas.openxmlformats.org/officeDocument/2006/relationships/hyperlink" Target="https://app-web.statementrec.com/app#appuploadfiles/3a21522a-f929-fb87-5cce-57ad632a3b41" TargetMode="External"/><Relationship Id="rId4095" Type="http://schemas.openxmlformats.org/officeDocument/2006/relationships/hyperlink" Target="https://app-web.statementrec.com/app#appuploadfiles/3a21523c-1273-56e0-7c7b-d4861600040f" TargetMode="External"/><Relationship Id="rId4096" Type="http://schemas.openxmlformats.org/officeDocument/2006/relationships/hyperlink" Target="https://app-web.statementrec.com/app#appuploadfiles/3a21524c-a750-96aa-ec25-9004ad8551d2" TargetMode="External"/><Relationship Id="rId4097" Type="http://schemas.openxmlformats.org/officeDocument/2006/relationships/hyperlink" Target="https://app-web.statementrec.com/app#appuploadfiles/3a215254-a3a2-37c6-27c9-7f42272bfabc" TargetMode="External"/><Relationship Id="rId4098" Type="http://schemas.openxmlformats.org/officeDocument/2006/relationships/hyperlink" Target="https://app-web.statementrec.com/app#appuploadfiles/3a215260-bb2c-b03e-7fda-e8326832ed03" TargetMode="External"/><Relationship Id="rId4099" Type="http://schemas.openxmlformats.org/officeDocument/2006/relationships/hyperlink" Target="https://app-web.statementrec.com/app#appuploadfiles/3a215264-4942-751e-0751-1f9fffa50f6d" TargetMode="External"/><Relationship Id="rId4100" Type="http://schemas.openxmlformats.org/officeDocument/2006/relationships/hyperlink" Target="https://app-web.statementrec.com/app#appuploadfiles/3a215271-665d-d7f4-2649-0e8e78da3e2a" TargetMode="External"/><Relationship Id="rId4101" Type="http://schemas.openxmlformats.org/officeDocument/2006/relationships/hyperlink" Target="https://app-web.statementrec.com/app#appuploadfiles/3a215277-2170-cfe2-e1e4-944dfd439c66" TargetMode="External"/><Relationship Id="rId4102" Type="http://schemas.openxmlformats.org/officeDocument/2006/relationships/hyperlink" Target="https://app-web.statementrec.com/app#appuploadfiles/3a215290-078f-0efe-b901-66ec873fade9" TargetMode="External"/><Relationship Id="rId4103" Type="http://schemas.openxmlformats.org/officeDocument/2006/relationships/hyperlink" Target="https://app-web.statementrec.com/app#appuploadfiles/3a215293-beff-e8aa-14e1-676582bfe358" TargetMode="External"/><Relationship Id="rId4104" Type="http://schemas.openxmlformats.org/officeDocument/2006/relationships/hyperlink" Target="https://app-web.statementrec.com/app#appuploadfiles/3a21529a-0d0d-aa7b-a7e1-b3533cef9b08" TargetMode="External"/><Relationship Id="rId4105" Type="http://schemas.openxmlformats.org/officeDocument/2006/relationships/hyperlink" Target="https://app-web.statementrec.com/app#appuploadfiles/3a21529b-aea9-bfe9-bff1-57655f8994ed" TargetMode="External"/><Relationship Id="rId4106" Type="http://schemas.openxmlformats.org/officeDocument/2006/relationships/hyperlink" Target="https://app-web.statementrec.com/app#appuploadfiles/3a21529e-be03-7dc1-69ee-2e5c7443df0e" TargetMode="External"/><Relationship Id="rId4107" Type="http://schemas.openxmlformats.org/officeDocument/2006/relationships/hyperlink" Target="https://app-web.statementrec.com/app#appuploadfiles/3a2152a3-a99f-5984-c206-e49c7cce6433" TargetMode="External"/><Relationship Id="rId4108" Type="http://schemas.openxmlformats.org/officeDocument/2006/relationships/hyperlink" Target="https://app-web.statementrec.com/app#appuploadfiles/3a2152a5-18c6-8b25-9ca1-b26d7cd2841f" TargetMode="External"/><Relationship Id="rId4109" Type="http://schemas.openxmlformats.org/officeDocument/2006/relationships/hyperlink" Target="https://app-web.statementrec.com/app#appuploadfiles/3a2152a5-348f-90e3-2da7-51f0e73a38e7" TargetMode="External"/><Relationship Id="rId4110" Type="http://schemas.openxmlformats.org/officeDocument/2006/relationships/hyperlink" Target="https://app-web.statementrec.com/app#appuploadfiles/3a2152ae-e7ef-cb21-d25e-bbc9a0134f3f" TargetMode="External"/><Relationship Id="rId4111" Type="http://schemas.openxmlformats.org/officeDocument/2006/relationships/hyperlink" Target="https://app-web.statementrec.com/app#appuploadfiles/3a2152b5-16e7-2418-2e93-0c0e97504a16" TargetMode="External"/><Relationship Id="rId4112" Type="http://schemas.openxmlformats.org/officeDocument/2006/relationships/hyperlink" Target="https://app-web.statementrec.com/app#appuploadfiles/3a2152c6-bde7-15df-c6bd-1b9ee0de1ca9" TargetMode="External"/><Relationship Id="rId4113" Type="http://schemas.openxmlformats.org/officeDocument/2006/relationships/hyperlink" Target="https://app-web.statementrec.com/app#appuploadfiles/3a2152d0-155a-6f63-2950-bb9d5b29f699" TargetMode="External"/><Relationship Id="rId4114" Type="http://schemas.openxmlformats.org/officeDocument/2006/relationships/hyperlink" Target="https://app-web.statementrec.com/app#appuploadfiles/3a2152dc-bbd7-3e54-88e2-26627fa9723e" TargetMode="External"/><Relationship Id="rId4115" Type="http://schemas.openxmlformats.org/officeDocument/2006/relationships/hyperlink" Target="https://app-web.statementrec.com/app#appuploadfiles/3a2152e3-e523-ff3a-9aa0-eebc9621c771" TargetMode="External"/><Relationship Id="rId4116" Type="http://schemas.openxmlformats.org/officeDocument/2006/relationships/hyperlink" Target="https://app-web.statementrec.com/app#appuploadfiles/3a2152e8-9fe1-f141-2f69-4269623b9df5" TargetMode="External"/><Relationship Id="rId4117" Type="http://schemas.openxmlformats.org/officeDocument/2006/relationships/hyperlink" Target="https://app-web.statementrec.com/app#appuploadfiles/3a2152ee-c65a-9910-bd9c-24ac04b99399" TargetMode="External"/><Relationship Id="rId4118" Type="http://schemas.openxmlformats.org/officeDocument/2006/relationships/hyperlink" Target="https://app-web.statementrec.com/app#appuploadfiles/3a215301-8908-d8e1-ecf4-8869f9f90bec" TargetMode="External"/><Relationship Id="rId4119" Type="http://schemas.openxmlformats.org/officeDocument/2006/relationships/hyperlink" Target="https://app-web.statementrec.com/app#appuploadfiles/3a21530b-88f5-974a-7fdb-9f69b5b5e21a" TargetMode="External"/><Relationship Id="rId4120" Type="http://schemas.openxmlformats.org/officeDocument/2006/relationships/hyperlink" Target="https://app-web.statementrec.com/app#appuploadfiles/3a215316-9410-2ed8-b54a-bc01fac1b21f" TargetMode="External"/><Relationship Id="rId4121" Type="http://schemas.openxmlformats.org/officeDocument/2006/relationships/hyperlink" Target="https://app-web.statementrec.com/app#appuploadfiles/3a215319-1385-4f9a-f458-3a4911197c53" TargetMode="External"/><Relationship Id="rId4122" Type="http://schemas.openxmlformats.org/officeDocument/2006/relationships/hyperlink" Target="https://app-web.statementrec.com/app#appuploadfiles/3a21532b-f771-10bf-0f6f-bbbbba977d7d" TargetMode="External"/><Relationship Id="rId4123" Type="http://schemas.openxmlformats.org/officeDocument/2006/relationships/hyperlink" Target="https://app-web.statementrec.com/app#appuploadfiles/3a21532e-0817-da1a-158c-5d74624ab392" TargetMode="External"/><Relationship Id="rId4124" Type="http://schemas.openxmlformats.org/officeDocument/2006/relationships/hyperlink" Target="https://app-web.statementrec.com/app#appuploadfiles/3a21534a-eeec-c30d-2c0b-c0bb38bbc383" TargetMode="External"/><Relationship Id="rId4125" Type="http://schemas.openxmlformats.org/officeDocument/2006/relationships/hyperlink" Target="https://app-web.statementrec.com/app#appuploadfiles/3a21534b-c453-c4bf-c645-540cd877ae94" TargetMode="External"/><Relationship Id="rId4126" Type="http://schemas.openxmlformats.org/officeDocument/2006/relationships/hyperlink" Target="https://app-web.statementrec.com/app#appuploadfiles/3a21538b-8999-f29d-1910-462825eb6d59" TargetMode="External"/><Relationship Id="rId4127" Type="http://schemas.openxmlformats.org/officeDocument/2006/relationships/hyperlink" Target="https://app-web.statementrec.com/app#appuploadfiles/3a2153a1-a716-6f03-8924-5442dca11415" TargetMode="External"/><Relationship Id="rId4128" Type="http://schemas.openxmlformats.org/officeDocument/2006/relationships/hyperlink" Target="https://app-web.statementrec.com/app#appuploadfiles/3a2153ae-21d9-b2cb-b346-37fddca66744" TargetMode="External"/><Relationship Id="rId4129" Type="http://schemas.openxmlformats.org/officeDocument/2006/relationships/hyperlink" Target="https://app-web.statementrec.com/app#appuploadfiles/3a2153dd-4d15-2b2d-dc72-253a68bfe1d2" TargetMode="External"/><Relationship Id="rId4130" Type="http://schemas.openxmlformats.org/officeDocument/2006/relationships/hyperlink" Target="https://app-web.statementrec.com/app#appuploadfiles/3a215418-6f15-f132-aff0-baccb0ce64af" TargetMode="External"/><Relationship Id="rId4131" Type="http://schemas.openxmlformats.org/officeDocument/2006/relationships/hyperlink" Target="https://app-web.statementrec.com/app#appuploadfiles/3a21542f-9120-d9bd-a579-c15054eee36d" TargetMode="External"/><Relationship Id="rId4132" Type="http://schemas.openxmlformats.org/officeDocument/2006/relationships/hyperlink" Target="https://app-web.statementrec.com/app#appuploadfiles/3a215510-db0f-a2f9-5da0-fe199b648041" TargetMode="External"/><Relationship Id="rId4133" Type="http://schemas.openxmlformats.org/officeDocument/2006/relationships/hyperlink" Target="https://app-web.statementrec.com/app#appuploadfiles/3a215527-ef8e-4bab-2263-9e60a8540f06" TargetMode="External"/><Relationship Id="rId4134" Type="http://schemas.openxmlformats.org/officeDocument/2006/relationships/hyperlink" Target="https://app-web.statementrec.com/app#appuploadfiles/3a215676-90da-e5c8-a197-eebb51174a75" TargetMode="External"/><Relationship Id="rId4135" Type="http://schemas.openxmlformats.org/officeDocument/2006/relationships/hyperlink" Target="https://app-web.statementrec.com/app#appuploadfiles/3a215677-71ac-ced0-6f41-d5f67bd208f9" TargetMode="External"/><Relationship Id="rId4136" Type="http://schemas.openxmlformats.org/officeDocument/2006/relationships/hyperlink" Target="https://app-web.statementrec.com/app#appuploadfiles/3a215677-721a-e437-a89e-d84806a764a9" TargetMode="External"/><Relationship Id="rId4137" Type="http://schemas.openxmlformats.org/officeDocument/2006/relationships/hyperlink" Target="https://app-web.statementrec.com/app#appuploadfiles/3a215682-4408-c533-9821-87f9b228db82" TargetMode="External"/><Relationship Id="rId4138" Type="http://schemas.openxmlformats.org/officeDocument/2006/relationships/hyperlink" Target="https://app-web.statementrec.com/app#appuploadfiles/3a21569b-7a10-e776-64e2-2eae2527a123" TargetMode="External"/><Relationship Id="rId4139" Type="http://schemas.openxmlformats.org/officeDocument/2006/relationships/hyperlink" Target="https://app-web.statementrec.com/app#appuploadfiles/3a2156b2-9b4a-1613-977a-5a1b39283c0d" TargetMode="External"/><Relationship Id="rId4140" Type="http://schemas.openxmlformats.org/officeDocument/2006/relationships/hyperlink" Target="https://app-web.statementrec.com/app#appuploadfiles/3a2156b9-79c7-f1bb-8feb-9766010bc964" TargetMode="External"/><Relationship Id="rId4141" Type="http://schemas.openxmlformats.org/officeDocument/2006/relationships/hyperlink" Target="https://app-web.statementrec.com/app#appuploadfiles/3a2156ba-fea8-c3e1-672b-ae7ae53286fe" TargetMode="External"/><Relationship Id="rId4142" Type="http://schemas.openxmlformats.org/officeDocument/2006/relationships/hyperlink" Target="https://app-web.statementrec.com/app#appuploadfiles/3a2156bc-2174-0d25-b594-512d92aee91d" TargetMode="External"/><Relationship Id="rId4143" Type="http://schemas.openxmlformats.org/officeDocument/2006/relationships/hyperlink" Target="https://app-web.statementrec.com/app#appuploadfiles/3a2156c0-e5e9-bac1-088c-db198f044540" TargetMode="External"/><Relationship Id="rId4144" Type="http://schemas.openxmlformats.org/officeDocument/2006/relationships/hyperlink" Target="https://app-web.statementrec.com/app#appuploadfiles/3a2156c8-a203-bcf3-aae9-7672f51022fd" TargetMode="External"/><Relationship Id="rId4145" Type="http://schemas.openxmlformats.org/officeDocument/2006/relationships/hyperlink" Target="https://app-web.statementrec.com/app#appuploadfiles/3a2156c9-12f1-45ab-9f12-cd9c49bd0527" TargetMode="External"/><Relationship Id="rId4146" Type="http://schemas.openxmlformats.org/officeDocument/2006/relationships/hyperlink" Target="https://app-web.statementrec.com/app#appuploadfiles/3a2156d2-d57b-2189-e85f-d255d4fbd01d" TargetMode="External"/><Relationship Id="rId4147" Type="http://schemas.openxmlformats.org/officeDocument/2006/relationships/hyperlink" Target="https://app-web.statementrec.com/app#appuploadfiles/3a2156de-2f5e-9148-9cab-89676b4fafec" TargetMode="External"/><Relationship Id="rId4148" Type="http://schemas.openxmlformats.org/officeDocument/2006/relationships/hyperlink" Target="https://app-web.statementrec.com/app#appuploadfiles/3a2156e0-4aea-348d-1181-bfcadaef9abf" TargetMode="External"/><Relationship Id="rId4149" Type="http://schemas.openxmlformats.org/officeDocument/2006/relationships/hyperlink" Target="https://app-web.statementrec.com/app#appuploadfiles/3a2156e8-c58d-94e1-7e98-df2f8ce9713d" TargetMode="External"/><Relationship Id="rId4150" Type="http://schemas.openxmlformats.org/officeDocument/2006/relationships/hyperlink" Target="https://app-web.statementrec.com/app#appuploadfiles/3a2156f8-2605-4736-5338-81a8abf593d6" TargetMode="External"/><Relationship Id="rId4151" Type="http://schemas.openxmlformats.org/officeDocument/2006/relationships/hyperlink" Target="https://app-web.statementrec.com/app#appuploadfiles/3a2156fb-4e68-dee9-4b59-2e3a618158ee" TargetMode="External"/><Relationship Id="rId4152" Type="http://schemas.openxmlformats.org/officeDocument/2006/relationships/hyperlink" Target="https://app-web.statementrec.com/app#appuploadfiles/3a2156fd-c513-7624-687c-00876ac0c1e8" TargetMode="External"/><Relationship Id="rId4153" Type="http://schemas.openxmlformats.org/officeDocument/2006/relationships/hyperlink" Target="https://app-web.statementrec.com/app#appuploadfiles/3a215703-7a86-4101-f8e4-4e29aceae687" TargetMode="External"/><Relationship Id="rId4154" Type="http://schemas.openxmlformats.org/officeDocument/2006/relationships/hyperlink" Target="https://app-web.statementrec.com/app#appuploadfiles/3a215708-d7f4-63da-2194-3c7cb00e9a60" TargetMode="External"/><Relationship Id="rId4155" Type="http://schemas.openxmlformats.org/officeDocument/2006/relationships/hyperlink" Target="https://app-web.statementrec.com/app#appuploadfiles/3a215722-2c10-42f0-84d5-45730c199123" TargetMode="External"/><Relationship Id="rId4156" Type="http://schemas.openxmlformats.org/officeDocument/2006/relationships/hyperlink" Target="https://app-web.statementrec.com/app#appuploadfiles/3a21572b-dbf6-bd55-6599-b8fee49aa1d9" TargetMode="External"/><Relationship Id="rId4157" Type="http://schemas.openxmlformats.org/officeDocument/2006/relationships/hyperlink" Target="https://app-web.statementrec.com/app#appuploadfiles/3a215733-a7dd-521f-a63d-0d9d57740764" TargetMode="External"/><Relationship Id="rId4158" Type="http://schemas.openxmlformats.org/officeDocument/2006/relationships/hyperlink" Target="https://app-web.statementrec.com/app#appuploadfiles/3a21573a-97ee-3782-fb8a-7138a3721968" TargetMode="External"/><Relationship Id="rId4159" Type="http://schemas.openxmlformats.org/officeDocument/2006/relationships/hyperlink" Target="https://app-web.statementrec.com/app#appuploadfiles/3a215742-986c-feee-7a71-3b1e71d4baf4" TargetMode="External"/><Relationship Id="rId4160" Type="http://schemas.openxmlformats.org/officeDocument/2006/relationships/hyperlink" Target="https://app-web.statementrec.com/app#appuploadfiles/3a215748-dd38-3485-281e-1615a684dd5c" TargetMode="External"/><Relationship Id="rId4161" Type="http://schemas.openxmlformats.org/officeDocument/2006/relationships/hyperlink" Target="https://app-web.statementrec.com/app#appuploadfiles/3a21576d-3471-eacf-d1f0-aa67a3bfa670" TargetMode="External"/><Relationship Id="rId4162" Type="http://schemas.openxmlformats.org/officeDocument/2006/relationships/hyperlink" Target="https://app-web.statementrec.com/app#appuploadfiles/3a215770-3809-dbb0-c896-b8d6c702bcb2" TargetMode="External"/><Relationship Id="rId4163" Type="http://schemas.openxmlformats.org/officeDocument/2006/relationships/hyperlink" Target="https://app-web.statementrec.com/app#appuploadfiles/3a21577f-feaa-2475-e56e-4e0c93c66bed" TargetMode="External"/><Relationship Id="rId4164" Type="http://schemas.openxmlformats.org/officeDocument/2006/relationships/hyperlink" Target="https://app-web.statementrec.com/app#appuploadfiles/3a215789-ce20-d5eb-658c-3d8dcf6cb0ad" TargetMode="External"/><Relationship Id="rId4165" Type="http://schemas.openxmlformats.org/officeDocument/2006/relationships/hyperlink" Target="https://app-web.statementrec.com/app#appuploadfiles/3a215790-a04d-6f9e-69d4-dc5931dc3a70" TargetMode="External"/><Relationship Id="rId4166" Type="http://schemas.openxmlformats.org/officeDocument/2006/relationships/hyperlink" Target="https://app-web.statementrec.com/app#appuploadfiles/3a215796-ee75-5e7f-9768-0ea65deb3919" TargetMode="External"/><Relationship Id="rId4167" Type="http://schemas.openxmlformats.org/officeDocument/2006/relationships/hyperlink" Target="https://app-web.statementrec.com/app#appuploadfiles/3a2157a3-eba1-7766-ca46-75dd62577810" TargetMode="External"/><Relationship Id="rId4168" Type="http://schemas.openxmlformats.org/officeDocument/2006/relationships/hyperlink" Target="https://app-web.statementrec.com/app#appuploadfiles/3a2157ae-e90e-8e95-d8e7-b0559242a2a7" TargetMode="External"/><Relationship Id="rId4169" Type="http://schemas.openxmlformats.org/officeDocument/2006/relationships/hyperlink" Target="https://app-web.statementrec.com/app#appuploadfiles/3a2157af-7019-10b8-8d7d-328555baaa25" TargetMode="External"/><Relationship Id="rId4170" Type="http://schemas.openxmlformats.org/officeDocument/2006/relationships/hyperlink" Target="https://app-web.statementrec.com/app#appuploadfiles/3a2157b9-68d0-e6b2-335a-3903432a6c4d" TargetMode="External"/><Relationship Id="rId4171" Type="http://schemas.openxmlformats.org/officeDocument/2006/relationships/hyperlink" Target="https://app-web.statementrec.com/app#appuploadfiles/3a2157bc-b023-f3c0-653c-fc1fe3048bd8" TargetMode="External"/><Relationship Id="rId4172" Type="http://schemas.openxmlformats.org/officeDocument/2006/relationships/hyperlink" Target="https://app-web.statementrec.com/app#appuploadfiles/3a2157bf-f9af-1d48-4d00-cf7b6bca84e0" TargetMode="External"/><Relationship Id="rId4173" Type="http://schemas.openxmlformats.org/officeDocument/2006/relationships/hyperlink" Target="https://app-web.statementrec.com/app#appuploadfiles/3a2157c4-c001-afd9-1f53-d47e6e7f7c7a" TargetMode="External"/><Relationship Id="rId4174" Type="http://schemas.openxmlformats.org/officeDocument/2006/relationships/hyperlink" Target="https://app-web.statementrec.com/app#appuploadfiles/3a2157ef-5a75-219d-dbd4-6fe0be9110c2" TargetMode="External"/><Relationship Id="rId4175" Type="http://schemas.openxmlformats.org/officeDocument/2006/relationships/hyperlink" Target="https://app-web.statementrec.com/app#appuploadfiles/3a2157f1-9819-f732-ef0b-fa401d09bd9c" TargetMode="External"/><Relationship Id="rId4176" Type="http://schemas.openxmlformats.org/officeDocument/2006/relationships/hyperlink" Target="https://app-web.statementrec.com/app#appuploadfiles/3a2157f4-b1b2-8e65-7064-27868ed97f1a" TargetMode="External"/><Relationship Id="rId4177" Type="http://schemas.openxmlformats.org/officeDocument/2006/relationships/hyperlink" Target="https://app-web.statementrec.com/app#appuploadfiles/3a215803-e560-4dfd-1b31-ee97ebc1b94b" TargetMode="External"/><Relationship Id="rId4178" Type="http://schemas.openxmlformats.org/officeDocument/2006/relationships/hyperlink" Target="https://app-web.statementrec.com/app#appuploadfiles/3a215807-d65e-4fcd-073a-2a5469835705" TargetMode="External"/><Relationship Id="rId4179" Type="http://schemas.openxmlformats.org/officeDocument/2006/relationships/hyperlink" Target="https://app-web.statementrec.com/app#appuploadfiles/3a215810-5a77-5675-d1b9-49e0e9a7a603" TargetMode="External"/><Relationship Id="rId4180" Type="http://schemas.openxmlformats.org/officeDocument/2006/relationships/hyperlink" Target="https://app-web.statementrec.com/app#appuploadfiles/3a21581b-c96c-d79b-5124-b49f8efc2920" TargetMode="External"/><Relationship Id="rId4181" Type="http://schemas.openxmlformats.org/officeDocument/2006/relationships/hyperlink" Target="https://app-web.statementrec.com/app#appuploadfiles/3a215822-21de-23aa-ad6a-a1d10ef9ac32" TargetMode="External"/><Relationship Id="rId4182" Type="http://schemas.openxmlformats.org/officeDocument/2006/relationships/hyperlink" Target="https://app-web.statementrec.com/app#appuploadfiles/3a215827-3fc1-d5d7-32d3-b1f39feaee7c" TargetMode="External"/><Relationship Id="rId4183" Type="http://schemas.openxmlformats.org/officeDocument/2006/relationships/hyperlink" Target="https://app-web.statementrec.com/app#appuploadfiles/3a21582f-11d7-a672-8870-3c4d793e3062" TargetMode="External"/><Relationship Id="rId4184" Type="http://schemas.openxmlformats.org/officeDocument/2006/relationships/hyperlink" Target="https://app-web.statementrec.com/app#appuploadfiles/3a215834-92e2-6d77-2c7d-b7377f92fed0" TargetMode="External"/><Relationship Id="rId4185" Type="http://schemas.openxmlformats.org/officeDocument/2006/relationships/hyperlink" Target="https://app-web.statementrec.com/app#appuploadfiles/3a21583d-38f4-3561-8e98-84b048e89b86" TargetMode="External"/><Relationship Id="rId4186" Type="http://schemas.openxmlformats.org/officeDocument/2006/relationships/hyperlink" Target="https://app-web.statementrec.com/app#appuploadfiles/3a215840-9725-a274-48c0-f35e2140d0cf" TargetMode="External"/><Relationship Id="rId4187" Type="http://schemas.openxmlformats.org/officeDocument/2006/relationships/hyperlink" Target="https://app-web.statementrec.com/app#appuploadfiles/3a215846-b089-1839-ac18-d85afdf3aa9d" TargetMode="External"/><Relationship Id="rId4188" Type="http://schemas.openxmlformats.org/officeDocument/2006/relationships/hyperlink" Target="https://app-web.statementrec.com/app#appuploadfiles/3a21585a-d419-ecf0-ea70-e1614322c861" TargetMode="External"/><Relationship Id="rId4189" Type="http://schemas.openxmlformats.org/officeDocument/2006/relationships/hyperlink" Target="https://app-web.statementrec.com/app#appuploadfiles/3a21588e-c86a-205c-f33d-d86a438d1f52" TargetMode="External"/><Relationship Id="rId4190" Type="http://schemas.openxmlformats.org/officeDocument/2006/relationships/hyperlink" Target="https://app-web.statementrec.com/app#appuploadfiles/3a215899-7505-6304-d12e-ae2de078ba44" TargetMode="External"/><Relationship Id="rId4191" Type="http://schemas.openxmlformats.org/officeDocument/2006/relationships/hyperlink" Target="https://app-web.statementrec.com/app#appuploadfiles/3a21589f-1f75-7e70-0711-69ba5e7e7725" TargetMode="External"/><Relationship Id="rId4192" Type="http://schemas.openxmlformats.org/officeDocument/2006/relationships/hyperlink" Target="https://app-web.statementrec.com/app#appuploadfiles/3a2158a7-3fa9-7831-f315-82ada5473439" TargetMode="External"/><Relationship Id="rId4193" Type="http://schemas.openxmlformats.org/officeDocument/2006/relationships/hyperlink" Target="https://app-web.statementrec.com/app#appuploadfiles/3a2158a8-87ab-0709-8d7b-f3b96fec1619" TargetMode="External"/><Relationship Id="rId4194" Type="http://schemas.openxmlformats.org/officeDocument/2006/relationships/hyperlink" Target="https://app-web.statementrec.com/app#appuploadfiles/3a2158ed-d8d9-487b-873d-52832fc4ce87" TargetMode="External"/><Relationship Id="rId4195" Type="http://schemas.openxmlformats.org/officeDocument/2006/relationships/hyperlink" Target="https://app-web.statementrec.com/app#appuploadfiles/3a2158f4-1947-9a1c-359d-a354ceee2e53" TargetMode="External"/><Relationship Id="rId4196" Type="http://schemas.openxmlformats.org/officeDocument/2006/relationships/hyperlink" Target="https://app-web.statementrec.com/app#appuploadfiles/3a215909-db10-fb9e-8b04-15e192c91767" TargetMode="External"/><Relationship Id="rId4197" Type="http://schemas.openxmlformats.org/officeDocument/2006/relationships/hyperlink" Target="https://app-web.statementrec.com/app#appuploadfiles/3a215980-09a7-233c-e0fb-23baef3f6760" TargetMode="External"/><Relationship Id="rId4198" Type="http://schemas.openxmlformats.org/officeDocument/2006/relationships/hyperlink" Target="https://app-web.statementrec.com/app#appuploadfiles/3a215987-c763-3402-223c-3e66bb3205e7" TargetMode="External"/><Relationship Id="rId4199" Type="http://schemas.openxmlformats.org/officeDocument/2006/relationships/hyperlink" Target="https://app-web.statementrec.com/app#appuploadfiles/3a21599a-f848-4178-3e46-f5f156a01e8b" TargetMode="External"/><Relationship Id="rId4200" Type="http://schemas.openxmlformats.org/officeDocument/2006/relationships/hyperlink" Target="https://app-web.statementrec.com/app#appuploadfiles/3a21599d-2800-7c26-2e19-84523989d60d" TargetMode="External"/><Relationship Id="rId4201" Type="http://schemas.openxmlformats.org/officeDocument/2006/relationships/hyperlink" Target="https://app-web.statementrec.com/app#appuploadfiles/3a21599e-0773-cc7b-f4c0-8b72edea4530" TargetMode="External"/><Relationship Id="rId4202" Type="http://schemas.openxmlformats.org/officeDocument/2006/relationships/hyperlink" Target="https://app-web.statementrec.com/app#appuploadfiles/3a215a32-82be-0a8e-829e-b8c69c25aacf" TargetMode="External"/><Relationship Id="rId4203" Type="http://schemas.openxmlformats.org/officeDocument/2006/relationships/hyperlink" Target="https://app-web.statementrec.com/app#appuploadfiles/3a215a5c-6d23-9c08-5819-2822a075d1dd" TargetMode="External"/><Relationship Id="rId4204" Type="http://schemas.openxmlformats.org/officeDocument/2006/relationships/hyperlink" Target="https://app-web.statementrec.com/app#appuploadfiles/3a215a7d-085e-1cb8-2165-791d8db9d591" TargetMode="External"/><Relationship Id="rId4205" Type="http://schemas.openxmlformats.org/officeDocument/2006/relationships/hyperlink" Target="https://app-web.statementrec.com/app#appuploadfiles/3a215b4d-601e-568a-a06c-4b63784c20bf" TargetMode="External"/><Relationship Id="rId4206" Type="http://schemas.openxmlformats.org/officeDocument/2006/relationships/hyperlink" Target="https://app-web.statementrec.com/app#appuploadfiles/3a215b50-58e0-e74e-eaba-b2ef2e0059c0" TargetMode="External"/><Relationship Id="rId4207" Type="http://schemas.openxmlformats.org/officeDocument/2006/relationships/hyperlink" Target="https://app-web.statementrec.com/app#appuploadfiles/3a215b7d-46a8-88d1-e275-590b8b87f737" TargetMode="External"/><Relationship Id="rId4208" Type="http://schemas.openxmlformats.org/officeDocument/2006/relationships/hyperlink" Target="https://app-web.statementrec.com/app#appuploadfiles/3a215b7d-995e-1497-613c-54230593fcc7" TargetMode="External"/><Relationship Id="rId4209" Type="http://schemas.openxmlformats.org/officeDocument/2006/relationships/hyperlink" Target="https://app-web.statementrec.com/app#appuploadfiles/3a215b7e-b801-8106-5194-211276fada26" TargetMode="External"/><Relationship Id="rId4210" Type="http://schemas.openxmlformats.org/officeDocument/2006/relationships/hyperlink" Target="https://app-web.statementrec.com/app#appuploadfiles/3a215b86-82cb-879a-7df8-754d174a7c4c" TargetMode="External"/><Relationship Id="rId4211" Type="http://schemas.openxmlformats.org/officeDocument/2006/relationships/hyperlink" Target="https://app-web.statementrec.com/app#appuploadfiles/3a215bb0-5579-1f4e-f92d-7ca4cce1a900" TargetMode="External"/><Relationship Id="rId4212" Type="http://schemas.openxmlformats.org/officeDocument/2006/relationships/hyperlink" Target="https://app-web.statementrec.com/app#appuploadfiles/3a215bbf-e629-cd7f-a10c-1e1a4395e7f9" TargetMode="External"/><Relationship Id="rId4213" Type="http://schemas.openxmlformats.org/officeDocument/2006/relationships/hyperlink" Target="https://app-web.statementrec.com/app#appuploadfiles/3a215bc3-4a96-bd7d-ab0a-dd5f70bf1be7" TargetMode="External"/><Relationship Id="rId4214" Type="http://schemas.openxmlformats.org/officeDocument/2006/relationships/hyperlink" Target="https://app-web.statementrec.com/app#appuploadfiles/3a215bdb-1b75-4e0f-e867-9be61831f8e5" TargetMode="External"/><Relationship Id="rId4215" Type="http://schemas.openxmlformats.org/officeDocument/2006/relationships/hyperlink" Target="https://app-web.statementrec.com/app#appuploadfiles/3a215bde-b1ac-fd1f-d7ba-965bbb8b2f20" TargetMode="External"/><Relationship Id="rId4216" Type="http://schemas.openxmlformats.org/officeDocument/2006/relationships/hyperlink" Target="https://app-web.statementrec.com/app#appuploadfiles/3a215bdf-e8b7-c624-d575-080643cf6e17" TargetMode="External"/><Relationship Id="rId4217" Type="http://schemas.openxmlformats.org/officeDocument/2006/relationships/hyperlink" Target="https://app-web.statementrec.com/app#appuploadfiles/3a215be3-270f-a303-570d-015bd7718c6e" TargetMode="External"/><Relationship Id="rId4218" Type="http://schemas.openxmlformats.org/officeDocument/2006/relationships/hyperlink" Target="https://app-web.statementrec.com/app#appuploadfiles/3a215be4-064b-f007-ff85-f54fb7f4003d" TargetMode="External"/><Relationship Id="rId4219" Type="http://schemas.openxmlformats.org/officeDocument/2006/relationships/hyperlink" Target="https://app-web.statementrec.com/app#appuploadfiles/3a215be5-2c40-2a76-c089-476dc2fa13e4" TargetMode="External"/><Relationship Id="rId4220" Type="http://schemas.openxmlformats.org/officeDocument/2006/relationships/hyperlink" Target="https://app-web.statementrec.com/app#appuploadfiles/3a215bed-9f05-ece7-ecd3-130ea1436fc0" TargetMode="External"/><Relationship Id="rId4221" Type="http://schemas.openxmlformats.org/officeDocument/2006/relationships/hyperlink" Target="https://app-web.statementrec.com/app#appuploadfiles/3a215bee-a2b9-7b26-f53c-d64388c57af7" TargetMode="External"/><Relationship Id="rId4222" Type="http://schemas.openxmlformats.org/officeDocument/2006/relationships/hyperlink" Target="https://app-web.statementrec.com/app#appuploadfiles/3a215bf1-3da8-2173-b24c-b3fa6479eeac" TargetMode="External"/><Relationship Id="rId4223" Type="http://schemas.openxmlformats.org/officeDocument/2006/relationships/hyperlink" Target="https://app-web.statementrec.com/app#appuploadfiles/3a215c03-d4c5-ee41-a0ea-eeb138cc9d2b" TargetMode="External"/><Relationship Id="rId4224" Type="http://schemas.openxmlformats.org/officeDocument/2006/relationships/hyperlink" Target="https://app-web.statementrec.com/app#appuploadfiles/3a215c04-596c-ec9e-76a2-610ed772d741" TargetMode="External"/><Relationship Id="rId4225" Type="http://schemas.openxmlformats.org/officeDocument/2006/relationships/hyperlink" Target="https://app-web.statementrec.com/app#appuploadfiles/3a215c14-a069-476f-cf55-b4729986f008" TargetMode="External"/><Relationship Id="rId4226" Type="http://schemas.openxmlformats.org/officeDocument/2006/relationships/hyperlink" Target="https://app-web.statementrec.com/app#appuploadfiles/3a215c1b-46b0-cf38-09ea-1800cc4616b3" TargetMode="External"/><Relationship Id="rId4227" Type="http://schemas.openxmlformats.org/officeDocument/2006/relationships/hyperlink" Target="https://app-web.statementrec.com/app#appuploadfiles/3a215c1d-eff9-3d0f-0a21-015fd2a6e908" TargetMode="External"/><Relationship Id="rId4228" Type="http://schemas.openxmlformats.org/officeDocument/2006/relationships/hyperlink" Target="https://app-web.statementrec.com/app#appuploadfiles/3a215c22-6a4b-ab1a-adac-86813cc4cb76" TargetMode="External"/><Relationship Id="rId4229" Type="http://schemas.openxmlformats.org/officeDocument/2006/relationships/hyperlink" Target="https://app-web.statementrec.com/app#appuploadfiles/3a215c32-1dde-019e-5baa-2579a046ce24" TargetMode="External"/><Relationship Id="rId4230" Type="http://schemas.openxmlformats.org/officeDocument/2006/relationships/hyperlink" Target="https://app-web.statementrec.com/app#appuploadfiles/3a215c32-b430-9f1e-d725-4deabe05eb00" TargetMode="External"/><Relationship Id="rId4231" Type="http://schemas.openxmlformats.org/officeDocument/2006/relationships/hyperlink" Target="https://app-web.statementrec.com/app#appuploadfiles/3a215c32-efa8-38b6-69e2-e37a8274222f" TargetMode="External"/><Relationship Id="rId4232" Type="http://schemas.openxmlformats.org/officeDocument/2006/relationships/hyperlink" Target="https://app-web.statementrec.com/app#appuploadfiles/3a215c55-cd41-2896-f63a-f36c822351b7" TargetMode="External"/><Relationship Id="rId4233" Type="http://schemas.openxmlformats.org/officeDocument/2006/relationships/hyperlink" Target="https://app-web.statementrec.com/app#appuploadfiles/3a215c58-130a-3615-a922-9d11327f2964" TargetMode="External"/><Relationship Id="rId4234" Type="http://schemas.openxmlformats.org/officeDocument/2006/relationships/hyperlink" Target="https://app-web.statementrec.com/app#appuploadfiles/3a215c62-fb4f-040c-e3e1-1da6b36e6ca3" TargetMode="External"/><Relationship Id="rId4235" Type="http://schemas.openxmlformats.org/officeDocument/2006/relationships/hyperlink" Target="https://app-web.statementrec.com/app#appuploadfiles/3a215c65-b4b9-cead-e7b8-3068bdab4b27" TargetMode="External"/><Relationship Id="rId4236" Type="http://schemas.openxmlformats.org/officeDocument/2006/relationships/hyperlink" Target="https://app-web.statementrec.com/app#appuploadfiles/3a215c6d-a0eb-7539-1b9a-67aab2d91a06" TargetMode="External"/><Relationship Id="rId4237" Type="http://schemas.openxmlformats.org/officeDocument/2006/relationships/hyperlink" Target="https://app-web.statementrec.com/app#appuploadfiles/3a215c7e-c5bb-6b63-26cb-a950a65789e9" TargetMode="External"/><Relationship Id="rId4238" Type="http://schemas.openxmlformats.org/officeDocument/2006/relationships/hyperlink" Target="https://app-web.statementrec.com/app#appuploadfiles/3a215c8a-02d3-5477-1f33-b2c6c20fa4bc" TargetMode="External"/><Relationship Id="rId4239" Type="http://schemas.openxmlformats.org/officeDocument/2006/relationships/hyperlink" Target="https://app-web.statementrec.com/app#appuploadfiles/3a215c8e-d8ca-5651-2e95-11c073e0ec3f" TargetMode="External"/><Relationship Id="rId4240" Type="http://schemas.openxmlformats.org/officeDocument/2006/relationships/hyperlink" Target="https://app-web.statementrec.com/app#appuploadfiles/3a215c99-75ff-6f64-e9f8-616e22af7ab7" TargetMode="External"/><Relationship Id="rId4241" Type="http://schemas.openxmlformats.org/officeDocument/2006/relationships/hyperlink" Target="https://app-web.statementrec.com/app#appuploadfiles/3a215c9a-b4c2-5065-9fe9-4ecb3d63d0bb" TargetMode="External"/><Relationship Id="rId4242" Type="http://schemas.openxmlformats.org/officeDocument/2006/relationships/hyperlink" Target="https://app-web.statementrec.com/app#appuploadfiles/3a215ca1-3d59-64ab-181a-a003d2425b77" TargetMode="External"/><Relationship Id="rId4243" Type="http://schemas.openxmlformats.org/officeDocument/2006/relationships/hyperlink" Target="https://app-web.statementrec.com/app#appuploadfiles/3a215ca4-b932-0741-2e24-133cef9fa900" TargetMode="External"/><Relationship Id="rId4244" Type="http://schemas.openxmlformats.org/officeDocument/2006/relationships/hyperlink" Target="https://app-web.statementrec.com/app#appuploadfiles/3a215cae-b4c6-79f1-6f4c-bb75237c778e" TargetMode="External"/><Relationship Id="rId4245" Type="http://schemas.openxmlformats.org/officeDocument/2006/relationships/hyperlink" Target="https://app-web.statementrec.com/app#appuploadfiles/3a215ccb-63e0-9f0b-0962-b32eb49363e5" TargetMode="External"/><Relationship Id="rId4246" Type="http://schemas.openxmlformats.org/officeDocument/2006/relationships/hyperlink" Target="https://app-web.statementrec.com/app#appuploadfiles/3a215ccf-bbb1-3d0d-cc4e-ca64b82c9295" TargetMode="External"/><Relationship Id="rId4247" Type="http://schemas.openxmlformats.org/officeDocument/2006/relationships/hyperlink" Target="https://app-web.statementrec.com/app#appuploadfiles/3a215cd3-1c58-c087-b667-f3029d2279de" TargetMode="External"/><Relationship Id="rId4248" Type="http://schemas.openxmlformats.org/officeDocument/2006/relationships/hyperlink" Target="https://app-web.statementrec.com/app#appuploadfiles/3a215ce3-c9ed-0005-d414-6686c8ae9689" TargetMode="External"/><Relationship Id="rId4249" Type="http://schemas.openxmlformats.org/officeDocument/2006/relationships/hyperlink" Target="https://app-web.statementrec.com/app#appuploadfiles/3a215cef-7e66-32de-8937-93a250526d18" TargetMode="External"/><Relationship Id="rId4250" Type="http://schemas.openxmlformats.org/officeDocument/2006/relationships/hyperlink" Target="https://app-web.statementrec.com/app#appuploadfiles/3a215cf3-8ce4-1821-4b01-eedbd59526ca" TargetMode="External"/><Relationship Id="rId4251" Type="http://schemas.openxmlformats.org/officeDocument/2006/relationships/hyperlink" Target="https://app-web.statementrec.com/app#appuploadfiles/3a215cf6-7f75-3a32-6273-2bf6b0ed5ee6" TargetMode="External"/><Relationship Id="rId4252" Type="http://schemas.openxmlformats.org/officeDocument/2006/relationships/hyperlink" Target="https://app-web.statementrec.com/app#appuploadfiles/3a215cfa-1923-66da-e2f1-94be2a33bf09" TargetMode="External"/><Relationship Id="rId4253" Type="http://schemas.openxmlformats.org/officeDocument/2006/relationships/hyperlink" Target="https://app-web.statementrec.com/app#appuploadfiles/3a215cfd-2372-1672-4e16-5a66b03ceba7" TargetMode="External"/><Relationship Id="rId4254" Type="http://schemas.openxmlformats.org/officeDocument/2006/relationships/hyperlink" Target="https://app-web.statementrec.com/app#appuploadfiles/3a215cff-41e4-a5ba-3577-b09017a20901" TargetMode="External"/><Relationship Id="rId4255" Type="http://schemas.openxmlformats.org/officeDocument/2006/relationships/hyperlink" Target="https://app-web.statementrec.com/app#appuploadfiles/3a215d00-cd81-2d3c-1727-ca6fed401910" TargetMode="External"/><Relationship Id="rId4256" Type="http://schemas.openxmlformats.org/officeDocument/2006/relationships/hyperlink" Target="https://app-web.statementrec.com/app#appuploadfiles/3a215d05-4e33-b874-9a95-0d2bed16a7f2" TargetMode="External"/><Relationship Id="rId4257" Type="http://schemas.openxmlformats.org/officeDocument/2006/relationships/hyperlink" Target="https://app-web.statementrec.com/app#appuploadfiles/3a215d06-ec9c-bf3d-7aca-0c9f4006adec" TargetMode="External"/><Relationship Id="rId4258" Type="http://schemas.openxmlformats.org/officeDocument/2006/relationships/hyperlink" Target="https://app-web.statementrec.com/app#appuploadfiles/3a215d07-56f5-d28a-54d9-a978d53d6f7d" TargetMode="External"/><Relationship Id="rId4259" Type="http://schemas.openxmlformats.org/officeDocument/2006/relationships/hyperlink" Target="https://app-web.statementrec.com/app#appuploadfiles/3a215d0e-0ea4-5ca1-3fe1-245a85856eac" TargetMode="External"/><Relationship Id="rId4260" Type="http://schemas.openxmlformats.org/officeDocument/2006/relationships/hyperlink" Target="https://app-web.statementrec.com/app#appuploadfiles/3a215d14-b84e-ff06-6048-7d32b2f16592" TargetMode="External"/><Relationship Id="rId4261" Type="http://schemas.openxmlformats.org/officeDocument/2006/relationships/hyperlink" Target="https://app-web.statementrec.com/app#appuploadfiles/3a215d16-d64c-fca9-43e1-cb68fd523787" TargetMode="External"/><Relationship Id="rId4262" Type="http://schemas.openxmlformats.org/officeDocument/2006/relationships/hyperlink" Target="https://app-web.statementrec.com/app#appuploadfiles/3a215d18-70ac-3fdd-3e26-736dc51b957a" TargetMode="External"/><Relationship Id="rId4263" Type="http://schemas.openxmlformats.org/officeDocument/2006/relationships/hyperlink" Target="https://app-web.statementrec.com/app#appuploadfiles/3a215d2f-5146-acc7-7dfc-57ea5c880f26" TargetMode="External"/><Relationship Id="rId4264" Type="http://schemas.openxmlformats.org/officeDocument/2006/relationships/hyperlink" Target="https://app-web.statementrec.com/app#appuploadfiles/3a215d33-af70-11a0-2d72-bfe35067de9d" TargetMode="External"/><Relationship Id="rId4265" Type="http://schemas.openxmlformats.org/officeDocument/2006/relationships/hyperlink" Target="https://app-web.statementrec.com/app#appuploadfiles/3a215d36-98f3-a69f-5ac2-69a62e67d4b3" TargetMode="External"/><Relationship Id="rId4266" Type="http://schemas.openxmlformats.org/officeDocument/2006/relationships/hyperlink" Target="https://app-web.statementrec.com/app#appuploadfiles/3a215d40-4121-0c1a-1a35-80e2223e923c" TargetMode="External"/><Relationship Id="rId4267" Type="http://schemas.openxmlformats.org/officeDocument/2006/relationships/hyperlink" Target="https://app-web.statementrec.com/app#appuploadfiles/3a215d40-cdae-a705-3578-37ccb1d81c34" TargetMode="External"/><Relationship Id="rId4268" Type="http://schemas.openxmlformats.org/officeDocument/2006/relationships/hyperlink" Target="https://app-web.statementrec.com/app#appuploadfiles/3a215d48-ce60-27cc-5850-ef41513d75e6" TargetMode="External"/><Relationship Id="rId4269" Type="http://schemas.openxmlformats.org/officeDocument/2006/relationships/hyperlink" Target="https://app-web.statementrec.com/app#appuploadfiles/3a215d4f-f355-6306-c8cc-ab17e48f112e" TargetMode="External"/><Relationship Id="rId4270" Type="http://schemas.openxmlformats.org/officeDocument/2006/relationships/hyperlink" Target="https://app-web.statementrec.com/app#appuploadfiles/3a215d54-98f0-7f0f-6d81-2d29907ce38f" TargetMode="External"/><Relationship Id="rId4271" Type="http://schemas.openxmlformats.org/officeDocument/2006/relationships/hyperlink" Target="https://app-web.statementrec.com/app#appuploadfiles/3a215d79-6fc6-506c-be54-be075201d0d3" TargetMode="External"/><Relationship Id="rId4272" Type="http://schemas.openxmlformats.org/officeDocument/2006/relationships/hyperlink" Target="https://app-web.statementrec.com/app#appuploadfiles/3a215d82-6f18-94f6-9c43-8f68cab532e1" TargetMode="External"/><Relationship Id="rId4273" Type="http://schemas.openxmlformats.org/officeDocument/2006/relationships/hyperlink" Target="https://app-web.statementrec.com/app#appuploadfiles/3a215d84-e619-31d0-8df6-a18b336b6232" TargetMode="External"/><Relationship Id="rId4274" Type="http://schemas.openxmlformats.org/officeDocument/2006/relationships/hyperlink" Target="https://app-web.statementrec.com/app#appuploadfiles/3a215db5-6adc-86e9-7ce2-0e0cacd75fb5" TargetMode="External"/><Relationship Id="rId4275" Type="http://schemas.openxmlformats.org/officeDocument/2006/relationships/hyperlink" Target="https://app-web.statementrec.com/app#appuploadfiles/3a215dcb-b436-d781-421e-bf80988cb64d" TargetMode="External"/><Relationship Id="rId4276" Type="http://schemas.openxmlformats.org/officeDocument/2006/relationships/hyperlink" Target="https://app-web.statementrec.com/app#appuploadfiles/3a215dd5-b4ad-530d-52aa-d94ea904dca0" TargetMode="External"/><Relationship Id="rId4277" Type="http://schemas.openxmlformats.org/officeDocument/2006/relationships/hyperlink" Target="https://app-web.statementrec.com/app#appuploadfiles/3a215de0-4b2b-bf1d-7693-5d1df27f3deb" TargetMode="External"/><Relationship Id="rId4278" Type="http://schemas.openxmlformats.org/officeDocument/2006/relationships/hyperlink" Target="https://app-web.statementrec.com/app#appuploadfiles/3a215e0e-245f-9d5a-4274-b5c8ca0350bf" TargetMode="External"/><Relationship Id="rId4279" Type="http://schemas.openxmlformats.org/officeDocument/2006/relationships/hyperlink" Target="https://app-web.statementrec.com/app#appuploadfiles/3a215e0e-8a99-e043-e5bc-7a1ced5dc15d" TargetMode="External"/><Relationship Id="rId4280" Type="http://schemas.openxmlformats.org/officeDocument/2006/relationships/hyperlink" Target="https://app-web.statementrec.com/app#appuploadfiles/3a215e2f-cb22-136e-a42a-e261a7bd1ffb" TargetMode="External"/><Relationship Id="rId4281" Type="http://schemas.openxmlformats.org/officeDocument/2006/relationships/hyperlink" Target="https://app-web.statementrec.com/app#appuploadfiles/3a215efb-cebc-7e55-8f01-27fe9a0f83fb" TargetMode="External"/><Relationship Id="rId4282" Type="http://schemas.openxmlformats.org/officeDocument/2006/relationships/hyperlink" Target="https://app-web.statementrec.com/app#appuploadfiles/3a215eff-daf4-45b6-517a-c8ff5096998f" TargetMode="External"/><Relationship Id="rId4283" Type="http://schemas.openxmlformats.org/officeDocument/2006/relationships/hyperlink" Target="https://app-web.statementrec.com/app#appuploadfiles/3a215f06-a530-b139-e79b-6f389ea00f25" TargetMode="External"/><Relationship Id="rId4284" Type="http://schemas.openxmlformats.org/officeDocument/2006/relationships/hyperlink" Target="https://app-web.statementrec.com/app#appuploadfiles/3a215fe5-ca0c-005b-388c-4bfc19ec275f" TargetMode="External"/><Relationship Id="rId4285" Type="http://schemas.openxmlformats.org/officeDocument/2006/relationships/hyperlink" Target="https://app-web.statementrec.com/app#appuploadfiles/3a21605e-9a18-da4a-dead-6a789d5add4a" TargetMode="External"/><Relationship Id="rId4286" Type="http://schemas.openxmlformats.org/officeDocument/2006/relationships/hyperlink" Target="https://app-web.statementrec.com/app#appuploadfiles/3a21606e-1bc2-71a0-a09d-e1e2d48d6f63" TargetMode="External"/><Relationship Id="rId4287" Type="http://schemas.openxmlformats.org/officeDocument/2006/relationships/hyperlink" Target="https://app-web.statementrec.com/app#appuploadfiles/3a2160ab-4e6c-8ed6-5db6-2cb7c49d4aca" TargetMode="External"/><Relationship Id="rId4288" Type="http://schemas.openxmlformats.org/officeDocument/2006/relationships/hyperlink" Target="https://app-web.statementrec.com/app#appuploadfiles/3a2160eb-c2f7-f97f-5ce3-15fbe5b1d400" TargetMode="External"/><Relationship Id="rId4289" Type="http://schemas.openxmlformats.org/officeDocument/2006/relationships/hyperlink" Target="https://app-web.statementrec.com/app#appuploadfiles/3a2160ee-a286-aaf9-d068-08180e1609aa" TargetMode="External"/><Relationship Id="rId4290" Type="http://schemas.openxmlformats.org/officeDocument/2006/relationships/hyperlink" Target="https://app-web.statementrec.com/app#appuploadfiles/3a2160ee-e6d8-4a94-2e21-d1c0b9902c8a" TargetMode="External"/><Relationship Id="rId4291" Type="http://schemas.openxmlformats.org/officeDocument/2006/relationships/hyperlink" Target="https://app-web.statementrec.com/app#appuploadfiles/3a2160f1-189e-bdd6-26d0-7a32ec2f03cd" TargetMode="External"/><Relationship Id="rId4292" Type="http://schemas.openxmlformats.org/officeDocument/2006/relationships/hyperlink" Target="https://app-web.statementrec.com/app#appuploadfiles/3a216113-0fdc-42cc-e328-256677c993e5" TargetMode="External"/><Relationship Id="rId4293" Type="http://schemas.openxmlformats.org/officeDocument/2006/relationships/hyperlink" Target="https://app-web.statementrec.com/app#appuploadfiles/3a216116-84d7-e256-6803-9d1e1aaf33dc" TargetMode="External"/><Relationship Id="rId4294" Type="http://schemas.openxmlformats.org/officeDocument/2006/relationships/hyperlink" Target="https://app-web.statementrec.com/app#appuploadfiles/3a21611c-358b-82c4-95f9-541a7d41f4b7" TargetMode="External"/><Relationship Id="rId4295" Type="http://schemas.openxmlformats.org/officeDocument/2006/relationships/hyperlink" Target="https://app-web.statementrec.com/app#appuploadfiles/3a216121-aaba-94fe-f07e-82766fe5b70c" TargetMode="External"/><Relationship Id="rId4296" Type="http://schemas.openxmlformats.org/officeDocument/2006/relationships/hyperlink" Target="https://app-web.statementrec.com/app#appuploadfiles/3a216132-ef4f-e8f6-0bae-953e0677e9bd" TargetMode="External"/><Relationship Id="rId4297" Type="http://schemas.openxmlformats.org/officeDocument/2006/relationships/hyperlink" Target="https://app-web.statementrec.com/app#appuploadfiles/3a21613b-a49f-1862-7c2e-505eefa1ca4e" TargetMode="External"/><Relationship Id="rId4298" Type="http://schemas.openxmlformats.org/officeDocument/2006/relationships/hyperlink" Target="https://app-web.statementrec.com/app#appuploadfiles/3a21613e-5201-03ee-a71c-0421fd3da4fc" TargetMode="External"/><Relationship Id="rId4299" Type="http://schemas.openxmlformats.org/officeDocument/2006/relationships/hyperlink" Target="https://app-web.statementrec.com/app#appuploadfiles/3a216146-5646-04b5-8797-60a42e099da6" TargetMode="External"/><Relationship Id="rId4300" Type="http://schemas.openxmlformats.org/officeDocument/2006/relationships/hyperlink" Target="https://app-web.statementrec.com/app#appuploadfiles/3a216148-238d-e9a8-49a8-79b6eb64d8e8" TargetMode="External"/><Relationship Id="rId4301" Type="http://schemas.openxmlformats.org/officeDocument/2006/relationships/hyperlink" Target="https://app-web.statementrec.com/app#appuploadfiles/3a21615b-957e-624a-7877-cce6c6ed4b14" TargetMode="External"/><Relationship Id="rId4302" Type="http://schemas.openxmlformats.org/officeDocument/2006/relationships/hyperlink" Target="https://app-web.statementrec.com/app#appuploadfiles/3a216161-caaa-0fe2-fa3c-b7fb166df0d7" TargetMode="External"/><Relationship Id="rId4303" Type="http://schemas.openxmlformats.org/officeDocument/2006/relationships/hyperlink" Target="https://app-web.statementrec.com/app#appuploadfiles/3a21617e-7b3e-90c7-1aec-06812d3f21c3" TargetMode="External"/><Relationship Id="rId4304" Type="http://schemas.openxmlformats.org/officeDocument/2006/relationships/hyperlink" Target="https://app-web.statementrec.com/app#appuploadfiles/3a216180-3d9d-eca8-e6b1-ca24c1ccef1e" TargetMode="External"/><Relationship Id="rId4305" Type="http://schemas.openxmlformats.org/officeDocument/2006/relationships/hyperlink" Target="https://app-web.statementrec.com/app#appuploadfiles/3a216193-fedd-d950-557b-8f235e4cced8" TargetMode="External"/><Relationship Id="rId4306" Type="http://schemas.openxmlformats.org/officeDocument/2006/relationships/hyperlink" Target="https://app-web.statementrec.com/app#appuploadfiles/3a2161dc-a3a6-a55c-7fe7-1289ad72281f" TargetMode="External"/><Relationship Id="rId4307" Type="http://schemas.openxmlformats.org/officeDocument/2006/relationships/hyperlink" Target="https://app-web.statementrec.com/app#appuploadfiles/3a2161de-596a-4a5a-c9bb-b87ca3c1e783" TargetMode="External"/><Relationship Id="rId4308" Type="http://schemas.openxmlformats.org/officeDocument/2006/relationships/hyperlink" Target="https://app-web.statementrec.com/app#appuploadfiles/3a2161e3-9686-45e8-b85a-42daca107b6d" TargetMode="External"/><Relationship Id="rId4309" Type="http://schemas.openxmlformats.org/officeDocument/2006/relationships/hyperlink" Target="https://app-web.statementrec.com/app#appuploadfiles/3a2161e9-ceeb-38c2-d5bf-a4e13ac5d453" TargetMode="External"/><Relationship Id="rId4310" Type="http://schemas.openxmlformats.org/officeDocument/2006/relationships/hyperlink" Target="https://app-web.statementrec.com/app#appuploadfiles/3a2161ee-9854-a959-9c38-18753c9f17f1" TargetMode="External"/><Relationship Id="rId4311" Type="http://schemas.openxmlformats.org/officeDocument/2006/relationships/hyperlink" Target="https://app-web.statementrec.com/app#appuploadfiles/3a216203-846b-fea2-dc6e-b452527380ce" TargetMode="External"/><Relationship Id="rId4312" Type="http://schemas.openxmlformats.org/officeDocument/2006/relationships/hyperlink" Target="https://app-web.statementrec.com/app#appuploadfiles/3a216205-f27e-706d-03ac-0492ded15914" TargetMode="External"/><Relationship Id="rId4313" Type="http://schemas.openxmlformats.org/officeDocument/2006/relationships/hyperlink" Target="https://app-web.statementrec.com/app#appuploadfiles/3a216225-ea65-4dd9-18bd-b6c88af5726c" TargetMode="External"/><Relationship Id="rId4314" Type="http://schemas.openxmlformats.org/officeDocument/2006/relationships/hyperlink" Target="https://app-web.statementrec.com/app#appuploadfiles/3a21622b-2dee-50d8-c079-46db45654136" TargetMode="External"/><Relationship Id="rId4315" Type="http://schemas.openxmlformats.org/officeDocument/2006/relationships/hyperlink" Target="https://app-web.statementrec.com/app#appuploadfiles/3a21622d-a4d6-2429-a300-666d46852763" TargetMode="External"/><Relationship Id="rId4316" Type="http://schemas.openxmlformats.org/officeDocument/2006/relationships/hyperlink" Target="https://app-web.statementrec.com/app#appuploadfiles/3a216231-79b2-3868-fcc8-e8559de395f3" TargetMode="External"/><Relationship Id="rId4317" Type="http://schemas.openxmlformats.org/officeDocument/2006/relationships/hyperlink" Target="https://app-web.statementrec.com/app#appuploadfiles/3a216239-1a79-7b66-bca2-70c762dea74c" TargetMode="External"/><Relationship Id="rId4318" Type="http://schemas.openxmlformats.org/officeDocument/2006/relationships/hyperlink" Target="https://app-web.statementrec.com/app#appuploadfiles/3a21624d-b02f-f3ad-0adc-7d92bbf7703d" TargetMode="External"/><Relationship Id="rId4319" Type="http://schemas.openxmlformats.org/officeDocument/2006/relationships/hyperlink" Target="https://app-web.statementrec.com/app#appuploadfiles/3a216258-c436-9df5-db0a-2bb4c39847de" TargetMode="External"/><Relationship Id="rId4320" Type="http://schemas.openxmlformats.org/officeDocument/2006/relationships/hyperlink" Target="https://app-web.statementrec.com/app#appuploadfiles/3a216276-03aa-fb2f-da81-9911fb8b320f" TargetMode="External"/><Relationship Id="rId4321" Type="http://schemas.openxmlformats.org/officeDocument/2006/relationships/hyperlink" Target="https://app-web.statementrec.com/app#appuploadfiles/3a216328-309c-90fd-0fe8-b376644d10d4" TargetMode="External"/><Relationship Id="rId4322" Type="http://schemas.openxmlformats.org/officeDocument/2006/relationships/hyperlink" Target="https://app-web.statementrec.com/app#appuploadfiles/3a216328-fb11-4768-85da-2be0d48b24de" TargetMode="External"/><Relationship Id="rId4323" Type="http://schemas.openxmlformats.org/officeDocument/2006/relationships/hyperlink" Target="https://app-web.statementrec.com/app#appuploadfiles/3a216348-6a40-9bd2-1932-5d3923a8e341" TargetMode="External"/><Relationship Id="rId4324" Type="http://schemas.openxmlformats.org/officeDocument/2006/relationships/hyperlink" Target="https://app-web.statementrec.com/app#appuploadfiles/3a216380-4163-e5c3-fd8c-4f2edc4a3584" TargetMode="External"/><Relationship Id="rId4325" Type="http://schemas.openxmlformats.org/officeDocument/2006/relationships/hyperlink" Target="https://app-web.statementrec.com/app#appuploadfiles/3a216393-1ab4-d42e-f69d-63efb91a04a3" TargetMode="External"/><Relationship Id="rId4326" Type="http://schemas.openxmlformats.org/officeDocument/2006/relationships/hyperlink" Target="https://app-web.statementrec.com/app#appuploadfiles/3a216620-d69a-158b-e29c-ee471ac7a12d" TargetMode="External"/><Relationship Id="rId4327" Type="http://schemas.openxmlformats.org/officeDocument/2006/relationships/hyperlink" Target="https://app-web.statementrec.com/app#appuploadfiles/3a216711-1fc5-8e9b-6942-6e1b31fb9898" TargetMode="External"/><Relationship Id="rId4328" Type="http://schemas.openxmlformats.org/officeDocument/2006/relationships/hyperlink" Target="https://app-web.statementrec.com/app#appuploadfiles/3a216715-9ba5-24c2-7bb1-92d6488924eb" TargetMode="External"/><Relationship Id="rId4329" Type="http://schemas.openxmlformats.org/officeDocument/2006/relationships/hyperlink" Target="https://app-web.statementrec.com/app#appuploadfiles/3a216760-8b3b-4733-0658-054ddd0ffc61" TargetMode="External"/><Relationship Id="rId4330" Type="http://schemas.openxmlformats.org/officeDocument/2006/relationships/hyperlink" Target="https://app-web.statementrec.com/app#appuploadfiles/3a21679b-f354-1b29-942f-611ba9141bca" TargetMode="External"/><Relationship Id="rId4331" Type="http://schemas.openxmlformats.org/officeDocument/2006/relationships/hyperlink" Target="https://app-web.statementrec.com/app#appuploadfiles/3a2168da-92e8-8118-9e8f-6928cf264c19" TargetMode="External"/><Relationship Id="rId4332" Type="http://schemas.openxmlformats.org/officeDocument/2006/relationships/hyperlink" Target="https://app-web.statementrec.com/app#appuploadfiles/3a216985-9f7f-f74a-2505-f7b1ae6045d5" TargetMode="External"/><Relationship Id="rId4333" Type="http://schemas.openxmlformats.org/officeDocument/2006/relationships/hyperlink" Target="https://app-web.statementrec.com/app#appuploadfiles/3a216b98-043a-ec87-252d-530f8e39e986" TargetMode="External"/><Relationship Id="rId4334" Type="http://schemas.openxmlformats.org/officeDocument/2006/relationships/hyperlink" Target="https://app-web.statementrec.com/app#appuploadfiles/3a216bc2-23e9-5ff5-42f7-773bcb490623" TargetMode="External"/><Relationship Id="rId4335" Type="http://schemas.openxmlformats.org/officeDocument/2006/relationships/hyperlink" Target="https://app-web.statementrec.com/app#appuploadfiles/3a216d58-4c5b-4047-6238-2fe43d7d7956" TargetMode="External"/><Relationship Id="rId4336" Type="http://schemas.openxmlformats.org/officeDocument/2006/relationships/hyperlink" Target="https://app-web.statementrec.com/app#appuploadfiles/3a216d5d-27f0-1e43-9b48-64a8b4890b63" TargetMode="External"/><Relationship Id="rId4337" Type="http://schemas.openxmlformats.org/officeDocument/2006/relationships/hyperlink" Target="https://app-web.statementrec.com/app#appuploadfiles/3a216d5d-ca0c-7dbf-2c72-8f757a881fda" TargetMode="External"/><Relationship Id="rId4338" Type="http://schemas.openxmlformats.org/officeDocument/2006/relationships/hyperlink" Target="https://app-web.statementrec.com/app#appuploadfiles/3a216e1c-8915-df4f-ed1b-85ed49393525" TargetMode="External"/><Relationship Id="rId4339" Type="http://schemas.openxmlformats.org/officeDocument/2006/relationships/hyperlink" Target="https://app-web.statementrec.com/app#appuploadfiles/3a216eb4-d847-5650-3732-63d4fd2341cd" TargetMode="External"/><Relationship Id="rId4340" Type="http://schemas.openxmlformats.org/officeDocument/2006/relationships/hyperlink" Target="https://app-web.statementrec.com/app#appuploadfiles/3a216efd-2b1f-903a-aa56-986a48ec8c5d" TargetMode="External"/><Relationship Id="rId4341" Type="http://schemas.openxmlformats.org/officeDocument/2006/relationships/hyperlink" Target="https://app-web.statementrec.com/app#appuploadfiles/3a216fcf-2d46-6678-ab9f-31ff99e4fac0" TargetMode="External"/><Relationship Id="rId4342" Type="http://schemas.openxmlformats.org/officeDocument/2006/relationships/hyperlink" Target="https://app-web.statementrec.com/app#appuploadfiles/3a216fd8-da85-579e-6b7c-4118ac4329e5" TargetMode="External"/><Relationship Id="rId4343" Type="http://schemas.openxmlformats.org/officeDocument/2006/relationships/hyperlink" Target="https://app-web.statementrec.com/app#appuploadfiles/3a217011-6526-9fbd-f21f-8339140149a5" TargetMode="External"/><Relationship Id="rId4344" Type="http://schemas.openxmlformats.org/officeDocument/2006/relationships/hyperlink" Target="https://app-web.statementrec.com/app#appuploadfiles/3a217013-b615-72e6-8b14-fecda4395f2b" TargetMode="External"/><Relationship Id="rId4345" Type="http://schemas.openxmlformats.org/officeDocument/2006/relationships/hyperlink" Target="https://app-web.statementrec.com/app#appuploadfiles/3a217030-d7a3-5be6-2796-e21198efed5d" TargetMode="External"/><Relationship Id="rId4346" Type="http://schemas.openxmlformats.org/officeDocument/2006/relationships/hyperlink" Target="https://app-web.statementrec.com/app#appuploadfiles/3a217043-38a1-0363-9f49-cf3739cc2e9d" TargetMode="External"/><Relationship Id="rId4347" Type="http://schemas.openxmlformats.org/officeDocument/2006/relationships/hyperlink" Target="https://app-web.statementrec.com/app#appuploadfiles/3a21704b-eb3c-bcdb-8ee5-650f92dbc6a8" TargetMode="External"/><Relationship Id="rId4348" Type="http://schemas.openxmlformats.org/officeDocument/2006/relationships/hyperlink" Target="https://app-web.statementrec.com/app#appuploadfiles/3a217073-3e7e-4576-4528-efdec19e5d37" TargetMode="External"/><Relationship Id="rId4349" Type="http://schemas.openxmlformats.org/officeDocument/2006/relationships/hyperlink" Target="https://app-web.statementrec.com/app#appuploadfiles/3a21708f-eb11-b72f-49d9-25b030ad0085" TargetMode="External"/><Relationship Id="rId4350" Type="http://schemas.openxmlformats.org/officeDocument/2006/relationships/hyperlink" Target="https://app-web.statementrec.com/app#appuploadfiles/3a217091-f9f8-4b98-2b5f-938a6d32abee" TargetMode="External"/><Relationship Id="rId4351" Type="http://schemas.openxmlformats.org/officeDocument/2006/relationships/hyperlink" Target="https://app-web.statementrec.com/app#appuploadfiles/3a2170a0-d9a6-1e0f-b9a0-a518bf8df463" TargetMode="External"/><Relationship Id="rId4352" Type="http://schemas.openxmlformats.org/officeDocument/2006/relationships/hyperlink" Target="https://app-web.statementrec.com/app#appuploadfiles/3a2170c9-9bed-49fe-0c0d-57c99b8d89fc" TargetMode="External"/><Relationship Id="rId4353" Type="http://schemas.openxmlformats.org/officeDocument/2006/relationships/hyperlink" Target="https://app-web.statementrec.com/app#appuploadfiles/3a2170ce-2e4b-8eb3-1076-ddea77fcaae1" TargetMode="External"/><Relationship Id="rId4354" Type="http://schemas.openxmlformats.org/officeDocument/2006/relationships/hyperlink" Target="https://app-web.statementrec.com/app#appuploadfiles/3a217109-bb31-5fcf-46c7-3746ea61687e" TargetMode="External"/><Relationship Id="rId4355" Type="http://schemas.openxmlformats.org/officeDocument/2006/relationships/hyperlink" Target="https://app-web.statementrec.com/app#appuploadfiles/3a217122-31f3-63e5-83ce-fa81c2a70e50" TargetMode="External"/><Relationship Id="rId4356" Type="http://schemas.openxmlformats.org/officeDocument/2006/relationships/hyperlink" Target="https://app-web.statementrec.com/app#appuploadfiles/3a21714b-6de4-0bf9-1c9e-0972172eaecf" TargetMode="External"/><Relationship Id="rId4357" Type="http://schemas.openxmlformats.org/officeDocument/2006/relationships/hyperlink" Target="https://app-web.statementrec.com/app#appuploadfiles/3a217158-ff2d-c850-46c1-9f301d433f8c" TargetMode="External"/><Relationship Id="rId4358" Type="http://schemas.openxmlformats.org/officeDocument/2006/relationships/hyperlink" Target="https://app-web.statementrec.com/app#appuploadfiles/3a217178-9516-d4fc-63d7-f2c635a8a80b" TargetMode="External"/><Relationship Id="rId4359" Type="http://schemas.openxmlformats.org/officeDocument/2006/relationships/hyperlink" Target="https://app-web.statementrec.com/app#appuploadfiles/3a217181-b6ef-4e76-364b-8b0f96985136" TargetMode="External"/><Relationship Id="rId4360" Type="http://schemas.openxmlformats.org/officeDocument/2006/relationships/hyperlink" Target="https://app-web.statementrec.com/app#appuploadfiles/3a2171a3-8885-1e56-66af-653fa9b4ff51" TargetMode="External"/><Relationship Id="rId4361" Type="http://schemas.openxmlformats.org/officeDocument/2006/relationships/hyperlink" Target="https://app-web.statementrec.com/app#appuploadfiles/3a2171c0-eafe-9315-4399-13adc8c1f68d" TargetMode="External"/><Relationship Id="rId4362" Type="http://schemas.openxmlformats.org/officeDocument/2006/relationships/hyperlink" Target="https://app-web.statementrec.com/app#appuploadfiles/3a2171f6-66b2-717c-ee4b-833e7a0ffe87" TargetMode="External"/><Relationship Id="rId4363" Type="http://schemas.openxmlformats.org/officeDocument/2006/relationships/hyperlink" Target="https://app-web.statementrec.com/app#appuploadfiles/3a217205-149d-44dc-6a77-4c12662986bf" TargetMode="External"/><Relationship Id="rId4364" Type="http://schemas.openxmlformats.org/officeDocument/2006/relationships/hyperlink" Target="https://app-web.statementrec.com/app#appuploadfiles/3a217259-65e0-bd44-3982-01d07959f26b" TargetMode="External"/><Relationship Id="rId4365" Type="http://schemas.openxmlformats.org/officeDocument/2006/relationships/hyperlink" Target="https://app-web.statementrec.com/app#appuploadfiles/3a217288-c284-7bd5-df23-72f4bfb8a535" TargetMode="External"/><Relationship Id="rId4366" Type="http://schemas.openxmlformats.org/officeDocument/2006/relationships/hyperlink" Target="https://app-web.statementrec.com/app#appuploadfiles/3a21729c-5d08-6925-564d-8e61e2b615d5" TargetMode="External"/><Relationship Id="rId4367" Type="http://schemas.openxmlformats.org/officeDocument/2006/relationships/hyperlink" Target="https://app-web.statementrec.com/app#appuploadfiles/3a2172e6-0e94-a65e-5147-e329cf297fe1" TargetMode="External"/><Relationship Id="rId4368" Type="http://schemas.openxmlformats.org/officeDocument/2006/relationships/hyperlink" Target="https://app-web.statementrec.com/app#appuploadfiles/3a217404-e284-b455-a57b-faa9ef501451" TargetMode="External"/><Relationship Id="rId4369" Type="http://schemas.openxmlformats.org/officeDocument/2006/relationships/hyperlink" Target="https://app-web.statementrec.com/app#appuploadfiles/3a217425-77b9-fc0c-779a-0f444fb383d3" TargetMode="External"/><Relationship Id="rId4370" Type="http://schemas.openxmlformats.org/officeDocument/2006/relationships/hyperlink" Target="https://app-web.statementrec.com/app#appuploadfiles/3a21746b-0d81-70af-860b-fe95bda068c4" TargetMode="External"/><Relationship Id="rId4371" Type="http://schemas.openxmlformats.org/officeDocument/2006/relationships/hyperlink" Target="https://app-web.statementrec.com/app#appuploadfiles/3a217535-7743-2e82-ea9b-19a66b08761a" TargetMode="External"/><Relationship Id="rId4372" Type="http://schemas.openxmlformats.org/officeDocument/2006/relationships/hyperlink" Target="https://app-web.statementrec.com/app#appuploadfiles/3a217538-c14c-b137-ce97-f9fbd1a15d38" TargetMode="External"/><Relationship Id="rId4373" Type="http://schemas.openxmlformats.org/officeDocument/2006/relationships/hyperlink" Target="https://app-web.statementrec.com/app#appuploadfiles/3a217560-089f-d6a0-c897-1320536cc57b" TargetMode="External"/><Relationship Id="rId4374" Type="http://schemas.openxmlformats.org/officeDocument/2006/relationships/hyperlink" Target="https://app-web.statementrec.com/app#appuploadfiles/3a217566-8d9f-d894-3c7c-5a41ba157080" TargetMode="External"/><Relationship Id="rId4375" Type="http://schemas.openxmlformats.org/officeDocument/2006/relationships/hyperlink" Target="https://app-web.statementrec.com/app#appuploadfiles/3a217578-7bf6-500f-a2ca-be37d1f6c8b7" TargetMode="External"/><Relationship Id="rId4376" Type="http://schemas.openxmlformats.org/officeDocument/2006/relationships/hyperlink" Target="https://app-web.statementrec.com/app#appuploadfiles/3a217579-84c9-31d7-04b9-8800bcf6b115" TargetMode="External"/><Relationship Id="rId4377" Type="http://schemas.openxmlformats.org/officeDocument/2006/relationships/hyperlink" Target="https://app-web.statementrec.com/app#appuploadfiles/3a21757b-f055-0b3e-1b48-bb70a5d65c3a" TargetMode="External"/><Relationship Id="rId4378" Type="http://schemas.openxmlformats.org/officeDocument/2006/relationships/hyperlink" Target="https://app-web.statementrec.com/app#appuploadfiles/3a21757e-3370-3fb4-c0ee-7eb083e83f61" TargetMode="External"/><Relationship Id="rId4379" Type="http://schemas.openxmlformats.org/officeDocument/2006/relationships/hyperlink" Target="https://app-web.statementrec.com/app#appuploadfiles/3a21757e-3afc-37d3-41f6-6a72dac53281" TargetMode="External"/><Relationship Id="rId4380" Type="http://schemas.openxmlformats.org/officeDocument/2006/relationships/hyperlink" Target="https://app-web.statementrec.com/app#appuploadfiles/3a217585-295a-00f2-8387-1437eeec9ae9" TargetMode="External"/><Relationship Id="rId4381" Type="http://schemas.openxmlformats.org/officeDocument/2006/relationships/hyperlink" Target="https://app-web.statementrec.com/app#appuploadfiles/3a217587-05d2-d316-4bef-6a9c9d039669" TargetMode="External"/><Relationship Id="rId4382" Type="http://schemas.openxmlformats.org/officeDocument/2006/relationships/hyperlink" Target="https://app-web.statementrec.com/app#appuploadfiles/3a217588-2584-e682-7ccc-ba97d86c055f" TargetMode="External"/><Relationship Id="rId4383" Type="http://schemas.openxmlformats.org/officeDocument/2006/relationships/hyperlink" Target="https://app-web.statementrec.com/app#appuploadfiles/3a2175a0-fe7e-a8d3-0210-219712419d35" TargetMode="External"/><Relationship Id="rId4384" Type="http://schemas.openxmlformats.org/officeDocument/2006/relationships/hyperlink" Target="https://app-web.statementrec.com/app#appuploadfiles/3a2175a1-84eb-752f-e059-d5875fac2baf" TargetMode="External"/><Relationship Id="rId4385" Type="http://schemas.openxmlformats.org/officeDocument/2006/relationships/hyperlink" Target="https://app-web.statementrec.com/app#appuploadfiles/3a2175a7-567e-cd17-0e48-24bf09eba7e0" TargetMode="External"/><Relationship Id="rId4386" Type="http://schemas.openxmlformats.org/officeDocument/2006/relationships/hyperlink" Target="https://app-web.statementrec.com/app#appuploadfiles/3a2175aa-40f7-e9e0-961b-e6b565b019d4" TargetMode="External"/><Relationship Id="rId4387" Type="http://schemas.openxmlformats.org/officeDocument/2006/relationships/hyperlink" Target="https://app-web.statementrec.com/app#appuploadfiles/3a2175c8-6098-69de-2ac0-3016d0496731" TargetMode="External"/><Relationship Id="rId4388" Type="http://schemas.openxmlformats.org/officeDocument/2006/relationships/hyperlink" Target="https://app-web.statementrec.com/app#appuploadfiles/3a2175de-8c4c-1532-010a-f2bc15a4523f" TargetMode="External"/><Relationship Id="rId4389" Type="http://schemas.openxmlformats.org/officeDocument/2006/relationships/hyperlink" Target="https://app-web.statementrec.com/app#appuploadfiles/3a2175df-22c8-2249-4a19-087d00373693" TargetMode="External"/><Relationship Id="rId4390" Type="http://schemas.openxmlformats.org/officeDocument/2006/relationships/hyperlink" Target="https://app-web.statementrec.com/app#appuploadfiles/3a2175e8-990e-3ac9-d57f-2d2a4cc1bf1f" TargetMode="External"/><Relationship Id="rId4391" Type="http://schemas.openxmlformats.org/officeDocument/2006/relationships/hyperlink" Target="https://app-web.statementrec.com/app#appuploadfiles/3a21760a-6f74-01ab-a908-502c8a85db21" TargetMode="External"/><Relationship Id="rId4392" Type="http://schemas.openxmlformats.org/officeDocument/2006/relationships/hyperlink" Target="https://app-web.statementrec.com/app#appuploadfiles/3a21760f-649a-c34d-3054-4133ef713e89" TargetMode="External"/><Relationship Id="rId4393" Type="http://schemas.openxmlformats.org/officeDocument/2006/relationships/hyperlink" Target="https://app-web.statementrec.com/app#appuploadfiles/3a21761d-fc5e-3055-6c5f-c3046c68734c" TargetMode="External"/><Relationship Id="rId4394" Type="http://schemas.openxmlformats.org/officeDocument/2006/relationships/hyperlink" Target="https://app-web.statementrec.com/app#appuploadfiles/3a21763f-9aac-b6c4-527b-ada82fd62e2c" TargetMode="External"/><Relationship Id="rId4395" Type="http://schemas.openxmlformats.org/officeDocument/2006/relationships/hyperlink" Target="https://app-web.statementrec.com/app#appuploadfiles/3a21764e-4d93-3cf9-8d4b-2381d2f5039a" TargetMode="External"/><Relationship Id="rId4396" Type="http://schemas.openxmlformats.org/officeDocument/2006/relationships/hyperlink" Target="https://app-web.statementrec.com/app#appuploadfiles/3a217650-2df5-69ab-f7df-6400c36b5cb8" TargetMode="External"/><Relationship Id="rId4397" Type="http://schemas.openxmlformats.org/officeDocument/2006/relationships/hyperlink" Target="https://app-web.statementrec.com/app#appuploadfiles/3a217653-740c-e617-3ca8-fc08b76c888c" TargetMode="External"/><Relationship Id="rId4398" Type="http://schemas.openxmlformats.org/officeDocument/2006/relationships/hyperlink" Target="https://app-web.statementrec.com/app#appuploadfiles/3a217685-5070-d0a7-9233-ef03c9b9974b" TargetMode="External"/><Relationship Id="rId4399" Type="http://schemas.openxmlformats.org/officeDocument/2006/relationships/hyperlink" Target="https://app-web.statementrec.com/app#appuploadfiles/3a217695-0aaa-edd2-1eb6-b03c9745656c" TargetMode="External"/><Relationship Id="rId4400" Type="http://schemas.openxmlformats.org/officeDocument/2006/relationships/hyperlink" Target="https://app-web.statementrec.com/app#appuploadfiles/3a217696-375e-ccdb-541c-27829b272061" TargetMode="External"/><Relationship Id="rId4401" Type="http://schemas.openxmlformats.org/officeDocument/2006/relationships/hyperlink" Target="https://app-web.statementrec.com/app#appuploadfiles/3a217697-e3f3-0bf4-8629-b4b51c762069" TargetMode="External"/><Relationship Id="rId4402" Type="http://schemas.openxmlformats.org/officeDocument/2006/relationships/hyperlink" Target="https://app-web.statementrec.com/app#appuploadfiles/3a217698-7c66-a365-1b84-ecf1a093e887" TargetMode="External"/><Relationship Id="rId4403" Type="http://schemas.openxmlformats.org/officeDocument/2006/relationships/hyperlink" Target="https://app-web.statementrec.com/app#appuploadfiles/3a217699-4d09-0949-0e35-5db8ad6d015f" TargetMode="External"/><Relationship Id="rId4404" Type="http://schemas.openxmlformats.org/officeDocument/2006/relationships/hyperlink" Target="https://app-web.statementrec.com/app#appuploadfiles/3a2176b0-3f39-cba7-0bbe-4c0ec4599408" TargetMode="External"/><Relationship Id="rId4405" Type="http://schemas.openxmlformats.org/officeDocument/2006/relationships/hyperlink" Target="https://app-web.statementrec.com/app#appuploadfiles/3a2176b0-d008-438a-95f2-50a57820aa47" TargetMode="External"/><Relationship Id="rId4406" Type="http://schemas.openxmlformats.org/officeDocument/2006/relationships/hyperlink" Target="https://app-web.statementrec.com/app#appuploadfiles/3a2176b2-1c6a-1f7a-fdb3-090cc56c06e6" TargetMode="External"/><Relationship Id="rId4407" Type="http://schemas.openxmlformats.org/officeDocument/2006/relationships/hyperlink" Target="https://app-web.statementrec.com/app#appuploadfiles/3a2176c9-4e46-8830-bf53-ba38d157545c" TargetMode="External"/><Relationship Id="rId4408" Type="http://schemas.openxmlformats.org/officeDocument/2006/relationships/hyperlink" Target="https://app-web.statementrec.com/app#appuploadfiles/3a2176d5-bd95-e4e3-1452-9dee583fa0a4" TargetMode="External"/><Relationship Id="rId4409" Type="http://schemas.openxmlformats.org/officeDocument/2006/relationships/hyperlink" Target="https://app-web.statementrec.com/app#appuploadfiles/3a2176db-d943-4e79-628c-bdbce6c55922" TargetMode="External"/><Relationship Id="rId4410" Type="http://schemas.openxmlformats.org/officeDocument/2006/relationships/hyperlink" Target="https://app-web.statementrec.com/app#appuploadfiles/3a2176dc-2441-b36f-8178-03f5ca11e6a0" TargetMode="External"/><Relationship Id="rId4411" Type="http://schemas.openxmlformats.org/officeDocument/2006/relationships/hyperlink" Target="https://app-web.statementrec.com/app#appuploadfiles/3a2176f8-31f8-3a2c-2c67-0c8ba9f79b7b" TargetMode="External"/><Relationship Id="rId4412" Type="http://schemas.openxmlformats.org/officeDocument/2006/relationships/hyperlink" Target="https://app-web.statementrec.com/app#appuploadfiles/3a2176ff-4ffe-a7ab-26dd-8c2579e30e41" TargetMode="External"/><Relationship Id="rId4413" Type="http://schemas.openxmlformats.org/officeDocument/2006/relationships/hyperlink" Target="https://app-web.statementrec.com/app#appuploadfiles/3a217712-2566-a93c-419a-5b0363fbb4b1" TargetMode="External"/><Relationship Id="rId4414" Type="http://schemas.openxmlformats.org/officeDocument/2006/relationships/hyperlink" Target="https://app-web.statementrec.com/app#appuploadfiles/3a217720-eedd-5044-c4ac-039daaafa0b5" TargetMode="External"/><Relationship Id="rId4415" Type="http://schemas.openxmlformats.org/officeDocument/2006/relationships/hyperlink" Target="https://app-web.statementrec.com/app#appuploadfiles/3a217735-2866-a546-cea9-8db94c420e2b" TargetMode="External"/><Relationship Id="rId4416" Type="http://schemas.openxmlformats.org/officeDocument/2006/relationships/hyperlink" Target="https://app-web.statementrec.com/app#appuploadfiles/3a21773e-7442-ab2b-0e12-814bdba9f7a5" TargetMode="External"/><Relationship Id="rId4417" Type="http://schemas.openxmlformats.org/officeDocument/2006/relationships/hyperlink" Target="https://app-web.statementrec.com/app#appuploadfiles/3a217768-f161-2139-681c-5c1c82da8f4e" TargetMode="External"/><Relationship Id="rId4418" Type="http://schemas.openxmlformats.org/officeDocument/2006/relationships/hyperlink" Target="https://app-web.statementrec.com/app#appuploadfiles/3a217774-6c46-ca6b-8d77-c13c4b94b704" TargetMode="External"/><Relationship Id="rId4419" Type="http://schemas.openxmlformats.org/officeDocument/2006/relationships/hyperlink" Target="https://app-web.statementrec.com/app#appuploadfiles/3a2177c3-b76e-2492-6ff4-57bdb44104c4" TargetMode="External"/><Relationship Id="rId4420" Type="http://schemas.openxmlformats.org/officeDocument/2006/relationships/hyperlink" Target="https://app-web.statementrec.com/app#appuploadfiles/3a2177ce-0dbb-b4ed-399c-8d8e9791e344" TargetMode="External"/><Relationship Id="rId4421" Type="http://schemas.openxmlformats.org/officeDocument/2006/relationships/hyperlink" Target="https://app-web.statementrec.com/app#appuploadfiles/3a2177f5-2358-2f7f-19c8-2d08c4ef6b4d" TargetMode="External"/><Relationship Id="rId4422" Type="http://schemas.openxmlformats.org/officeDocument/2006/relationships/hyperlink" Target="https://app-web.statementrec.com/app#appuploadfiles/3a2177f7-6ded-a35e-3e15-0612801ce553" TargetMode="External"/><Relationship Id="rId4423" Type="http://schemas.openxmlformats.org/officeDocument/2006/relationships/hyperlink" Target="https://app-web.statementrec.com/app#appuploadfiles/3a217829-9017-c33f-317a-d4eef6eba0ed" TargetMode="External"/><Relationship Id="rId4424" Type="http://schemas.openxmlformats.org/officeDocument/2006/relationships/hyperlink" Target="https://app-web.statementrec.com/app#appuploadfiles/3a21784c-0bc3-a260-7cd1-b6fd064d23ca" TargetMode="External"/><Relationship Id="rId4425" Type="http://schemas.openxmlformats.org/officeDocument/2006/relationships/hyperlink" Target="https://app-web.statementrec.com/app#appuploadfiles/3a217892-b63d-9c3b-5c78-6c1c6c756675" TargetMode="External"/><Relationship Id="rId4426" Type="http://schemas.openxmlformats.org/officeDocument/2006/relationships/hyperlink" Target="https://app-web.statementrec.com/app#appuploadfiles/3a2178e2-78be-d04c-f9b5-e22d53a12bbc" TargetMode="External"/><Relationship Id="rId4427" Type="http://schemas.openxmlformats.org/officeDocument/2006/relationships/hyperlink" Target="https://app-web.statementrec.com/app#appuploadfiles/3a217a4c-ce31-ec89-8002-f6ead88c582f" TargetMode="External"/><Relationship Id="rId4428" Type="http://schemas.openxmlformats.org/officeDocument/2006/relationships/hyperlink" Target="https://app-web.statementrec.com/app#appuploadfiles/3a217a88-5585-9543-41b6-a4eca3b8da3d" TargetMode="External"/><Relationship Id="rId4429" Type="http://schemas.openxmlformats.org/officeDocument/2006/relationships/hyperlink" Target="https://app-web.statementrec.com/app#appuploadfiles/3a217a99-d18c-596e-5bbd-ddde775cf34c" TargetMode="External"/><Relationship Id="rId4430" Type="http://schemas.openxmlformats.org/officeDocument/2006/relationships/hyperlink" Target="https://app-web.statementrec.com/app#appuploadfiles/3a217aba-4bcb-5bab-834a-77115e56aa83" TargetMode="External"/><Relationship Id="rId4431" Type="http://schemas.openxmlformats.org/officeDocument/2006/relationships/hyperlink" Target="https://app-web.statementrec.com/app#appuploadfiles/3a217abf-234c-49fa-ae7d-66e47c418ffa" TargetMode="External"/><Relationship Id="rId4432" Type="http://schemas.openxmlformats.org/officeDocument/2006/relationships/hyperlink" Target="https://app-web.statementrec.com/app#appuploadfiles/3a217ac0-9c8e-344e-98d5-26ae631d8abb" TargetMode="External"/><Relationship Id="rId4433" Type="http://schemas.openxmlformats.org/officeDocument/2006/relationships/hyperlink" Target="https://app-web.statementrec.com/app#appuploadfiles/3a217ac1-1831-2343-f96c-e8f679dcf9d7" TargetMode="External"/><Relationship Id="rId4434" Type="http://schemas.openxmlformats.org/officeDocument/2006/relationships/hyperlink" Target="https://app-web.statementrec.com/app#appuploadfiles/3a217ac2-5e04-7dda-bd10-e06abacea4a7" TargetMode="External"/><Relationship Id="rId4435" Type="http://schemas.openxmlformats.org/officeDocument/2006/relationships/hyperlink" Target="https://app-web.statementrec.com/app#appuploadfiles/3a217ad5-11ef-b54f-08a9-f0bd5b6d2fda" TargetMode="External"/><Relationship Id="rId4436" Type="http://schemas.openxmlformats.org/officeDocument/2006/relationships/hyperlink" Target="https://app-web.statementrec.com/app#appuploadfiles/3a217ad5-84b1-b9d6-4f0a-4e8ad034cf99" TargetMode="External"/><Relationship Id="rId4437" Type="http://schemas.openxmlformats.org/officeDocument/2006/relationships/hyperlink" Target="https://app-web.statementrec.com/app#appuploadfiles/3a217aea-0791-c98b-ca3c-322f025789d8" TargetMode="External"/><Relationship Id="rId4438" Type="http://schemas.openxmlformats.org/officeDocument/2006/relationships/hyperlink" Target="https://app-web.statementrec.com/app#appuploadfiles/3a217aee-5669-a361-53ec-40ab2a2cf0c9" TargetMode="External"/><Relationship Id="rId4439" Type="http://schemas.openxmlformats.org/officeDocument/2006/relationships/hyperlink" Target="https://app-web.statementrec.com/app#appuploadfiles/3a217af5-1f06-facd-80ae-f3fefaa485fa" TargetMode="External"/><Relationship Id="rId4440" Type="http://schemas.openxmlformats.org/officeDocument/2006/relationships/hyperlink" Target="https://app-web.statementrec.com/app#appuploadfiles/3a217b08-c226-58f5-de35-e7d1e67dc87b" TargetMode="External"/><Relationship Id="rId4441" Type="http://schemas.openxmlformats.org/officeDocument/2006/relationships/hyperlink" Target="https://app-web.statementrec.com/app#appuploadfiles/3a217b09-6c8b-388c-f047-60337a954510" TargetMode="External"/><Relationship Id="rId4442" Type="http://schemas.openxmlformats.org/officeDocument/2006/relationships/hyperlink" Target="https://app-web.statementrec.com/app#appuploadfiles/3a217b3f-a24c-f89e-3612-f054d57abaa0" TargetMode="External"/><Relationship Id="rId4443" Type="http://schemas.openxmlformats.org/officeDocument/2006/relationships/hyperlink" Target="https://app-web.statementrec.com/app#appuploadfiles/3a217b47-f154-2d62-2fa7-44fa301c3c10" TargetMode="External"/><Relationship Id="rId4444" Type="http://schemas.openxmlformats.org/officeDocument/2006/relationships/hyperlink" Target="https://app-web.statementrec.com/app#appuploadfiles/3a217b5d-fbb2-35e7-e2b6-e32a1c709fcd" TargetMode="External"/><Relationship Id="rId4445" Type="http://schemas.openxmlformats.org/officeDocument/2006/relationships/hyperlink" Target="https://app-web.statementrec.com/app#appuploadfiles/3a217b67-a95d-a6f6-84f0-d2a01c6e2b4e" TargetMode="External"/><Relationship Id="rId4446" Type="http://schemas.openxmlformats.org/officeDocument/2006/relationships/hyperlink" Target="https://app-web.statementrec.com/app#appuploadfiles/3a217b7a-f400-6c1f-08d7-09288233c093" TargetMode="External"/><Relationship Id="rId4447" Type="http://schemas.openxmlformats.org/officeDocument/2006/relationships/hyperlink" Target="https://app-web.statementrec.com/app#appuploadfiles/3a217b7e-df63-a5ca-ad2f-7f587eb6e109" TargetMode="External"/><Relationship Id="rId4448" Type="http://schemas.openxmlformats.org/officeDocument/2006/relationships/hyperlink" Target="https://app-web.statementrec.com/app#appuploadfiles/3a217b9f-7022-3ebc-563a-488b146eee3c" TargetMode="External"/><Relationship Id="rId4449" Type="http://schemas.openxmlformats.org/officeDocument/2006/relationships/hyperlink" Target="https://app-web.statementrec.com/app#appuploadfiles/3a217ba0-b8f3-76df-70e5-94aeabfc0978" TargetMode="External"/><Relationship Id="rId4450" Type="http://schemas.openxmlformats.org/officeDocument/2006/relationships/hyperlink" Target="https://app-web.statementrec.com/app#appuploadfiles/3a217bb7-71b0-f5cf-374b-66c7fbd0909c" TargetMode="External"/><Relationship Id="rId4451" Type="http://schemas.openxmlformats.org/officeDocument/2006/relationships/hyperlink" Target="https://app-web.statementrec.com/app#appuploadfiles/3a217bba-2592-b107-ff53-070a437a4aee" TargetMode="External"/><Relationship Id="rId4452" Type="http://schemas.openxmlformats.org/officeDocument/2006/relationships/hyperlink" Target="https://app-web.statementrec.com/app#appuploadfiles/3a217bc1-ba9d-2036-86f3-3b278ecd63ee" TargetMode="External"/><Relationship Id="rId4453" Type="http://schemas.openxmlformats.org/officeDocument/2006/relationships/hyperlink" Target="https://app-web.statementrec.com/app#appuploadfiles/3a217bc4-5955-b179-cacf-cb959b4ac5fa" TargetMode="External"/><Relationship Id="rId4454" Type="http://schemas.openxmlformats.org/officeDocument/2006/relationships/hyperlink" Target="https://app-web.statementrec.com/app#appuploadfiles/3a217bc4-8ba7-0f44-beca-cef10e9d2448" TargetMode="External"/><Relationship Id="rId4455" Type="http://schemas.openxmlformats.org/officeDocument/2006/relationships/hyperlink" Target="https://app-web.statementrec.com/app#appuploadfiles/3a217bc5-3a7f-d6fb-7a21-2e903aa0eb99" TargetMode="External"/><Relationship Id="rId4456" Type="http://schemas.openxmlformats.org/officeDocument/2006/relationships/hyperlink" Target="https://app-web.statementrec.com/app#appuploadfiles/3a217bcd-e193-52e6-fe70-79aa06da8f40" TargetMode="External"/><Relationship Id="rId4457" Type="http://schemas.openxmlformats.org/officeDocument/2006/relationships/hyperlink" Target="https://app-web.statementrec.com/app#appuploadfiles/3a217bd4-3a23-43ad-b171-c6a39de14232" TargetMode="External"/><Relationship Id="rId4458" Type="http://schemas.openxmlformats.org/officeDocument/2006/relationships/hyperlink" Target="https://app-web.statementrec.com/app#appuploadfiles/3a217bdb-7bff-da44-1cc3-73daef5e6a35" TargetMode="External"/><Relationship Id="rId4459" Type="http://schemas.openxmlformats.org/officeDocument/2006/relationships/hyperlink" Target="https://app-web.statementrec.com/app#appuploadfiles/3a217bdf-735f-d7ee-362e-daf9e77a066e" TargetMode="External"/><Relationship Id="rId4460" Type="http://schemas.openxmlformats.org/officeDocument/2006/relationships/hyperlink" Target="https://app-web.statementrec.com/app#appuploadfiles/3a217bef-39b6-da56-9ce5-2522c9a61257" TargetMode="External"/><Relationship Id="rId4461" Type="http://schemas.openxmlformats.org/officeDocument/2006/relationships/hyperlink" Target="https://app-web.statementrec.com/app#appuploadfiles/3a217c10-7416-0bf8-8089-08f6f6234dd0" TargetMode="External"/><Relationship Id="rId4462" Type="http://schemas.openxmlformats.org/officeDocument/2006/relationships/hyperlink" Target="https://app-web.statementrec.com/app#appuploadfiles/3a217c17-d9d5-7142-873b-092d17cc9d97" TargetMode="External"/><Relationship Id="rId4463" Type="http://schemas.openxmlformats.org/officeDocument/2006/relationships/hyperlink" Target="https://app-web.statementrec.com/app#appuploadfiles/3a217c1f-3e76-ea06-d92d-56fef33d7845" TargetMode="External"/><Relationship Id="rId4464" Type="http://schemas.openxmlformats.org/officeDocument/2006/relationships/hyperlink" Target="https://app-web.statementrec.com/app#appuploadfiles/3a217c99-211d-ea58-88f9-02447594e9d5" TargetMode="External"/><Relationship Id="rId4465" Type="http://schemas.openxmlformats.org/officeDocument/2006/relationships/hyperlink" Target="https://app-web.statementrec.com/app#appuploadfiles/3a217cce-d0de-6a26-803c-b6b93cbb249b" TargetMode="External"/><Relationship Id="rId4466" Type="http://schemas.openxmlformats.org/officeDocument/2006/relationships/hyperlink" Target="https://app-web.statementrec.com/app#appuploadfiles/3a217ce1-096a-86a0-550d-20e02b8ce0bc" TargetMode="External"/><Relationship Id="rId4467" Type="http://schemas.openxmlformats.org/officeDocument/2006/relationships/hyperlink" Target="https://app-web.statementrec.com/app#appuploadfiles/3a217d08-f126-382a-2b5a-b7b79396f1b3" TargetMode="External"/><Relationship Id="rId4468" Type="http://schemas.openxmlformats.org/officeDocument/2006/relationships/hyperlink" Target="https://app-web.statementrec.com/app#appuploadfiles/3a217d74-bc1d-4311-0fbe-e542ed39c6c5" TargetMode="External"/><Relationship Id="rId4469" Type="http://schemas.openxmlformats.org/officeDocument/2006/relationships/hyperlink" Target="https://app-web.statementrec.com/app#appuploadfiles/3a217d7f-3d10-5d3b-c679-0d85af2b25b4" TargetMode="External"/><Relationship Id="rId4470" Type="http://schemas.openxmlformats.org/officeDocument/2006/relationships/hyperlink" Target="https://app-web.statementrec.com/app#appuploadfiles/3a217d8a-f8d0-ca34-dc4d-4ca484338abd" TargetMode="External"/><Relationship Id="rId4471" Type="http://schemas.openxmlformats.org/officeDocument/2006/relationships/hyperlink" Target="https://app-web.statementrec.com/app#appuploadfiles/3a217dab-ae11-7be4-e26e-f51804392333" TargetMode="External"/><Relationship Id="rId4472" Type="http://schemas.openxmlformats.org/officeDocument/2006/relationships/hyperlink" Target="https://app-web.statementrec.com/app#appuploadfiles/3a217dd6-174b-bc01-998f-e3837c5112cf" TargetMode="External"/><Relationship Id="rId4473" Type="http://schemas.openxmlformats.org/officeDocument/2006/relationships/hyperlink" Target="https://app-web.statementrec.com/app#appuploadfiles/3a217dff-b4dd-3386-f159-0dd7d4df4dd1" TargetMode="External"/><Relationship Id="rId4474" Type="http://schemas.openxmlformats.org/officeDocument/2006/relationships/hyperlink" Target="https://app-web.statementrec.com/app#appuploadfiles/3a217dff-fc70-4dbf-6d15-f95643e31bf7" TargetMode="External"/><Relationship Id="rId4475" Type="http://schemas.openxmlformats.org/officeDocument/2006/relationships/hyperlink" Target="https://app-web.statementrec.com/app#appuploadfiles/3a217e00-9396-58d7-7fed-5764ac286f29" TargetMode="External"/><Relationship Id="rId4476" Type="http://schemas.openxmlformats.org/officeDocument/2006/relationships/hyperlink" Target="https://app-web.statementrec.com/app#appuploadfiles/3a217f2a-e692-5f78-f041-2218352a3c43" TargetMode="External"/><Relationship Id="rId4477" Type="http://schemas.openxmlformats.org/officeDocument/2006/relationships/hyperlink" Target="https://app-web.statementrec.com/app#appuploadfiles/3a217faf-058c-882a-4147-5bfbdf0ef1fa" TargetMode="External"/><Relationship Id="rId4478" Type="http://schemas.openxmlformats.org/officeDocument/2006/relationships/hyperlink" Target="https://app-web.statementrec.com/app#appuploadfiles/3a217fb4-4dea-1770-48bc-a60073c2a963" TargetMode="External"/><Relationship Id="rId4479" Type="http://schemas.openxmlformats.org/officeDocument/2006/relationships/hyperlink" Target="https://app-web.statementrec.com/app#appuploadfiles/3a217fbf-a0c1-2208-033a-dca92350a130" TargetMode="External"/><Relationship Id="rId4480" Type="http://schemas.openxmlformats.org/officeDocument/2006/relationships/hyperlink" Target="https://app-web.statementrec.com/app#appuploadfiles/3a217fc0-a08a-3678-3a45-86967daf1316" TargetMode="External"/><Relationship Id="rId4481" Type="http://schemas.openxmlformats.org/officeDocument/2006/relationships/hyperlink" Target="https://app-web.statementrec.com/app#appuploadfiles/3a217fdc-a619-1e13-7c7c-bb13e04693da" TargetMode="External"/><Relationship Id="rId4482" Type="http://schemas.openxmlformats.org/officeDocument/2006/relationships/hyperlink" Target="https://app-web.statementrec.com/app#appuploadfiles/3a217fdd-b28a-0564-e7b9-2dac03f9e61e" TargetMode="External"/><Relationship Id="rId4483" Type="http://schemas.openxmlformats.org/officeDocument/2006/relationships/hyperlink" Target="https://app-web.statementrec.com/app#appuploadfiles/3a217fe0-a5cf-dabd-372e-9ec7bddc1140" TargetMode="External"/><Relationship Id="rId4484" Type="http://schemas.openxmlformats.org/officeDocument/2006/relationships/hyperlink" Target="https://app-web.statementrec.com/app#appuploadfiles/3a217ff7-f060-a595-8a2a-1ff3dfa37f64" TargetMode="External"/><Relationship Id="rId4485" Type="http://schemas.openxmlformats.org/officeDocument/2006/relationships/hyperlink" Target="https://app-web.statementrec.com/app#appuploadfiles/3a218000-c129-4b13-87af-0e7cf30f147c" TargetMode="External"/><Relationship Id="rId4486" Type="http://schemas.openxmlformats.org/officeDocument/2006/relationships/hyperlink" Target="https://app-web.statementrec.com/app#appuploadfiles/3a218005-adbd-ef1a-c234-693746eb0fc0" TargetMode="External"/><Relationship Id="rId4487" Type="http://schemas.openxmlformats.org/officeDocument/2006/relationships/hyperlink" Target="https://app-web.statementrec.com/app#appuploadfiles/3a218011-c363-fa62-b23b-1f8e00a70188" TargetMode="External"/><Relationship Id="rId4488" Type="http://schemas.openxmlformats.org/officeDocument/2006/relationships/hyperlink" Target="https://app-web.statementrec.com/app#appuploadfiles/3a218013-5c73-dd0d-9f33-724707111e94" TargetMode="External"/><Relationship Id="rId4489" Type="http://schemas.openxmlformats.org/officeDocument/2006/relationships/hyperlink" Target="https://app-web.statementrec.com/app#appuploadfiles/3a218018-528b-add1-618a-e758ba2b58ce" TargetMode="External"/><Relationship Id="rId4490" Type="http://schemas.openxmlformats.org/officeDocument/2006/relationships/hyperlink" Target="https://app-web.statementrec.com/app#appuploadfiles/3a21801e-7b81-3259-c932-60d32a3d6ad2" TargetMode="External"/><Relationship Id="rId4491" Type="http://schemas.openxmlformats.org/officeDocument/2006/relationships/hyperlink" Target="https://app-web.statementrec.com/app#appuploadfiles/3a218033-cedf-c741-71e6-c291456ce28f" TargetMode="External"/><Relationship Id="rId4492" Type="http://schemas.openxmlformats.org/officeDocument/2006/relationships/hyperlink" Target="https://app-web.statementrec.com/app#appuploadfiles/3a21803b-f737-da09-6c52-c9c9eef6c1f4" TargetMode="External"/><Relationship Id="rId4493" Type="http://schemas.openxmlformats.org/officeDocument/2006/relationships/hyperlink" Target="https://app-web.statementrec.com/app#appuploadfiles/3a218045-0dda-85ec-07bc-a3bc6cb859a4" TargetMode="External"/><Relationship Id="rId4494" Type="http://schemas.openxmlformats.org/officeDocument/2006/relationships/hyperlink" Target="https://app-web.statementrec.com/app#appuploadfiles/3a218074-83c2-e7a8-1184-d8310f218ee3" TargetMode="External"/><Relationship Id="rId4495" Type="http://schemas.openxmlformats.org/officeDocument/2006/relationships/hyperlink" Target="https://app-web.statementrec.com/app#appuploadfiles/3a21807d-d275-07da-c028-72cb03ab61b5" TargetMode="External"/><Relationship Id="rId4496" Type="http://schemas.openxmlformats.org/officeDocument/2006/relationships/hyperlink" Target="https://app-web.statementrec.com/app#appuploadfiles/3a218083-c63b-1ea4-a8b7-08c2b869de5b" TargetMode="External"/><Relationship Id="rId4497" Type="http://schemas.openxmlformats.org/officeDocument/2006/relationships/hyperlink" Target="https://app-web.statementrec.com/app#appuploadfiles/3a21809b-2efd-d742-4656-42dc66ce598b" TargetMode="External"/><Relationship Id="rId4498" Type="http://schemas.openxmlformats.org/officeDocument/2006/relationships/hyperlink" Target="https://app-web.statementrec.com/app#appuploadfiles/3a2180ac-34e0-764c-8e30-9fb4cf3a169a" TargetMode="External"/><Relationship Id="rId4499" Type="http://schemas.openxmlformats.org/officeDocument/2006/relationships/hyperlink" Target="https://app-web.statementrec.com/app#appuploadfiles/3a2180c5-1b14-42a2-06cb-e56dea42048b" TargetMode="External"/><Relationship Id="rId4500" Type="http://schemas.openxmlformats.org/officeDocument/2006/relationships/hyperlink" Target="https://app-web.statementrec.com/app#appuploadfiles/3a2180cd-491f-5049-92dd-452259119daf" TargetMode="External"/><Relationship Id="rId4501" Type="http://schemas.openxmlformats.org/officeDocument/2006/relationships/hyperlink" Target="https://app-web.statementrec.com/app#appuploadfiles/3a2180dc-60c9-945c-6104-183008a4e7e5" TargetMode="External"/><Relationship Id="rId4502" Type="http://schemas.openxmlformats.org/officeDocument/2006/relationships/hyperlink" Target="https://app-web.statementrec.com/app#appuploadfiles/3a2180de-379f-6c8e-88b0-ca408f86157d" TargetMode="External"/><Relationship Id="rId4503" Type="http://schemas.openxmlformats.org/officeDocument/2006/relationships/hyperlink" Target="https://app-web.statementrec.com/app#appuploadfiles/3a2180e1-2de9-055a-312d-cfe0d0473abb" TargetMode="External"/><Relationship Id="rId4504" Type="http://schemas.openxmlformats.org/officeDocument/2006/relationships/hyperlink" Target="https://app-web.statementrec.com/app#appuploadfiles/3a2180e2-92a1-6e20-48a1-7e9942cf8af3" TargetMode="External"/><Relationship Id="rId4505" Type="http://schemas.openxmlformats.org/officeDocument/2006/relationships/hyperlink" Target="https://app-web.statementrec.com/app#appuploadfiles/3a2180e8-b9a8-e373-450c-d3b9b452f9bd" TargetMode="External"/><Relationship Id="rId4506" Type="http://schemas.openxmlformats.org/officeDocument/2006/relationships/hyperlink" Target="https://app-web.statementrec.com/app#appuploadfiles/3a2180ea-b498-1953-c1e3-735de6024610" TargetMode="External"/><Relationship Id="rId4507" Type="http://schemas.openxmlformats.org/officeDocument/2006/relationships/hyperlink" Target="https://app-web.statementrec.com/app#appuploadfiles/3a2180ec-3869-1bbb-036c-b0c19553fae5" TargetMode="External"/><Relationship Id="rId4508" Type="http://schemas.openxmlformats.org/officeDocument/2006/relationships/hyperlink" Target="https://app-web.statementrec.com/app#appuploadfiles/3a2180ec-d2d1-3713-37da-951b5664222f" TargetMode="External"/><Relationship Id="rId4509" Type="http://schemas.openxmlformats.org/officeDocument/2006/relationships/hyperlink" Target="https://app-web.statementrec.com/app#appuploadfiles/3a218118-cae6-dbe4-803a-27b004320caa" TargetMode="External"/><Relationship Id="rId4510" Type="http://schemas.openxmlformats.org/officeDocument/2006/relationships/hyperlink" Target="https://app-web.statementrec.com/app#appuploadfiles/3a218122-1124-5859-6452-0e7a1948dbb1" TargetMode="External"/><Relationship Id="rId4511" Type="http://schemas.openxmlformats.org/officeDocument/2006/relationships/hyperlink" Target="https://app-web.statementrec.com/app#appuploadfiles/3a218125-f19d-6936-426f-518811f7cfad" TargetMode="External"/><Relationship Id="rId4512" Type="http://schemas.openxmlformats.org/officeDocument/2006/relationships/hyperlink" Target="https://app-web.statementrec.com/app#appuploadfiles/3a218135-8b60-3133-d639-26ab04fe58bd" TargetMode="External"/><Relationship Id="rId4513" Type="http://schemas.openxmlformats.org/officeDocument/2006/relationships/hyperlink" Target="https://app-web.statementrec.com/app#appuploadfiles/3a218137-e4f3-47ca-f487-4e6206f83d7e" TargetMode="External"/><Relationship Id="rId4514" Type="http://schemas.openxmlformats.org/officeDocument/2006/relationships/hyperlink" Target="https://app-web.statementrec.com/app#appuploadfiles/3a218140-c629-c804-3306-ddc921e185e1" TargetMode="External"/><Relationship Id="rId4515" Type="http://schemas.openxmlformats.org/officeDocument/2006/relationships/hyperlink" Target="https://app-web.statementrec.com/app#appuploadfiles/3a218147-28db-8a22-3165-512c68f16780" TargetMode="External"/><Relationship Id="rId4516" Type="http://schemas.openxmlformats.org/officeDocument/2006/relationships/hyperlink" Target="https://app-web.statementrec.com/app#appuploadfiles/3a21814c-9b52-bec8-69fc-4e9f0211e122" TargetMode="External"/><Relationship Id="rId4517" Type="http://schemas.openxmlformats.org/officeDocument/2006/relationships/hyperlink" Target="https://app-web.statementrec.com/app#appuploadfiles/3a218151-b69f-c913-ca02-b7e5b69f133a" TargetMode="External"/><Relationship Id="rId4518" Type="http://schemas.openxmlformats.org/officeDocument/2006/relationships/hyperlink" Target="https://app-web.statementrec.com/app#appuploadfiles/3a21816a-0e77-a75d-5089-100012036757" TargetMode="External"/><Relationship Id="rId4519" Type="http://schemas.openxmlformats.org/officeDocument/2006/relationships/hyperlink" Target="https://app-web.statementrec.com/app#appuploadfiles/3a21816b-8f8d-b7d2-f016-3d68e616a0ac" TargetMode="External"/><Relationship Id="rId4520" Type="http://schemas.openxmlformats.org/officeDocument/2006/relationships/hyperlink" Target="https://app-web.statementrec.com/app#appuploadfiles/3a21816c-80dd-1dcb-a802-060453e84cc7" TargetMode="External"/><Relationship Id="rId4521" Type="http://schemas.openxmlformats.org/officeDocument/2006/relationships/hyperlink" Target="https://app-web.statementrec.com/app#appuploadfiles/3a218178-967a-2842-4673-1bc3c45bd3f0" TargetMode="External"/><Relationship Id="rId4522" Type="http://schemas.openxmlformats.org/officeDocument/2006/relationships/hyperlink" Target="https://app-web.statementrec.com/app#appuploadfiles/3a218189-17fd-d4bf-e2b7-59f39343ebf2" TargetMode="External"/><Relationship Id="rId4523" Type="http://schemas.openxmlformats.org/officeDocument/2006/relationships/hyperlink" Target="https://app-web.statementrec.com/app#appuploadfiles/3a21818a-9bc1-1a69-6e9c-7b01f7fe03c1" TargetMode="External"/><Relationship Id="rId4524" Type="http://schemas.openxmlformats.org/officeDocument/2006/relationships/hyperlink" Target="https://app-web.statementrec.com/app#appuploadfiles/3a2181a2-9168-6b17-ebd2-72e4b853753d" TargetMode="External"/><Relationship Id="rId4525" Type="http://schemas.openxmlformats.org/officeDocument/2006/relationships/hyperlink" Target="https://app-web.statementrec.com/app#appuploadfiles/3a2181c6-a50d-5f31-9e82-bf8eee8c55e6" TargetMode="External"/><Relationship Id="rId4526" Type="http://schemas.openxmlformats.org/officeDocument/2006/relationships/hyperlink" Target="https://app-web.statementrec.com/app#appuploadfiles/3a2181c8-ea71-6797-cf14-3f9cf0fdfa32" TargetMode="External"/><Relationship Id="rId4527" Type="http://schemas.openxmlformats.org/officeDocument/2006/relationships/hyperlink" Target="https://app-web.statementrec.com/app#appuploadfiles/3a2181d6-623c-7d50-b46a-9a71ae01ffdb" TargetMode="External"/><Relationship Id="rId4528" Type="http://schemas.openxmlformats.org/officeDocument/2006/relationships/hyperlink" Target="https://app-web.statementrec.com/app#appuploadfiles/3a2181dc-ccec-fccb-a6d7-3eef666a8847" TargetMode="External"/><Relationship Id="rId4529" Type="http://schemas.openxmlformats.org/officeDocument/2006/relationships/hyperlink" Target="https://app-web.statementrec.com/app#appuploadfiles/3a2181f0-b9e5-6d5e-d565-b4cf49546031" TargetMode="External"/><Relationship Id="rId4530" Type="http://schemas.openxmlformats.org/officeDocument/2006/relationships/hyperlink" Target="https://app-web.statementrec.com/app#appuploadfiles/3a21820e-2d59-1d99-b0cd-d7e78f124077" TargetMode="External"/><Relationship Id="rId4531" Type="http://schemas.openxmlformats.org/officeDocument/2006/relationships/hyperlink" Target="https://app-web.statementrec.com/app#appuploadfiles/3a218224-31fc-5fbd-64ac-94410185a965" TargetMode="External"/><Relationship Id="rId4532" Type="http://schemas.openxmlformats.org/officeDocument/2006/relationships/hyperlink" Target="https://app-web.statementrec.com/app#appuploadfiles/3a21822c-bee4-7043-1711-eae5a50b39df" TargetMode="External"/><Relationship Id="rId4533" Type="http://schemas.openxmlformats.org/officeDocument/2006/relationships/hyperlink" Target="https://app-web.statementrec.com/app#appuploadfiles/3a218277-8276-e8bd-211b-0c7e5e452716" TargetMode="External"/><Relationship Id="rId4534" Type="http://schemas.openxmlformats.org/officeDocument/2006/relationships/hyperlink" Target="https://app-web.statementrec.com/app#appuploadfiles/3a2182a7-bbd7-404b-6c19-ce7e4b41a78b" TargetMode="External"/><Relationship Id="rId4535" Type="http://schemas.openxmlformats.org/officeDocument/2006/relationships/hyperlink" Target="https://app-web.statementrec.com/app#appuploadfiles/3a218388-d8fd-6403-018e-b00343e95de1" TargetMode="External"/><Relationship Id="rId4536" Type="http://schemas.openxmlformats.org/officeDocument/2006/relationships/hyperlink" Target="https://app-web.statementrec.com/app#appuploadfiles/3a2184cd-be77-57ea-7525-b7afd697b22d" TargetMode="External"/><Relationship Id="rId4537" Type="http://schemas.openxmlformats.org/officeDocument/2006/relationships/hyperlink" Target="https://app-web.statementrec.com/app#appuploadfiles/3a2184d0-83bb-8bce-acf6-7d475f1f2af8" TargetMode="External"/><Relationship Id="rId4538" Type="http://schemas.openxmlformats.org/officeDocument/2006/relationships/hyperlink" Target="https://app-web.statementrec.com/app#appuploadfiles/3a2184d1-9d6c-0064-070c-25023d12de85" TargetMode="External"/><Relationship Id="rId4539" Type="http://schemas.openxmlformats.org/officeDocument/2006/relationships/hyperlink" Target="https://app-web.statementrec.com/app#appuploadfiles/3a2184d7-cc16-25fa-7058-df0dbbdc6346" TargetMode="External"/><Relationship Id="rId4540" Type="http://schemas.openxmlformats.org/officeDocument/2006/relationships/hyperlink" Target="https://app-web.statementrec.com/app#appuploadfiles/3a218500-3677-6afd-af69-de583e5b8db8" TargetMode="External"/><Relationship Id="rId4541" Type="http://schemas.openxmlformats.org/officeDocument/2006/relationships/hyperlink" Target="https://app-web.statementrec.com/app#appuploadfiles/3a21850a-eff5-e1af-79be-d96b9ffa6979" TargetMode="External"/><Relationship Id="rId4542" Type="http://schemas.openxmlformats.org/officeDocument/2006/relationships/hyperlink" Target="https://app-web.statementrec.com/app#appuploadfiles/3a218513-b414-1dc7-c9d4-aced1f09e4a8" TargetMode="External"/><Relationship Id="rId4543" Type="http://schemas.openxmlformats.org/officeDocument/2006/relationships/hyperlink" Target="https://app-web.statementrec.com/app#appuploadfiles/3a218514-40f8-706d-486b-c191b955d52e" TargetMode="External"/><Relationship Id="rId4544" Type="http://schemas.openxmlformats.org/officeDocument/2006/relationships/hyperlink" Target="https://app-web.statementrec.com/app#appuploadfiles/3a218524-8a0c-3bf5-5503-d811dfb45d94" TargetMode="External"/><Relationship Id="rId4545" Type="http://schemas.openxmlformats.org/officeDocument/2006/relationships/hyperlink" Target="https://app-web.statementrec.com/app#appuploadfiles/3a21852d-476a-8eab-aec5-f8c388c7512a" TargetMode="External"/><Relationship Id="rId4546" Type="http://schemas.openxmlformats.org/officeDocument/2006/relationships/hyperlink" Target="https://app-web.statementrec.com/app#appuploadfiles/3a218547-e55d-84c0-f36d-640f98ffa8c4" TargetMode="External"/><Relationship Id="rId4547" Type="http://schemas.openxmlformats.org/officeDocument/2006/relationships/hyperlink" Target="https://app-web.statementrec.com/app#appuploadfiles/3a218559-2063-e4f9-4b8a-8c8f7da6d9be" TargetMode="External"/><Relationship Id="rId4548" Type="http://schemas.openxmlformats.org/officeDocument/2006/relationships/hyperlink" Target="https://app-web.statementrec.com/app#appuploadfiles/3a218563-d044-9f5d-dc87-b6eb49f2ee1a" TargetMode="External"/><Relationship Id="rId4549" Type="http://schemas.openxmlformats.org/officeDocument/2006/relationships/hyperlink" Target="https://app-web.statementrec.com/app#appuploadfiles/3a218569-b424-7656-f01d-7a4e465ddc24" TargetMode="External"/><Relationship Id="rId4550" Type="http://schemas.openxmlformats.org/officeDocument/2006/relationships/hyperlink" Target="https://app-web.statementrec.com/app#appuploadfiles/3a21856f-3588-3f87-a31a-b8cae10de727" TargetMode="External"/><Relationship Id="rId4551" Type="http://schemas.openxmlformats.org/officeDocument/2006/relationships/hyperlink" Target="https://app-web.statementrec.com/app#appuploadfiles/3a218572-380f-43c4-6472-2752f13d9c6a" TargetMode="External"/><Relationship Id="rId4552" Type="http://schemas.openxmlformats.org/officeDocument/2006/relationships/hyperlink" Target="https://app-web.statementrec.com/app#appuploadfiles/3a218586-d22b-bcfb-0f76-ee4b273e18b0" TargetMode="External"/><Relationship Id="rId4553" Type="http://schemas.openxmlformats.org/officeDocument/2006/relationships/hyperlink" Target="https://app-web.statementrec.com/app#appuploadfiles/3a2185ab-a01d-8c48-100a-09042a9a177a" TargetMode="External"/><Relationship Id="rId4554" Type="http://schemas.openxmlformats.org/officeDocument/2006/relationships/hyperlink" Target="https://app-web.statementrec.com/app#appuploadfiles/3a2185ad-d8b5-9c59-2fdb-8f5c5b657326" TargetMode="External"/><Relationship Id="rId4555" Type="http://schemas.openxmlformats.org/officeDocument/2006/relationships/hyperlink" Target="https://app-web.statementrec.com/app#appuploadfiles/3a2185ae-c56e-711d-cef7-e45f2c4c5d0d" TargetMode="External"/><Relationship Id="rId4556" Type="http://schemas.openxmlformats.org/officeDocument/2006/relationships/hyperlink" Target="https://app-web.statementrec.com/app#appuploadfiles/3a2185bb-e0bc-64c5-a4ec-8379652a17a2" TargetMode="External"/><Relationship Id="rId4557" Type="http://schemas.openxmlformats.org/officeDocument/2006/relationships/hyperlink" Target="https://app-web.statementrec.com/app#appuploadfiles/3a2185be-91c8-a4ca-e5af-162460e429c3" TargetMode="External"/><Relationship Id="rId4558" Type="http://schemas.openxmlformats.org/officeDocument/2006/relationships/hyperlink" Target="https://app-web.statementrec.com/app#appuploadfiles/3a2185dd-2dfb-aa6f-b9e1-90919823210a" TargetMode="External"/><Relationship Id="rId4559" Type="http://schemas.openxmlformats.org/officeDocument/2006/relationships/hyperlink" Target="https://app-web.statementrec.com/app#appuploadfiles/3a2185ec-f4dd-61cc-ffaf-5dfe78c40233" TargetMode="External"/><Relationship Id="rId4560" Type="http://schemas.openxmlformats.org/officeDocument/2006/relationships/hyperlink" Target="https://app-web.statementrec.com/app#appuploadfiles/3a2185fc-8c5c-8d76-fc46-3d30015040e4" TargetMode="External"/><Relationship Id="rId4561" Type="http://schemas.openxmlformats.org/officeDocument/2006/relationships/hyperlink" Target="https://app-web.statementrec.com/app#appuploadfiles/3a218603-673b-23fa-8c87-df8da18f8190" TargetMode="External"/><Relationship Id="rId4562" Type="http://schemas.openxmlformats.org/officeDocument/2006/relationships/hyperlink" Target="https://app-web.statementrec.com/app#appuploadfiles/3a21860e-dd80-7f3e-d22e-26fecd773a98" TargetMode="External"/><Relationship Id="rId4563" Type="http://schemas.openxmlformats.org/officeDocument/2006/relationships/hyperlink" Target="https://app-web.statementrec.com/app#appuploadfiles/3a21861a-b7f1-95be-b1b7-8103798a4980" TargetMode="External"/><Relationship Id="rId4564" Type="http://schemas.openxmlformats.org/officeDocument/2006/relationships/hyperlink" Target="https://app-web.statementrec.com/app#appuploadfiles/3a21861f-f086-4531-4fed-81a357421e1e" TargetMode="External"/><Relationship Id="rId4565" Type="http://schemas.openxmlformats.org/officeDocument/2006/relationships/hyperlink" Target="https://app-web.statementrec.com/app#appuploadfiles/3a218639-727f-341b-3d2f-085bf1441551" TargetMode="External"/><Relationship Id="rId4566" Type="http://schemas.openxmlformats.org/officeDocument/2006/relationships/hyperlink" Target="https://app-web.statementrec.com/app#appuploadfiles/3a21865b-55dd-4497-b296-815787c27788" TargetMode="External"/><Relationship Id="rId4567" Type="http://schemas.openxmlformats.org/officeDocument/2006/relationships/hyperlink" Target="https://app-web.statementrec.com/app#appuploadfiles/3a21865f-739a-9164-6ab8-ef0e2ccde1dd" TargetMode="External"/><Relationship Id="rId4568" Type="http://schemas.openxmlformats.org/officeDocument/2006/relationships/hyperlink" Target="https://app-web.statementrec.com/app#appuploadfiles/3a218670-b10a-e22f-8c3d-6e8c3a02f025" TargetMode="External"/><Relationship Id="rId4569" Type="http://schemas.openxmlformats.org/officeDocument/2006/relationships/hyperlink" Target="https://app-web.statementrec.com/app#appuploadfiles/3a218672-fe2e-fe48-8f00-2be67c33bb9e" TargetMode="External"/><Relationship Id="rId4570" Type="http://schemas.openxmlformats.org/officeDocument/2006/relationships/hyperlink" Target="https://app-web.statementrec.com/app#appuploadfiles/3a218687-eebd-99de-2ea1-abeacc24976e" TargetMode="External"/><Relationship Id="rId4571" Type="http://schemas.openxmlformats.org/officeDocument/2006/relationships/hyperlink" Target="https://app-web.statementrec.com/app#appuploadfiles/3a2186bf-626e-bc05-4c2b-927a50f14e7e" TargetMode="External"/><Relationship Id="rId4572" Type="http://schemas.openxmlformats.org/officeDocument/2006/relationships/hyperlink" Target="https://app-web.statementrec.com/app#appuploadfiles/3a2186c2-5b38-82bf-8504-3a6776930641" TargetMode="External"/><Relationship Id="rId4573" Type="http://schemas.openxmlformats.org/officeDocument/2006/relationships/hyperlink" Target="https://app-web.statementrec.com/app#appuploadfiles/3a21870f-9824-295b-da60-78b8fb8985c8" TargetMode="External"/><Relationship Id="rId4574" Type="http://schemas.openxmlformats.org/officeDocument/2006/relationships/hyperlink" Target="https://app-web.statementrec.com/app#appuploadfiles/3a2187eb-7399-53e3-418e-f1c7a13363c1" TargetMode="External"/><Relationship Id="rId4575" Type="http://schemas.openxmlformats.org/officeDocument/2006/relationships/hyperlink" Target="https://app-web.statementrec.com/app#appuploadfiles/3a21887e-9ade-33d1-b22a-16a03ca21534" TargetMode="External"/><Relationship Id="rId4576" Type="http://schemas.openxmlformats.org/officeDocument/2006/relationships/hyperlink" Target="https://app-web.statementrec.com/app#appuploadfiles/3a2188b2-da67-1efa-4aa1-0dfa68b0fda3" TargetMode="External"/><Relationship Id="rId4577" Type="http://schemas.openxmlformats.org/officeDocument/2006/relationships/hyperlink" Target="https://app-web.statementrec.com/app#appuploadfiles/3a2189f4-1b51-4bac-c630-e087d9c5923b" TargetMode="External"/><Relationship Id="rId4578" Type="http://schemas.openxmlformats.org/officeDocument/2006/relationships/hyperlink" Target="https://app-web.statementrec.com/app#appuploadfiles/3a218add-de62-bdd4-051f-6fbeba43c8c1" TargetMode="External"/><Relationship Id="rId4579" Type="http://schemas.openxmlformats.org/officeDocument/2006/relationships/hyperlink" Target="https://app-web.statementrec.com/app#appuploadfiles/3a218b20-2a3c-a660-0a39-f043179f0f44" TargetMode="External"/><Relationship Id="rId4580" Type="http://schemas.openxmlformats.org/officeDocument/2006/relationships/hyperlink" Target="https://app-web.statementrec.com/app#appuploadfiles/3a218b47-28b2-d00d-518a-ac461b52baf0" TargetMode="External"/><Relationship Id="rId4581" Type="http://schemas.openxmlformats.org/officeDocument/2006/relationships/hyperlink" Target="https://app-web.statementrec.com/app#appuploadfiles/3a218c48-ca7b-805d-4a26-75a58c5c374d" TargetMode="External"/><Relationship Id="rId4582" Type="http://schemas.openxmlformats.org/officeDocument/2006/relationships/hyperlink" Target="https://app-web.statementrec.com/app#appuploadfiles/3a218c77-9df0-b9e1-c023-4490fd714751" TargetMode="External"/><Relationship Id="rId4583" Type="http://schemas.openxmlformats.org/officeDocument/2006/relationships/hyperlink" Target="https://app-web.statementrec.com/app#appuploadfiles/3a218f20-9842-e077-758a-4d4b1fa9951b" TargetMode="External"/><Relationship Id="rId4584" Type="http://schemas.openxmlformats.org/officeDocument/2006/relationships/hyperlink" Target="https://app-web.statementrec.com/app#appuploadfiles/3a218f82-e423-07ec-8cd4-cc2f30cf6263" TargetMode="External"/><Relationship Id="rId4585" Type="http://schemas.openxmlformats.org/officeDocument/2006/relationships/hyperlink" Target="https://app-web.statementrec.com/app#appuploadfiles/3a219078-9169-f472-5079-64db4edd7b8a" TargetMode="External"/><Relationship Id="rId4586" Type="http://schemas.openxmlformats.org/officeDocument/2006/relationships/hyperlink" Target="https://app-web.statementrec.com/app#appuploadfiles/3a2191bb-f583-a772-8053-31d60951d0b7" TargetMode="External"/><Relationship Id="rId4587" Type="http://schemas.openxmlformats.org/officeDocument/2006/relationships/hyperlink" Target="https://app-web.statementrec.com/app#appuploadfiles/3a2191d5-9dc0-e3fb-35d0-20807259b939" TargetMode="External"/><Relationship Id="rId4588" Type="http://schemas.openxmlformats.org/officeDocument/2006/relationships/hyperlink" Target="https://app-web.statementrec.com/app#appuploadfiles/3a21920f-404c-f472-9512-6c3953653655" TargetMode="External"/><Relationship Id="rId4589" Type="http://schemas.openxmlformats.org/officeDocument/2006/relationships/hyperlink" Target="https://app-web.statementrec.com/app#appuploadfiles/3a21924f-f6a9-9b72-2a30-095815bc72a0" TargetMode="External"/><Relationship Id="rId4590" Type="http://schemas.openxmlformats.org/officeDocument/2006/relationships/hyperlink" Target="https://app-web.statementrec.com/app#appuploadfiles/3a219293-f103-ff20-35e6-c9c842ca4419" TargetMode="External"/><Relationship Id="rId4591" Type="http://schemas.openxmlformats.org/officeDocument/2006/relationships/hyperlink" Target="https://app-web.statementrec.com/app#appuploadfiles/3a21929c-fc24-841b-7e37-1d55975aeea3" TargetMode="External"/><Relationship Id="rId4592" Type="http://schemas.openxmlformats.org/officeDocument/2006/relationships/hyperlink" Target="https://app-web.statementrec.com/app#appuploadfiles/3a2192a2-a1d9-710e-d759-7bc2fee6769a" TargetMode="External"/><Relationship Id="rId4593" Type="http://schemas.openxmlformats.org/officeDocument/2006/relationships/hyperlink" Target="https://app-web.statementrec.com/app#appuploadfiles/3a2192a2-c08b-982f-2561-366f1069f3ce" TargetMode="External"/><Relationship Id="rId4594" Type="http://schemas.openxmlformats.org/officeDocument/2006/relationships/hyperlink" Target="https://app-web.statementrec.com/app#appuploadfiles/3a2192e6-fca4-2077-6b7d-d1df814ef2bf" TargetMode="External"/><Relationship Id="rId4595" Type="http://schemas.openxmlformats.org/officeDocument/2006/relationships/hyperlink" Target="https://app-web.statementrec.com/app#appuploadfiles/3a21941f-2986-0bfb-495b-1c499906638c" TargetMode="External"/><Relationship Id="rId4596" Type="http://schemas.openxmlformats.org/officeDocument/2006/relationships/hyperlink" Target="https://app-web.statementrec.com/app#appuploadfiles/3a219427-a411-a353-e60e-438acba4d544" TargetMode="External"/><Relationship Id="rId4597" Type="http://schemas.openxmlformats.org/officeDocument/2006/relationships/hyperlink" Target="https://app-web.statementrec.com/app#appuploadfiles/3a21943a-7475-6827-9049-ef07edc29ff7" TargetMode="External"/><Relationship Id="rId4598" Type="http://schemas.openxmlformats.org/officeDocument/2006/relationships/hyperlink" Target="https://app-web.statementrec.com/app#appuploadfiles/3a219445-3ed5-29c4-4baa-de607dbbb9cf" TargetMode="External"/><Relationship Id="rId4599" Type="http://schemas.openxmlformats.org/officeDocument/2006/relationships/hyperlink" Target="https://app-web.statementrec.com/app#appuploadfiles/3a21945c-b44a-2631-0e70-c8a213a2188d" TargetMode="External"/><Relationship Id="rId4600" Type="http://schemas.openxmlformats.org/officeDocument/2006/relationships/hyperlink" Target="https://app-web.statementrec.com/app#appuploadfiles/3a219466-f51b-c9b9-ff4c-17bf1df44f24" TargetMode="External"/><Relationship Id="rId4601" Type="http://schemas.openxmlformats.org/officeDocument/2006/relationships/hyperlink" Target="https://app-web.statementrec.com/app#appuploadfiles/3a219468-6f9c-dde5-15a1-9bc68450e1ec" TargetMode="External"/><Relationship Id="rId4602" Type="http://schemas.openxmlformats.org/officeDocument/2006/relationships/hyperlink" Target="https://app-web.statementrec.com/app#appuploadfiles/3a21946e-7857-4977-eb58-675f3161ecfa" TargetMode="External"/><Relationship Id="rId4603" Type="http://schemas.openxmlformats.org/officeDocument/2006/relationships/hyperlink" Target="https://app-web.statementrec.com/app#appuploadfiles/3a21946e-f822-6a19-6aad-ee2b28456298" TargetMode="External"/><Relationship Id="rId4604" Type="http://schemas.openxmlformats.org/officeDocument/2006/relationships/hyperlink" Target="https://app-web.statementrec.com/app#appuploadfiles/3a219474-ebe8-6d3b-0932-bd936ec215b6" TargetMode="External"/><Relationship Id="rId4605" Type="http://schemas.openxmlformats.org/officeDocument/2006/relationships/hyperlink" Target="https://app-web.statementrec.com/app#appuploadfiles/3a219476-b10c-4217-550d-c9fe130e7d53" TargetMode="External"/><Relationship Id="rId4606" Type="http://schemas.openxmlformats.org/officeDocument/2006/relationships/hyperlink" Target="https://app-web.statementrec.com/app#appuploadfiles/3a219477-4f6c-37c8-9952-b910e8b6ee74" TargetMode="External"/><Relationship Id="rId4607" Type="http://schemas.openxmlformats.org/officeDocument/2006/relationships/hyperlink" Target="https://app-web.statementrec.com/app#appuploadfiles/3a21947c-2055-ff36-3274-6cc2c3e40e6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4608"/>
  <sheetViews>
    <sheetView workbookViewId="0"/>
  </sheetViews>
  <sheetFormatPr defaultRowHeight="15"/>
  <cols>
    <col min="1" max="1" width="8.00006103515625" customWidth="1" style="1"/>
    <col min="2" max="2" width="92.2848249162946" customWidth="1" style="1"/>
    <col min="3" max="3" width="7.12952532087054" customWidth="1" style="1"/>
    <col min="4" max="16384" width="0" customWidth="1" style="1"/>
  </cols>
  <sheetData>
    <row r="1">
      <c r="A1" s="2" t="s">
        <v>0</v>
      </c>
      <c r="B1" s="2" t="s">
        <v>1</v>
      </c>
      <c r="C1" s="2" t="s">
        <v>2</v>
      </c>
    </row>
    <row r="2">
      <c r="A2" s="5">
        <f>HYPERLINK("https://app-web.statementrec.com/app#appuploadfiles/39da5e1d-4234-cb72-e1dd-7f61867b66ce","Orthoxel")</f>
      </c>
      <c r="B2" s="3" t="s">
        <v>3</v>
      </c>
      <c r="C2" s="4">
        <v>17</v>
      </c>
    </row>
    <row r="3">
      <c r="A3" s="5">
        <f>HYPERLINK("https://app-web.statementrec.com/app#appuploadfiles/39dad0fe-e13d-03d8-e1a0-342ca68f6a22","Courierforce Logistics Ltd")</f>
      </c>
      <c r="B3" s="3" t="s">
        <v>4</v>
      </c>
      <c r="C3" s="4">
        <v>24</v>
      </c>
    </row>
    <row r="4">
      <c r="A4" s="5">
        <f>HYPERLINK("https://app-web.statementrec.com/app#appuploadfiles/39daf8ef-3817-9365-4072-5642fe0e5541","IMIS Global Limited")</f>
      </c>
      <c r="B4" s="3" t="s">
        <v>5</v>
      </c>
      <c r="C4" s="4">
        <v>18</v>
      </c>
    </row>
    <row r="5">
      <c r="A5" s="5">
        <f>HYPERLINK("https://app-web.statementrec.com/app#appuploadfiles/39db3126-8c85-b220-3272-121d4de7d183","Literature &amp; Latte")</f>
      </c>
      <c r="B5" s="3" t="s">
        <v>6</v>
      </c>
      <c r="C5" s="4">
        <v>26</v>
      </c>
    </row>
    <row r="6">
      <c r="A6" s="5">
        <f>HYPERLINK("https://app-web.statementrec.com/app#appuploadfiles/39db7a21-0d44-b733-75a0-30863c6f78f6","J A Piper")</f>
      </c>
      <c r="B6" s="3" t="s">
        <v>7</v>
      </c>
      <c r="C6" s="4">
        <v>36</v>
      </c>
    </row>
    <row r="7">
      <c r="A7" s="5">
        <f>HYPERLINK("https://app-web.statementrec.com/app#appuploadfiles/39dba81d-86d0-73b5-8218-ed28cd37953f","S C Partridge")</f>
      </c>
      <c r="B7" s="3" t="s">
        <v>8</v>
      </c>
      <c r="C7" s="4">
        <v>16</v>
      </c>
    </row>
    <row r="8">
      <c r="A8" s="5">
        <f>HYPERLINK("https://app-web.statementrec.com/app#appuploadfiles/39dba922-9657-e716-ea61-bba52ca8219e","Mr P Marsh")</f>
      </c>
      <c r="B8" s="3" t="s">
        <v>9</v>
      </c>
      <c r="C8" s="4">
        <v>6</v>
      </c>
    </row>
    <row r="9">
      <c r="A9" s="5">
        <f>HYPERLINK("https://app-web.statementrec.com/app#appuploadfiles/39dbebc9-3d52-38af-5e91-1c82ca3aff9c","L&amp;K Salon Ltd")</f>
      </c>
      <c r="B9" s="3" t="s">
        <v>10</v>
      </c>
      <c r="C9" s="4">
        <v>4</v>
      </c>
    </row>
    <row r="10">
      <c r="A10" s="5">
        <f>HYPERLINK("https://app-web.statementrec.com/app#appuploadfiles/39dbf6a7-5828-6637-c272-1c9e8d8d4814","St Peters GFC")</f>
      </c>
      <c r="B10" s="3" t="s">
        <v>11</v>
      </c>
      <c r="C10" s="4">
        <v>3</v>
      </c>
    </row>
    <row r="11">
      <c r="A11" s="5">
        <f>HYPERLINK("https://app-web.statementrec.com/app#appuploadfiles/39dc106a-29fb-0880-1d02-a28b344eebe4","Manor Petroleum Limited")</f>
      </c>
      <c r="B11" s="3" t="s">
        <v>3</v>
      </c>
      <c r="C11" s="4">
        <v>4</v>
      </c>
    </row>
    <row r="12">
      <c r="A12" s="5">
        <f>HYPERLINK("https://app-web.statementrec.com/app#appuploadfiles/39dcedd6-3cf7-82ea-b087-6400d206c3df","KMC Accountants")</f>
      </c>
      <c r="B12" s="3" t="s">
        <v>3</v>
      </c>
      <c r="C12" s="4">
        <v>3</v>
      </c>
    </row>
    <row r="13">
      <c r="A13" s="5">
        <f>HYPERLINK("https://app-web.statementrec.com/app#appuploadfiles/39dd1747-ba36-ee7b-d138-45ee924d1390","45 DEGREES CONSTRUCTION LTD")</f>
      </c>
      <c r="B13" s="3" t="s">
        <v>12</v>
      </c>
      <c r="C13" s="4">
        <v>20</v>
      </c>
    </row>
    <row r="14">
      <c r="A14" s="5">
        <f>HYPERLINK("https://app-web.statementrec.com/app#appuploadfiles/39dd305e-ba11-7333-6d05-b9bc097cf814","Ballymodan Surgery")</f>
      </c>
      <c r="B14" s="3" t="s">
        <v>10</v>
      </c>
      <c r="C14" s="4">
        <v>48</v>
      </c>
    </row>
    <row r="15">
      <c r="A15" s="5">
        <f>HYPERLINK("https://app-web.statementrec.com/app#appuploadfiles/39dd4a38-c56f-882a-4aac-892c33124d66","Gypcom Property")</f>
      </c>
      <c r="B15" s="3" t="s">
        <v>13</v>
      </c>
      <c r="C15" s="4">
        <v>3</v>
      </c>
    </row>
    <row r="16">
      <c r="A16" s="5">
        <f>HYPERLINK("https://app-web.statementrec.com/app#appuploadfiles/39dd9653-d4c1-5cfe-61ec-5b522415e927","Salters Landscaping")</f>
      </c>
      <c r="B16" s="3" t="s">
        <v>14</v>
      </c>
      <c r="C16" s="4">
        <v>6</v>
      </c>
    </row>
    <row r="17">
      <c r="A17" s="5">
        <f>HYPERLINK("https://app-web.statementrec.com/app#appuploadfiles/39ddde49-2280-372d-1e60-76dad5df4978","Mr M J and Mrs K E Andrews")</f>
      </c>
      <c r="B17" s="3" t="s">
        <v>15</v>
      </c>
      <c r="C17" s="4">
        <v>2</v>
      </c>
    </row>
    <row r="18">
      <c r="A18" s="5">
        <f>HYPERLINK("https://app-web.statementrec.com/app#appuploadfiles/39dddff3-4a12-1f30-10ad-e98307c74742","PJ's Diner")</f>
      </c>
      <c r="B18" s="3" t="s">
        <v>3</v>
      </c>
      <c r="C18" s="4">
        <v>58</v>
      </c>
    </row>
    <row r="19">
      <c r="A19" s="5">
        <f>HYPERLINK("https://app-web.statementrec.com/app#appuploadfiles/39de07ce-f012-a0af-5300-cf2d329a036e","Priory accounting &amp; Tax Ltd")</f>
      </c>
      <c r="B19" s="3" t="s">
        <v>16</v>
      </c>
      <c r="C19" s="4">
        <v>4</v>
      </c>
    </row>
    <row r="20">
      <c r="A20" s="5">
        <f>HYPERLINK("https://app-web.statementrec.com/app#appuploadfiles/39de50d1-b9ec-8a5f-67c1-9da4e2e37262","Vanplus Leisure Ltd")</f>
      </c>
      <c r="B20" s="3" t="s">
        <v>17</v>
      </c>
      <c r="C20" s="4">
        <v>5</v>
      </c>
    </row>
    <row r="21">
      <c r="A21" s="5">
        <f>HYPERLINK("https://app-web.statementrec.com/app#appuploadfiles/39de8390-d714-f7bb-3dc4-715a75bb587f","Kevin Kavanagh Gallery")</f>
      </c>
      <c r="B21" s="3" t="s">
        <v>10</v>
      </c>
      <c r="C21" s="4">
        <v>42</v>
      </c>
    </row>
    <row r="22">
      <c r="A22" s="5">
        <f>HYPERLINK("https://app-web.statementrec.com/app#appuploadfiles/39deb18e-32e0-0f16-13fb-797b64f3a595","FFT")</f>
      </c>
      <c r="B22" s="3" t="s">
        <v>18</v>
      </c>
      <c r="C22" s="4">
        <v>43</v>
      </c>
    </row>
    <row r="23">
      <c r="A23" s="5">
        <f>HYPERLINK("https://app-web.statementrec.com/app#appuploadfiles/39deb6a6-9b43-6cb0-9651-0312608331cf","Kitty &amp; Scarlet Limited")</f>
      </c>
      <c r="B23" s="3" t="s">
        <v>19</v>
      </c>
      <c r="C23" s="4">
        <v>54</v>
      </c>
    </row>
    <row r="24">
      <c r="A24" s="5">
        <f>HYPERLINK("https://app-web.statementrec.com/app#appuploadfiles/39df090a-9422-1e92-32c0-831ccf59ee00","Chin Can Cook Ltd")</f>
      </c>
      <c r="B24" s="3" t="s">
        <v>20</v>
      </c>
      <c r="C24" s="4">
        <v>10</v>
      </c>
    </row>
    <row r="25">
      <c r="A25" s="5">
        <f>HYPERLINK("https://app-web.statementrec.com/app#appuploadfiles/39df4152-bd7b-6df0-bf2f-8d6a9b4637b6","Stephen Hunter Lawnmowers")</f>
      </c>
      <c r="B25" s="3" t="s">
        <v>21</v>
      </c>
      <c r="C25" s="4">
        <v>52</v>
      </c>
    </row>
    <row r="26">
      <c r="A26" s="5">
        <f>HYPERLINK("https://app-web.statementrec.com/app#appuploadfiles/39df7605-a010-1a78-6514-e2acfd6e7a4c","DJ Stanbury")</f>
      </c>
      <c r="B26" s="3" t="s">
        <v>22</v>
      </c>
      <c r="C26" s="4">
        <v>16</v>
      </c>
    </row>
    <row r="27">
      <c r="A27" s="5">
        <f>HYPERLINK("https://app-web.statementrec.com/app#appuploadfiles/39df7a84-d4af-dd28-6ddb-39c93a9544eb","LMC Drylining Ltd")</f>
      </c>
      <c r="B27" s="3" t="s">
        <v>23</v>
      </c>
      <c r="C27" s="4">
        <v>216</v>
      </c>
    </row>
    <row r="28">
      <c r="A28" s="5">
        <f>HYPERLINK("https://app-web.statementrec.com/app#appuploadfiles/39dfd7bb-8b80-8bcd-26ce-2e33f72fe05d","M P Clarke Construction Ltd")</f>
      </c>
      <c r="B28" s="3" t="s">
        <v>24</v>
      </c>
      <c r="C28" s="4">
        <v>95</v>
      </c>
    </row>
    <row r="29">
      <c r="A29" s="5">
        <f>HYPERLINK("https://app-web.statementrec.com/app#appuploadfiles/39e01acc-225a-7577-4185-412ee687b937","Bhanu's")</f>
      </c>
      <c r="B29" s="3" t="s">
        <v>25</v>
      </c>
      <c r="C29" s="4">
        <v>19</v>
      </c>
    </row>
    <row r="30">
      <c r="A30" s="5">
        <f>HYPERLINK("https://app-web.statementrec.com/app#appuploadfiles/39e03eeb-a7eb-6ccf-c45b-3da909cf1f9a","Gray VB Limited")</f>
      </c>
      <c r="B30" s="3" t="s">
        <v>11</v>
      </c>
      <c r="C30" s="4">
        <v>17</v>
      </c>
    </row>
    <row r="31">
      <c r="A31" s="5">
        <f>HYPERLINK("https://app-web.statementrec.com/app#appuploadfiles/39e048fb-f3ae-fc6a-5e8b-d33a2a1fae6c","serviceBOT LTD")</f>
      </c>
      <c r="B31" s="3" t="s">
        <v>15</v>
      </c>
      <c r="C31" s="4">
        <v>1</v>
      </c>
    </row>
    <row r="32">
      <c r="A32" s="5">
        <f>HYPERLINK("https://app-web.statementrec.com/app#appuploadfiles/39e062f8-bf98-6674-eeec-efc7fa5fb048","Adam Bolter Ltd")</f>
      </c>
      <c r="B32" s="3" t="s">
        <v>19</v>
      </c>
      <c r="C32" s="4">
        <v>12</v>
      </c>
    </row>
    <row r="33">
      <c r="A33" s="5">
        <f>HYPERLINK("https://app-web.statementrec.com/app#appuploadfiles/39e077e4-bfd3-7611-d290-2b4e806048a3","Test Company")</f>
      </c>
      <c r="B33" s="3" t="s">
        <v>26</v>
      </c>
      <c r="C33" s="4">
        <v>43</v>
      </c>
    </row>
    <row r="34">
      <c r="A34" s="5">
        <f>HYPERLINK("https://app-web.statementrec.com/app#appuploadfiles/39e0f3a6-d2cb-4df7-2c86-73ec6a217b28","Reaction Plumbing and Heating Ltd")</f>
      </c>
      <c r="B34" s="3" t="s">
        <v>27</v>
      </c>
      <c r="C34" s="4">
        <v>55</v>
      </c>
    </row>
    <row r="35">
      <c r="A35" s="5">
        <f>HYPERLINK("https://app-web.statementrec.com/app#appuploadfiles/39e13f63-c849-f5c1-d505-bfd2477ed88d","North South Design Limited")</f>
      </c>
      <c r="B35" s="3" t="s">
        <v>28</v>
      </c>
      <c r="C35" s="4">
        <v>3</v>
      </c>
    </row>
    <row r="36">
      <c r="A36" s="5">
        <f>HYPERLINK("https://app-web.statementrec.com/app#appuploadfiles/39e1691e-0058-1fb9-d5e0-a9c5b2d5af50","James Gorst Architects Limited")</f>
      </c>
      <c r="B36" s="3" t="s">
        <v>18</v>
      </c>
      <c r="C36" s="4">
        <v>25</v>
      </c>
    </row>
    <row r="37">
      <c r="A37" s="5">
        <f>HYPERLINK("https://app-web.statementrec.com/app#appuploadfiles/39e16f6c-6ddd-a796-f9e8-d7f241ce226c","Stanhopegate Architecture Ltd")</f>
      </c>
      <c r="B37" s="3" t="s">
        <v>29</v>
      </c>
      <c r="C37" s="4">
        <v>6</v>
      </c>
    </row>
    <row r="38">
      <c r="A38" s="5">
        <f>HYPERLINK("https://app-web.statementrec.com/app#appuploadfiles/39e1b1dc-d4c6-31ed-709f-5ce9f015851e","Mr &amp; Mrs P Green (Farm)")</f>
      </c>
      <c r="B38" s="3" t="s">
        <v>30</v>
      </c>
      <c r="C38" s="4">
        <v>13</v>
      </c>
    </row>
    <row r="39">
      <c r="A39" s="5">
        <f>HYPERLINK("https://app-web.statementrec.com/app#appuploadfiles/39e1b5af-3868-6cf9-3c98-c5b87a93a335","Acc 30023460")</f>
      </c>
      <c r="B39" s="3" t="s">
        <v>18</v>
      </c>
      <c r="C39" s="4">
        <v>6</v>
      </c>
    </row>
    <row r="40">
      <c r="A40" s="5">
        <f>HYPERLINK("https://app-web.statementrec.com/app#appuploadfiles/39e1db06-d359-6915-3786-4d9fca446cf9","Chris Clarke Limited")</f>
      </c>
      <c r="B40" s="3" t="s">
        <v>31</v>
      </c>
      <c r="C40" s="4">
        <v>2</v>
      </c>
    </row>
    <row r="41">
      <c r="A41" s="5">
        <f>HYPERLINK("https://app-web.statementrec.com/app#appuploadfiles/39e2188c-bf38-a425-e45b-7096d4107365","Celia Hartmann")</f>
      </c>
      <c r="B41" s="3" t="s">
        <v>19</v>
      </c>
      <c r="C41" s="4">
        <v>34</v>
      </c>
    </row>
    <row r="42">
      <c r="A42" s="5">
        <f>HYPERLINK("https://app-web.statementrec.com/app#appuploadfiles/39e222f9-bef2-43be-2835-d2af31a2b2fc","PB810R BHDO Ltd")</f>
      </c>
      <c r="B42" s="3" t="s">
        <v>26</v>
      </c>
      <c r="C42" s="4">
        <v>15</v>
      </c>
    </row>
    <row r="43">
      <c r="A43" s="5">
        <f>HYPERLINK("https://app-web.statementrec.com/app#appuploadfiles/39e24258-3c27-c042-fcdb-77d024c471b3","Ligoniel HPS")</f>
      </c>
      <c r="B43" s="3" t="s">
        <v>21</v>
      </c>
      <c r="C43" s="4">
        <v>23</v>
      </c>
    </row>
    <row r="44">
      <c r="A44" s="5">
        <f>HYPERLINK("https://app-web.statementrec.com/app#appuploadfiles/39e2adf7-7a95-cfff-5140-ae110f828cbf","Orchard")</f>
      </c>
      <c r="B44" s="3" t="s">
        <v>32</v>
      </c>
      <c r="C44" s="4">
        <v>19</v>
      </c>
    </row>
    <row r="45">
      <c r="A45" s="5">
        <f>HYPERLINK("https://app-web.statementrec.com/app#appuploadfiles/39e2c7d3-7c12-841f-535d-df267c0c9667","C036-Cheadle Acupuncture Limited")</f>
      </c>
      <c r="B45" s="3" t="s">
        <v>12</v>
      </c>
      <c r="C45" s="4">
        <v>15</v>
      </c>
    </row>
    <row r="46">
      <c r="A46" s="5">
        <f>HYPERLINK("https://app-web.statementrec.com/app#appuploadfiles/39e2dbf3-965c-8435-70f3-d1082a65b5c4","Somerset Larder")</f>
      </c>
      <c r="B46" s="3" t="s">
        <v>30</v>
      </c>
      <c r="C46" s="4">
        <v>28</v>
      </c>
    </row>
    <row r="47">
      <c r="A47" s="5">
        <f>HYPERLINK("https://app-web.statementrec.com/app#appuploadfiles/39e2eb76-58e4-fc92-19a2-680d235fef3a","David Barnes")</f>
      </c>
      <c r="B47" s="3" t="s">
        <v>33</v>
      </c>
      <c r="C47" s="4">
        <v>57</v>
      </c>
    </row>
    <row r="48">
      <c r="A48" s="5">
        <f>HYPERLINK("https://app-web.statementrec.com/app#appuploadfiles/39e2f1b9-d06b-1d3a-3176-386c1ed979c0","Helios Cloud Consulting Ltd")</f>
      </c>
      <c r="B48" s="3" t="s">
        <v>13</v>
      </c>
      <c r="C48" s="4">
        <v>8</v>
      </c>
    </row>
    <row r="49">
      <c r="A49" s="5">
        <f>HYPERLINK("https://app-web.statementrec.com/app#appuploadfiles/39e2fc10-73cd-23ee-cddd-71b502701876","Elgin Restaurant Ltd")</f>
      </c>
      <c r="B49" s="3" t="s">
        <v>26</v>
      </c>
      <c r="C49" s="4">
        <v>84</v>
      </c>
    </row>
    <row r="50">
      <c r="A50" s="5">
        <f>HYPERLINK("https://app-web.statementrec.com/app#appuploadfiles/39e30efd-48cb-cfd1-f623-c8bc47bdfd57","J W S Wishart &amp; Son")</f>
      </c>
      <c r="B50" s="3" t="s">
        <v>29</v>
      </c>
      <c r="C50" s="4">
        <v>4</v>
      </c>
    </row>
    <row r="51">
      <c r="A51" s="5">
        <f>HYPERLINK("https://app-web.statementrec.com/app#appuploadfiles/39e30f85-f455-6043-53ae-bb107fd70b2d","Graham Robertson")</f>
      </c>
      <c r="B51" s="3" t="s">
        <v>29</v>
      </c>
      <c r="C51" s="4">
        <v>6</v>
      </c>
    </row>
    <row r="52">
      <c r="A52" s="5">
        <f>HYPERLINK("https://app-web.statementrec.com/app#appuploadfiles/39e3140f-dcdd-f358-ab71-4314a8f3662b","FSP Solutions")</f>
      </c>
      <c r="B52" s="3" t="s">
        <v>34</v>
      </c>
      <c r="C52" s="4">
        <v>23</v>
      </c>
    </row>
    <row r="53">
      <c r="A53" s="5">
        <f>HYPERLINK("https://app-web.statementrec.com/app#appuploadfiles/39e328fb-304e-e2d5-1526-427e44d1501e","Tilemaze.com Ltd")</f>
      </c>
      <c r="B53" s="3" t="s">
        <v>35</v>
      </c>
      <c r="C53" s="4">
        <v>6</v>
      </c>
    </row>
    <row r="54">
      <c r="A54" s="5">
        <f>HYPERLINK("https://app-web.statementrec.com/app#appuploadfiles/39e33dc4-7edc-b6b7-d135-b1bb264bd3ce","In The Dark Productions Limited")</f>
      </c>
      <c r="B54" s="3" t="s">
        <v>16</v>
      </c>
      <c r="C54" s="4">
        <v>5</v>
      </c>
    </row>
    <row r="55">
      <c r="A55" s="5">
        <f>HYPERLINK("https://app-web.statementrec.com/app#appuploadfiles/39e38b33-036b-6326-e041-9880688fd13f","K Sheldrake Building Services Ltd")</f>
      </c>
      <c r="B55" s="3" t="s">
        <v>12</v>
      </c>
      <c r="C55" s="4">
        <v>19</v>
      </c>
    </row>
    <row r="56">
      <c r="A56" s="5">
        <f>HYPERLINK("https://app-web.statementrec.com/app#appuploadfiles/39e42592-eca2-ad17-1f43-65f2ba46e226","1377 Austin David Ltd")</f>
      </c>
      <c r="B56" s="3" t="s">
        <v>36</v>
      </c>
      <c r="C56" s="4">
        <v>6</v>
      </c>
    </row>
    <row r="57">
      <c r="A57" s="5">
        <f>HYPERLINK("https://app-web.statementrec.com/app#appuploadfiles/39e42f8b-88fd-7676-f9bc-60e782e23e50","Rathcoole Motor Factors Ltd")</f>
      </c>
      <c r="B57" s="3" t="s">
        <v>3</v>
      </c>
      <c r="C57" s="4">
        <v>3</v>
      </c>
    </row>
    <row r="58">
      <c r="A58" s="5">
        <f>HYPERLINK("https://app-web.statementrec.com/app#appuploadfiles/39e43b57-5d30-c7ab-0d3d-81d7207596e1","Clane Motor Factors")</f>
      </c>
      <c r="B58" s="3" t="s">
        <v>3</v>
      </c>
      <c r="C58" s="4">
        <v>2</v>
      </c>
    </row>
    <row r="59">
      <c r="A59" s="5">
        <f>HYPERLINK("https://app-web.statementrec.com/app#appuploadfiles/39e44066-64ae-2981-93af-e53d8e376181","Hunts Farming Ltd")</f>
      </c>
      <c r="B59" s="3" t="s">
        <v>22</v>
      </c>
      <c r="C59" s="4">
        <v>2</v>
      </c>
    </row>
    <row r="60">
      <c r="A60" s="5">
        <f>HYPERLINK("https://app-web.statementrec.com/app#appuploadfiles/39e45c3d-1c21-3d53-fffd-54a08a39f216","Guinea Bookkeeping Services")</f>
      </c>
      <c r="B60" s="3" t="s">
        <v>17</v>
      </c>
      <c r="C60" s="4">
        <v>8</v>
      </c>
    </row>
    <row r="61">
      <c r="A61" s="5">
        <f>HYPERLINK("https://app-web.statementrec.com/app#appuploadfiles/39e45f3b-3ae1-8390-045c-71d3b4bd84e5","Datta Incorporated Ltd")</f>
      </c>
      <c r="B61" s="3" t="s">
        <v>13</v>
      </c>
      <c r="C61" s="4">
        <v>124</v>
      </c>
    </row>
    <row r="62">
      <c r="A62" s="5">
        <f>HYPERLINK("https://app-web.statementrec.com/app#appuploadfiles/39e464d8-1dd0-d8c1-9feb-3f627e93a4ca","IDS Irish Door Systems Ltd")</f>
      </c>
      <c r="B62" s="3" t="s">
        <v>11</v>
      </c>
      <c r="C62" s="4">
        <v>7</v>
      </c>
    </row>
    <row r="63">
      <c r="A63" s="5">
        <f>HYPERLINK("https://app-web.statementrec.com/app#appuploadfiles/39e46b56-25bb-f5be-b5a4-e92c96e1ea5e","2317 - OTTOLUBE LTD")</f>
      </c>
      <c r="B63" s="3" t="s">
        <v>37</v>
      </c>
      <c r="C63" s="4">
        <v>9</v>
      </c>
    </row>
    <row r="64">
      <c r="A64" s="5">
        <f>HYPERLINK("https://app-web.statementrec.com/app#appuploadfiles/39e482fa-a55b-b435-8ddc-b5edb662feb0","J E Simmons &amp; Partners")</f>
      </c>
      <c r="B64" s="3" t="s">
        <v>18</v>
      </c>
      <c r="C64" s="4">
        <v>19</v>
      </c>
    </row>
    <row r="65">
      <c r="A65" s="5">
        <f>HYPERLINK("https://app-web.statementrec.com/app#appuploadfiles/39e4a0dc-75e0-71e0-60c8-3362934d45b8","Cargo King (UK) Ltd")</f>
      </c>
      <c r="B65" s="3" t="s">
        <v>13</v>
      </c>
      <c r="C65" s="4">
        <v>5</v>
      </c>
    </row>
    <row r="66">
      <c r="A66" s="5">
        <f>HYPERLINK("https://app-web.statementrec.com/app#appuploadfiles/39e4c17e-14d5-138b-22b2-b3442d71be56","745 London Management Centre Plc")</f>
      </c>
      <c r="B66" s="3" t="s">
        <v>13</v>
      </c>
      <c r="C66" s="4">
        <v>72</v>
      </c>
    </row>
    <row r="67">
      <c r="A67" s="5">
        <f>HYPERLINK("https://app-web.statementrec.com/app#appuploadfiles/39e4e951-b1e2-4003-90d4-57ba27055ecd","Mercer &amp; Hole")</f>
      </c>
      <c r="B67" s="3" t="s">
        <v>24</v>
      </c>
      <c r="C67" s="4">
        <v>35</v>
      </c>
    </row>
    <row r="68">
      <c r="A68" s="5">
        <f>HYPERLINK("https://app-web.statementrec.com/app#appuploadfiles/39e4f33f-8dc7-eef3-e7a7-d1fd10d0744e","Anderson Fishing Services Ltd")</f>
      </c>
      <c r="B68" s="3" t="s">
        <v>33</v>
      </c>
      <c r="C68" s="4">
        <v>7</v>
      </c>
    </row>
    <row r="69">
      <c r="A69" s="5">
        <f>HYPERLINK("https://app-web.statementrec.com/app#appuploadfiles/39e4f43d-16e6-e245-3df4-fa5c543a4e6b","Egrass Ltd")</f>
      </c>
      <c r="B69" s="3" t="s">
        <v>12</v>
      </c>
      <c r="C69" s="4">
        <v>5</v>
      </c>
    </row>
    <row r="70">
      <c r="A70" s="5">
        <f>HYPERLINK("https://app-web.statementrec.com/app#appuploadfiles/39e53839-5246-62bb-c117-a8d1f890c578","Hellova Tool Company Ltd")</f>
      </c>
      <c r="B70" s="3" t="s">
        <v>17</v>
      </c>
      <c r="C70" s="4">
        <v>5</v>
      </c>
    </row>
    <row r="71">
      <c r="A71" s="5">
        <f>HYPERLINK("https://app-web.statementrec.com/app#appuploadfiles/39e53b6d-a9be-a202-4ef3-08f6c34a3ff1","Botoption")</f>
      </c>
      <c r="B71" s="3" t="s">
        <v>38</v>
      </c>
      <c r="C71" s="4">
        <v>11</v>
      </c>
    </row>
    <row r="72">
      <c r="A72" s="5">
        <f>HYPERLINK("https://app-web.statementrec.com/app#appuploadfiles/39e55170-7c25-8c90-84f4-332dcb4ca860","Handspring")</f>
      </c>
      <c r="B72" s="3" t="s">
        <v>17</v>
      </c>
      <c r="C72" s="4">
        <v>103</v>
      </c>
    </row>
    <row r="73">
      <c r="A73" s="5">
        <f>HYPERLINK("https://app-web.statementrec.com/app#appuploadfiles/39e57a5a-7cce-60cf-2b18-89b34da127fd","AAX Accountants Ltd t/as TaxAssist Accountants")</f>
      </c>
      <c r="B73" s="3" t="s">
        <v>39</v>
      </c>
      <c r="C73" s="4">
        <v>22</v>
      </c>
    </row>
    <row r="74">
      <c r="A74" s="5">
        <f>HYPERLINK("https://app-web.statementrec.com/app#appuploadfiles/39e584b6-d548-ce91-7aa1-43ce2b2bc93f","David Rice Associates Limited")</f>
      </c>
      <c r="B74" s="3" t="s">
        <v>12</v>
      </c>
      <c r="C74" s="4">
        <v>1</v>
      </c>
    </row>
    <row r="75">
      <c r="A75" s="5">
        <f>HYPERLINK("https://app-web.statementrec.com/app#appuploadfiles/39e5e029-ae74-54fa-8dd4-e81279100d3d","MBFB Ltd")</f>
      </c>
      <c r="B75" s="3" t="s">
        <v>15</v>
      </c>
      <c r="C75" s="4">
        <v>1</v>
      </c>
    </row>
    <row r="76">
      <c r="A76" s="5">
        <f>HYPERLINK("https://app-web.statementrec.com/app#appuploadfiles/39e5e05d-d40a-eed9-6722-15e6edd99fc8","Four North End Limited")</f>
      </c>
      <c r="B76" s="3" t="s">
        <v>12</v>
      </c>
      <c r="C76" s="4">
        <v>2</v>
      </c>
    </row>
    <row r="77">
      <c r="A77" s="5">
        <f>HYPERLINK("https://app-web.statementrec.com/app#appuploadfiles/39e5f5a2-ce49-e37f-ca00-b416cce1ad8d","Beech Hill Garage")</f>
      </c>
      <c r="B77" s="3" t="s">
        <v>15</v>
      </c>
      <c r="C77" s="4">
        <v>20</v>
      </c>
    </row>
    <row r="78">
      <c r="A78" s="5">
        <f>HYPERLINK("https://app-web.statementrec.com/app#appuploadfiles/39e60e23-b44f-265d-86e4-11c5e7f9b5c8","Truewood")</f>
      </c>
      <c r="B78" s="3" t="s">
        <v>18</v>
      </c>
      <c r="C78" s="4">
        <v>6</v>
      </c>
    </row>
    <row r="79">
      <c r="A79" s="5">
        <f>HYPERLINK("https://app-web.statementrec.com/app#appuploadfiles/39e61461-d43f-454b-7e44-bc3088bfda81","EDV Capital Ltd")</f>
      </c>
      <c r="B79" s="3" t="s">
        <v>40</v>
      </c>
      <c r="C79" s="4">
        <v>3</v>
      </c>
    </row>
    <row r="80">
      <c r="A80" s="5">
        <f>HYPERLINK("https://app-web.statementrec.com/app#appuploadfiles/39e63ce7-2035-ea90-5c23-dbf84f1080a5","DEMO255")</f>
      </c>
      <c r="B80" s="3" t="s">
        <v>41</v>
      </c>
      <c r="C80" s="4">
        <v>31</v>
      </c>
    </row>
    <row r="81">
      <c r="A81" s="5">
        <f>HYPERLINK("https://app-web.statementrec.com/app#appuploadfiles/39e67b37-91e4-5014-6ec3-98272a1d0923","Elements Of Life")</f>
      </c>
      <c r="B81" s="3" t="s">
        <v>18</v>
      </c>
      <c r="C81" s="4">
        <v>20</v>
      </c>
    </row>
    <row r="82">
      <c r="A82" s="5">
        <f>HYPERLINK("https://app-web.statementrec.com/app#appuploadfiles/39e6a4e7-d49f-aa1a-1dae-13ce4ef781bb","Basil Conroy &amp; Co Limited")</f>
      </c>
      <c r="B82" s="3" t="s">
        <v>42</v>
      </c>
      <c r="C82" s="4">
        <v>10</v>
      </c>
    </row>
    <row r="83">
      <c r="A83" s="5">
        <f>HYPERLINK("https://app-web.statementrec.com/app#appuploadfiles/39e6ebba-877e-a1f1-9338-70355a500b41","Fiveways Healthcare Ltd")</f>
      </c>
      <c r="B83" s="3" t="s">
        <v>21</v>
      </c>
      <c r="C83" s="4">
        <v>11</v>
      </c>
    </row>
    <row r="84">
      <c r="A84" s="5">
        <f>HYPERLINK("https://app-web.statementrec.com/app#appuploadfiles/39e7292a-8445-fe28-1848-8f846512a7c0","John Cole")</f>
      </c>
      <c r="B84" s="3" t="s">
        <v>3</v>
      </c>
      <c r="C84" s="4">
        <v>16</v>
      </c>
    </row>
    <row r="85">
      <c r="A85" s="5">
        <f>HYPERLINK("https://app-web.statementrec.com/app#appuploadfiles/39e72f8b-4027-b1fc-b811-9abb525cd96f","Molesey Services Ltd")</f>
      </c>
      <c r="B85" s="3" t="s">
        <v>15</v>
      </c>
      <c r="C85" s="4">
        <v>3</v>
      </c>
    </row>
    <row r="86">
      <c r="A86" s="5">
        <f>HYPERLINK("https://app-web.statementrec.com/app#appuploadfiles/39e77268-6d8f-eef9-0bc9-41cdda8478e7","ACE-ECO-VALUE")</f>
      </c>
      <c r="B86" s="3" t="s">
        <v>12</v>
      </c>
      <c r="C86" s="4">
        <v>9</v>
      </c>
    </row>
    <row r="87">
      <c r="A87" s="5">
        <f>HYPERLINK("https://app-web.statementrec.com/app#appuploadfiles/39e7b44b-086c-41b7-0ddd-c8560700154c","Business Account Services")</f>
      </c>
      <c r="B87" s="3" t="s">
        <v>43</v>
      </c>
      <c r="C87" s="4">
        <v>77</v>
      </c>
    </row>
    <row r="88">
      <c r="A88" s="5">
        <f>HYPERLINK("https://app-web.statementrec.com/app#appuploadfiles/39e7b589-0950-7d70-d8b7-229987701c69","DY8 Project Management")</f>
      </c>
      <c r="B88" s="3" t="s">
        <v>19</v>
      </c>
      <c r="C88" s="4">
        <v>2</v>
      </c>
    </row>
    <row r="89">
      <c r="A89" s="5">
        <f>HYPERLINK("https://app-web.statementrec.com/app#appuploadfiles/39e7c552-b186-9698-499f-1d2a678c66b5","F E Gillbard &amp; Partners")</f>
      </c>
      <c r="B89" s="3" t="s">
        <v>12</v>
      </c>
      <c r="C89" s="4">
        <v>5</v>
      </c>
    </row>
    <row r="90">
      <c r="A90" s="5">
        <f>HYPERLINK("https://app-web.statementrec.com/app#appuploadfiles/39e7c9ff-47ec-88b0-01a9-c8046740c26f","NEIZANNE (PTY) LTD")</f>
      </c>
      <c r="B90" s="3" t="s">
        <v>44</v>
      </c>
      <c r="C90" s="4">
        <v>1</v>
      </c>
    </row>
    <row r="91">
      <c r="A91" s="5">
        <f>HYPERLINK("https://app-web.statementrec.com/app#appuploadfiles/39e7ddd0-0d66-8b1f-0e4a-1de9b381ee0d","ELGIN ROAD PROPERTY HOLDINGS LTD")</f>
      </c>
      <c r="B91" s="3" t="s">
        <v>45</v>
      </c>
      <c r="C91" s="4">
        <v>20</v>
      </c>
    </row>
    <row r="92">
      <c r="A92" s="5">
        <f>HYPERLINK("https://app-web.statementrec.com/app#appuploadfiles/39e801ed-1e53-1d38-b520-2c74399404e0","Alpha (Teddington) Ltd")</f>
      </c>
      <c r="B92" s="3" t="s">
        <v>15</v>
      </c>
      <c r="C92" s="4">
        <v>3</v>
      </c>
    </row>
    <row r="93">
      <c r="A93" s="5">
        <f>HYPERLINK("https://app-web.statementrec.com/app#appuploadfiles/39e8028b-a2af-c28f-417d-a0d5929c8de8","LGCA Accountants")</f>
      </c>
      <c r="B93" s="3" t="s">
        <v>12</v>
      </c>
      <c r="C93" s="4">
        <v>22</v>
      </c>
    </row>
    <row r="94">
      <c r="A94" s="5">
        <f>HYPERLINK("https://app-web.statementrec.com/app#appuploadfiles/39e825f7-0d6f-5443-e053-5397b1f52bc0","M J Pengelly Limited")</f>
      </c>
      <c r="B94" s="3" t="s">
        <v>17</v>
      </c>
      <c r="C94" s="4">
        <v>8</v>
      </c>
    </row>
    <row r="95">
      <c r="A95" s="5">
        <f>HYPERLINK("https://app-web.statementrec.com/app#appuploadfiles/39e82625-feb0-5761-f7e2-62f27c4c11fb","SJ Mills")</f>
      </c>
      <c r="B95" s="3" t="s">
        <v>46</v>
      </c>
      <c r="C95" s="4">
        <v>12</v>
      </c>
    </row>
    <row r="96">
      <c r="A96" s="5">
        <f>HYPERLINK("https://app-web.statementrec.com/app#appuploadfiles/39e84a26-604e-81dc-fdda-67f12182eb06","Dhyan convenience store")</f>
      </c>
      <c r="B96" s="3" t="s">
        <v>3</v>
      </c>
      <c r="C96" s="4">
        <v>4</v>
      </c>
    </row>
    <row r="97">
      <c r="A97" s="5">
        <f>HYPERLINK("https://app-web.statementrec.com/app#appuploadfiles/39e85447-e9db-e91c-f0c9-3aa84a617168","0924 - GT Services (NI) Ltd")</f>
      </c>
      <c r="B97" s="3" t="s">
        <v>12</v>
      </c>
      <c r="C97" s="4">
        <v>5</v>
      </c>
    </row>
    <row r="98">
      <c r="A98" s="5">
        <f>HYPERLINK("https://app-web.statementrec.com/app#appuploadfiles/39e86e34-e59f-37a3-e08b-b5c33cdd2f87","Deansgate car park")</f>
      </c>
      <c r="B98" s="3" t="s">
        <v>47</v>
      </c>
      <c r="C98" s="4">
        <v>1</v>
      </c>
    </row>
    <row r="99">
      <c r="A99" s="5">
        <f>HYPERLINK("https://app-web.statementrec.com/app#appuploadfiles/39e87071-11d4-1f31-1a7b-b0f41d04cfe9","Conquest Properties Ltd")</f>
      </c>
      <c r="B99" s="3" t="s">
        <v>15</v>
      </c>
      <c r="C99" s="4">
        <v>4</v>
      </c>
    </row>
    <row r="100">
      <c r="A100" s="5">
        <f>HYPERLINK("https://app-web.statementrec.com/app#appuploadfiles/39e89ce7-9f85-f505-73eb-46483e8978ef","On or Pause Limited")</f>
      </c>
      <c r="B100" s="3" t="s">
        <v>22</v>
      </c>
      <c r="C100" s="4">
        <v>4</v>
      </c>
    </row>
    <row r="101">
      <c r="A101" s="5">
        <f>HYPERLINK("https://app-web.statementrec.com/app#appuploadfiles/39e8a254-c43d-bc63-c967-70a398c865db","Bellarome Limited")</f>
      </c>
      <c r="B101" s="3" t="s">
        <v>15</v>
      </c>
      <c r="C101" s="4">
        <v>1</v>
      </c>
    </row>
    <row r="102">
      <c r="A102" s="5">
        <f>HYPERLINK("https://app-web.statementrec.com/app#appuploadfiles/39e8b2ec-6bb7-e1a0-e72c-7079d7d8caf3","Amick Productions Ltd")</f>
      </c>
      <c r="B102" s="3" t="s">
        <v>16</v>
      </c>
      <c r="C102" s="4">
        <v>11</v>
      </c>
    </row>
    <row r="103">
      <c r="A103" s="5">
        <f>HYPERLINK("https://app-web.statementrec.com/app#appuploadfiles/39e8d58f-b85c-e873-560d-281e52b9cd94","Adv B Hitchings")</f>
      </c>
      <c r="B103" s="3" t="s">
        <v>48</v>
      </c>
      <c r="C103" s="4">
        <v>18</v>
      </c>
    </row>
    <row r="104">
      <c r="A104" s="5">
        <f>HYPERLINK("https://app-web.statementrec.com/app#appuploadfiles/39e8dff5-c6ef-350e-43f4-fd21d56884f6","Fareham Creek Ltd")</f>
      </c>
      <c r="B104" s="3" t="s">
        <v>40</v>
      </c>
      <c r="C104" s="4">
        <v>2</v>
      </c>
    </row>
    <row r="105">
      <c r="A105" s="5">
        <f>HYPERLINK("https://app-web.statementrec.com/app#appuploadfiles/39e9035c-8ad9-fbe0-9db4-ee5cbc2d6605","Elfin Limited")</f>
      </c>
      <c r="B105" s="3" t="s">
        <v>17</v>
      </c>
      <c r="C105" s="4">
        <v>38</v>
      </c>
    </row>
    <row r="106">
      <c r="A106" s="5">
        <f>HYPERLINK("https://app-web.statementrec.com/app#appuploadfiles/39e9089e-eb62-eed2-4d3d-2b5a4a103671","North Surrey Veterinary Emergencies Ltd")</f>
      </c>
      <c r="B106" s="3" t="s">
        <v>49</v>
      </c>
      <c r="C106" s="4">
        <v>6</v>
      </c>
    </row>
    <row r="107">
      <c r="A107" s="5">
        <f>HYPERLINK("https://app-web.statementrec.com/app#appuploadfiles/39e92c6c-1c27-fe5c-9e3b-664e6c85cfae","Days Lettings Ltd")</f>
      </c>
      <c r="B107" s="3" t="s">
        <v>17</v>
      </c>
      <c r="C107" s="4">
        <v>3</v>
      </c>
    </row>
    <row r="108">
      <c r="A108" s="5">
        <f>HYPERLINK("https://app-web.statementrec.com/app#appuploadfiles/39e93e3f-8296-c1ac-ef05-fa4fb8dabc9c","Bathu Swag (Pty) Ltd")</f>
      </c>
      <c r="B108" s="3" t="s">
        <v>50</v>
      </c>
      <c r="C108" s="4">
        <v>69</v>
      </c>
    </row>
    <row r="109">
      <c r="A109" s="5">
        <f>HYPERLINK("https://app-web.statementrec.com/app#appuploadfiles/39e940f2-d977-7a15-9e4e-ef8496ef9261","Gautax Head Office")</f>
      </c>
      <c r="B109" s="3" t="s">
        <v>51</v>
      </c>
      <c r="C109" s="4">
        <v>64</v>
      </c>
    </row>
    <row r="110">
      <c r="A110" s="5">
        <f>HYPERLINK("https://app-web.statementrec.com/app#appuploadfiles/39e98efd-be82-c05c-2b89-5e6cc93c8420","Wild Card Brewery")</f>
      </c>
      <c r="B110" s="3" t="s">
        <v>40</v>
      </c>
      <c r="C110" s="4">
        <v>3</v>
      </c>
    </row>
    <row r="111">
      <c r="A111" s="5">
        <f>HYPERLINK("https://app-web.statementrec.com/app#appuploadfiles/39e98f8a-da41-464a-b546-76145d795511","52439L Blasc Limited")</f>
      </c>
      <c r="B111" s="3" t="s">
        <v>38</v>
      </c>
      <c r="C111" s="4">
        <v>5</v>
      </c>
    </row>
    <row r="112">
      <c r="A112" s="5">
        <f>HYPERLINK("https://app-web.statementrec.com/app#appuploadfiles/39e99429-0035-6526-d700-0abcbd672a99","Park Street Surgery")</f>
      </c>
      <c r="B112" s="3" t="s">
        <v>52</v>
      </c>
      <c r="C112" s="4">
        <v>18</v>
      </c>
    </row>
    <row r="113">
      <c r="A113" s="5">
        <f>HYPERLINK("https://app-web.statementrec.com/app#appuploadfiles/39e9bdb9-5304-f2c4-27af-28f18397b270","Claygate Data Management")</f>
      </c>
      <c r="B113" s="3" t="s">
        <v>17</v>
      </c>
      <c r="C113" s="4">
        <v>3</v>
      </c>
    </row>
    <row r="114">
      <c r="A114" s="5">
        <f>HYPERLINK("https://app-web.statementrec.com/app#appuploadfiles/39e9e319-d555-d11a-7de3-64fbe71472a0","Philip Connors")</f>
      </c>
      <c r="B114" s="3" t="s">
        <v>3</v>
      </c>
      <c r="C114" s="4">
        <v>14</v>
      </c>
    </row>
    <row r="115">
      <c r="A115" s="5">
        <f>HYPERLINK("https://app-web.statementrec.com/app#appuploadfiles/39ea2f3c-b0bc-7fe9-269f-ba09dc678010","David Bailey")</f>
      </c>
      <c r="B115" s="3" t="s">
        <v>36</v>
      </c>
      <c r="C115" s="4">
        <v>1</v>
      </c>
    </row>
    <row r="116">
      <c r="A116" s="5">
        <f>HYPERLINK("https://app-web.statementrec.com/app#appuploadfiles/39ea3e39-dcf7-c5a9-d271-167eb1389a52","Rose Productions Ltd")</f>
      </c>
      <c r="B116" s="3" t="s">
        <v>53</v>
      </c>
      <c r="C116" s="4">
        <v>8</v>
      </c>
    </row>
    <row r="117">
      <c r="A117" s="5">
        <f>HYPERLINK("https://app-web.statementrec.com/app#appuploadfiles/39ea4321-8a9e-f9ac-6e6f-0223a7bdc834","Adams Auto Ltd")</f>
      </c>
      <c r="B117" s="3" t="s">
        <v>17</v>
      </c>
      <c r="C117" s="4">
        <v>17</v>
      </c>
    </row>
    <row r="118">
      <c r="A118" s="5">
        <f>HYPERLINK("https://app-web.statementrec.com/app#appuploadfiles/39ea4db8-9b77-4feb-3ac7-fd85ef22455d","GoPro Contractors LTD")</f>
      </c>
      <c r="B118" s="3" t="s">
        <v>54</v>
      </c>
      <c r="C118" s="4">
        <v>23</v>
      </c>
    </row>
    <row r="119">
      <c r="A119" s="5">
        <f>HYPERLINK("https://app-web.statementrec.com/app#appuploadfiles/39ea4ea6-a3fd-72cf-317a-6db68a9d3b8c","1232 Sawz Property Services Limited")</f>
      </c>
      <c r="B119" s="3" t="s">
        <v>55</v>
      </c>
      <c r="C119" s="4">
        <v>56</v>
      </c>
    </row>
    <row r="120">
      <c r="A120" s="5">
        <f>HYPERLINK("https://app-web.statementrec.com/app#appuploadfiles/39ea5501-3ced-668f-55bf-043354191035","artic tech ltd")</f>
      </c>
      <c r="B120" s="3" t="s">
        <v>56</v>
      </c>
      <c r="C120" s="4">
        <v>55</v>
      </c>
    </row>
    <row r="121">
      <c r="A121" s="5">
        <f>HYPERLINK("https://app-web.statementrec.com/app#appuploadfiles/39ea66c4-fa27-c130-c035-16bad418eb3f","Gameslayer Ltd")</f>
      </c>
      <c r="B121" s="3" t="s">
        <v>30</v>
      </c>
      <c r="C121" s="4">
        <v>1</v>
      </c>
    </row>
    <row r="122">
      <c r="A122" s="5">
        <f>HYPERLINK("https://app-web.statementrec.com/app#appuploadfiles/39ea6cf9-8656-7b54-3f73-dbd06aaae684","H541 HSA Construction Ltd")</f>
      </c>
      <c r="B122" s="3" t="s">
        <v>12</v>
      </c>
      <c r="C122" s="4">
        <v>4</v>
      </c>
    </row>
    <row r="123">
      <c r="A123" s="5">
        <f>HYPERLINK("https://app-web.statementrec.com/app#appuploadfiles/39ea6d1d-1d9f-3e16-deed-d12f7d6b58cc","2722 - Thomas Catering")</f>
      </c>
      <c r="B123" s="3" t="s">
        <v>57</v>
      </c>
      <c r="C123" s="4">
        <v>24</v>
      </c>
    </row>
    <row r="124">
      <c r="A124" s="5">
        <f>HYPERLINK("https://app-web.statementrec.com/app#appuploadfiles/39ea7cec-fbc2-2c68-be4a-f45a23382ccb","K and S Cabling Ltd")</f>
      </c>
      <c r="B124" s="3" t="s">
        <v>18</v>
      </c>
      <c r="C124" s="4">
        <v>6</v>
      </c>
    </row>
    <row r="125">
      <c r="A125" s="5">
        <f>HYPERLINK("https://app-web.statementrec.com/app#appuploadfiles/39ea9110-0156-212f-9038-b80acb981798","St Marys car park")</f>
      </c>
      <c r="B125" s="3" t="s">
        <v>40</v>
      </c>
      <c r="C125" s="4">
        <v>1</v>
      </c>
    </row>
    <row r="126">
      <c r="A126" s="5">
        <f>HYPERLINK("https://app-web.statementrec.com/app#appuploadfiles/39eadda4-cca3-9edd-101a-786e40ae3f06","RM Risk Management")</f>
      </c>
      <c r="B126" s="3" t="s">
        <v>13</v>
      </c>
      <c r="C126" s="4">
        <v>33</v>
      </c>
    </row>
    <row r="127">
      <c r="A127" s="5">
        <f>HYPERLINK("https://app-web.statementrec.com/app#appuploadfiles/39eb25ba-8945-6019-728d-e79b282382e1","Mr &amp; Mrs AJ Wreford")</f>
      </c>
      <c r="B127" s="3" t="s">
        <v>15</v>
      </c>
      <c r="C127" s="4">
        <v>13</v>
      </c>
    </row>
    <row r="128">
      <c r="A128" s="5">
        <f>HYPERLINK("https://app-web.statementrec.com/app#appuploadfiles/39eb3ff6-0f64-2533-ee13-6127b236b8dd","Maysair Ductwork Ltd")</f>
      </c>
      <c r="B128" s="3" t="s">
        <v>15</v>
      </c>
      <c r="C128" s="4">
        <v>4</v>
      </c>
    </row>
    <row r="129">
      <c r="A129" s="5">
        <f>HYPERLINK("https://app-web.statementrec.com/app#appuploadfiles/39eb4439-afd8-d0b6-05f7-0f57099952f2","Gareth Bodkin")</f>
      </c>
      <c r="B129" s="3" t="s">
        <v>56</v>
      </c>
      <c r="C129" s="4">
        <v>1</v>
      </c>
    </row>
    <row r="130">
      <c r="A130" s="5">
        <f>HYPERLINK("https://app-web.statementrec.com/app#appuploadfiles/39eb4a01-9d47-b18f-377a-eed3b40a1576","Sheena's Bank statements")</f>
      </c>
      <c r="B130" s="3" t="s">
        <v>33</v>
      </c>
      <c r="C130" s="4">
        <v>1</v>
      </c>
    </row>
    <row r="131">
      <c r="A131" s="5">
        <f>HYPERLINK("https://app-web.statementrec.com/app#appuploadfiles/39eb6434-444e-49f2-4138-458f979a680d","Mr &amp; Mrs DWJ Gunn")</f>
      </c>
      <c r="B131" s="3" t="s">
        <v>12</v>
      </c>
      <c r="C131" s="4">
        <v>12</v>
      </c>
    </row>
    <row r="132">
      <c r="A132" s="5">
        <f>HYPERLINK("https://app-web.statementrec.com/app#appuploadfiles/39eb67cf-5f32-573b-de99-52f41e472606","64191184 BOI Current Account Metec")</f>
      </c>
      <c r="B132" s="3" t="s">
        <v>58</v>
      </c>
      <c r="C132" s="4">
        <v>1</v>
      </c>
    </row>
    <row r="133">
      <c r="A133" s="5">
        <f>HYPERLINK("https://app-web.statementrec.com/app#appuploadfiles/39eb8dac-ee09-b39d-6fe7-78f501bea5c2","EWBizservice.com")</f>
      </c>
      <c r="B133" s="3" t="s">
        <v>59</v>
      </c>
      <c r="C133" s="4">
        <v>44</v>
      </c>
    </row>
    <row r="134">
      <c r="A134" s="5">
        <f>HYPERLINK("https://app-web.statementrec.com/app#appuploadfiles/39eb920c-03e6-c696-0acc-bf2c1b3fca0a","Purejoy Beauty Ltd")</f>
      </c>
      <c r="B134" s="3" t="s">
        <v>3</v>
      </c>
      <c r="C134" s="4">
        <v>2</v>
      </c>
    </row>
    <row r="135">
      <c r="A135" s="5">
        <f>HYPERLINK("https://app-web.statementrec.com/app#appuploadfiles/39ebae57-9968-7139-b897-d17c79327d22","H &amp; H Bookkeeping Services")</f>
      </c>
      <c r="B135" s="3" t="s">
        <v>60</v>
      </c>
      <c r="C135" s="4">
        <v>2</v>
      </c>
    </row>
    <row r="136">
      <c r="A136" s="5">
        <f>HYPERLINK("https://app-web.statementrec.com/app#appuploadfiles/39ebc6cb-5408-3709-a985-2d9c31d3cea0","1835605 Ontario Inc.")</f>
      </c>
      <c r="B136" s="3" t="s">
        <v>61</v>
      </c>
      <c r="C136" s="4">
        <v>10</v>
      </c>
    </row>
    <row r="137">
      <c r="A137" s="5">
        <f>HYPERLINK("https://app-web.statementrec.com/app#appuploadfiles/39ec0369-1208-dbb5-d0f8-651d273775ec","2891 Mr W Burlingham T/A The Book Store")</f>
      </c>
      <c r="B137" s="3" t="s">
        <v>62</v>
      </c>
      <c r="C137" s="4">
        <v>48</v>
      </c>
    </row>
    <row r="138">
      <c r="A138" s="5">
        <f>HYPERLINK("https://app-web.statementrec.com/app#appuploadfiles/39ec1374-650f-04f8-fff1-d6222299869d","Carol Hood - The Railway")</f>
      </c>
      <c r="B138" s="3" t="s">
        <v>15</v>
      </c>
      <c r="C138" s="4">
        <v>25</v>
      </c>
    </row>
    <row r="139">
      <c r="A139" s="5">
        <f>HYPERLINK("https://app-web.statementrec.com/app#appuploadfiles/39ec1796-4beb-fd00-12c3-6eb446238ed9","Payne &amp; Gammage")</f>
      </c>
      <c r="B139" s="3" t="s">
        <v>15</v>
      </c>
      <c r="C139" s="4">
        <v>7</v>
      </c>
    </row>
    <row r="140">
      <c r="A140" s="5">
        <f>HYPERLINK("https://app-web.statementrec.com/app#appuploadfiles/39ec4c51-26fc-152f-0ec3-cbcdf12c3479","1275 D-Tec Alarms Limited")</f>
      </c>
      <c r="B140" s="3" t="s">
        <v>18</v>
      </c>
      <c r="C140" s="4">
        <v>22</v>
      </c>
    </row>
    <row r="141">
      <c r="A141" s="5">
        <f>HYPERLINK("https://app-web.statementrec.com/app#appuploadfiles/39ec6074-5413-6ddf-ed1b-5a71279fce7c","Bank Statements 01.11.17 - 31.10.18 AIB 093")</f>
      </c>
      <c r="B141" s="3" t="s">
        <v>10</v>
      </c>
      <c r="C141" s="4">
        <v>10</v>
      </c>
    </row>
    <row r="142">
      <c r="A142" s="5">
        <f>HYPERLINK("https://app-web.statementrec.com/app#appuploadfiles/39ec7eb7-b69c-b339-0112-379d25007173","Bryden Johnson Limited")</f>
      </c>
      <c r="B142" s="3" t="s">
        <v>63</v>
      </c>
      <c r="C142" s="4">
        <v>4</v>
      </c>
    </row>
    <row r="143">
      <c r="A143" s="5">
        <f>HYPERLINK("https://app-web.statementrec.com/app#appuploadfiles/39ec8367-7f1c-d3ea-a7dc-e3ee2efddfb3","Walsh Properties Investments Limited")</f>
      </c>
      <c r="B143" s="3" t="s">
        <v>64</v>
      </c>
      <c r="C143" s="4">
        <v>8</v>
      </c>
    </row>
    <row r="144">
      <c r="A144" s="5">
        <f>HYPERLINK("https://app-web.statementrec.com/app#appuploadfiles/39ec93f4-e926-311a-5871-9c41c5a24180","Lucy Brooks")</f>
      </c>
      <c r="B144" s="3" t="s">
        <v>65</v>
      </c>
      <c r="C144" s="4">
        <v>29</v>
      </c>
    </row>
    <row r="145">
      <c r="A145" s="5">
        <f>HYPERLINK("https://app-web.statementrec.com/app#appuploadfiles/39eca237-8ba1-c397-a586-0acbc2356541","L Jamshab")</f>
      </c>
      <c r="B145" s="3" t="s">
        <v>17</v>
      </c>
      <c r="C145" s="4">
        <v>8</v>
      </c>
    </row>
    <row r="146">
      <c r="A146" s="5">
        <f>HYPERLINK("https://app-web.statementrec.com/app#appuploadfiles/39ecb541-6578-a0bb-ed5a-61caaa988db6","Omasters Accountants P/L")</f>
      </c>
      <c r="B146" s="3" t="s">
        <v>66</v>
      </c>
      <c r="C146" s="4">
        <v>24</v>
      </c>
    </row>
    <row r="147">
      <c r="A147" s="5">
        <f>HYPERLINK("https://app-web.statementrec.com/app#appuploadfiles/39ecc825-41d2-b48a-afc3-4f03969c8162","Marine &amp; Industrial Equipment")</f>
      </c>
      <c r="B147" s="3" t="s">
        <v>60</v>
      </c>
      <c r="C147" s="4">
        <v>12</v>
      </c>
    </row>
    <row r="148">
      <c r="A148" s="5">
        <f>HYPERLINK("https://app-web.statementrec.com/app#appuploadfiles/39ecd162-bba8-7aa2-ca21-02c7bee999e5","KORCZ Renata")</f>
      </c>
      <c r="B148" s="3" t="s">
        <v>15</v>
      </c>
      <c r="C148" s="4">
        <v>6</v>
      </c>
    </row>
    <row r="149">
      <c r="A149" s="5">
        <f>HYPERLINK("https://app-web.statementrec.com/app#appuploadfiles/39ecd361-cab5-7290-dd9b-3da0974d85b7","Predatorian Security Agency LLC")</f>
      </c>
      <c r="B149" s="3" t="s">
        <v>67</v>
      </c>
      <c r="C149" s="4">
        <v>8</v>
      </c>
    </row>
    <row r="150">
      <c r="A150" s="5">
        <f>HYPERLINK("https://app-web.statementrec.com/app#appuploadfiles/39ed0f78-f6b5-df2c-ee29-b3e18d84cbf7","DBF")</f>
      </c>
      <c r="B150" s="3" t="s">
        <v>68</v>
      </c>
      <c r="C150" s="4">
        <v>34</v>
      </c>
    </row>
    <row r="151">
      <c r="A151" s="5">
        <f>HYPERLINK("https://app-web.statementrec.com/app#appuploadfiles/39ed195b-460b-9e9c-328c-dc281fa5f12b","Nationwide CCTV Services Ltd.")</f>
      </c>
      <c r="B151" s="3" t="s">
        <v>12</v>
      </c>
      <c r="C151" s="4">
        <v>13</v>
      </c>
    </row>
    <row r="152">
      <c r="A152" s="5">
        <f>HYPERLINK("https://app-web.statementrec.com/app#appuploadfiles/39ed22cd-b3b7-7e0d-6594-b9dc0a880eb5","Argy Bargy International Limited")</f>
      </c>
      <c r="B152" s="3" t="s">
        <v>69</v>
      </c>
      <c r="C152" s="4">
        <v>11</v>
      </c>
    </row>
    <row r="153">
      <c r="A153" s="5">
        <f>HYPERLINK("https://app-web.statementrec.com/app#appuploadfiles/39ed329e-9395-24af-3252-d63ea4b23ff2","David Fairclough")</f>
      </c>
      <c r="B153" s="3" t="s">
        <v>19</v>
      </c>
      <c r="C153" s="4">
        <v>2</v>
      </c>
    </row>
    <row r="154">
      <c r="A154" s="5">
        <f>HYPERLINK("https://app-web.statementrec.com/app#appuploadfiles/39ed3cb8-8b8d-0bf5-01f8-a77e501aeb13","Kilmurry Parish")</f>
      </c>
      <c r="B154" s="3" t="s">
        <v>15</v>
      </c>
      <c r="C154" s="4">
        <v>3</v>
      </c>
    </row>
    <row r="155">
      <c r="A155" s="5">
        <f>HYPERLINK("https://app-web.statementrec.com/app#appuploadfiles/39ed3ce0-1244-8146-be8f-ccd0fc06350c","SNCC Limited")</f>
      </c>
      <c r="B155" s="3" t="s">
        <v>18</v>
      </c>
      <c r="C155" s="4">
        <v>11</v>
      </c>
    </row>
    <row r="156">
      <c r="A156" s="5">
        <f>HYPERLINK("https://app-web.statementrec.com/app#appuploadfiles/39ed41f1-cd7c-b180-70dc-4f6e2fb9889a","Media Safety Ltd")</f>
      </c>
      <c r="B156" s="3" t="s">
        <v>3</v>
      </c>
      <c r="C156" s="4">
        <v>2</v>
      </c>
    </row>
    <row r="157">
      <c r="A157" s="5">
        <f>HYPERLINK("https://app-web.statementrec.com/app#appuploadfiles/39ed6c28-6a22-bf9e-6e84-658648288f3b","Stephane Cornicard")</f>
      </c>
      <c r="B157" s="3" t="s">
        <v>11</v>
      </c>
      <c r="C157" s="4">
        <v>3</v>
      </c>
    </row>
    <row r="158">
      <c r="A158" s="5">
        <f>HYPERLINK("https://app-web.statementrec.com/app#appuploadfiles/39eda926-d5e0-e115-80ee-1d12618cdba9","Wisharts Coaches Limited")</f>
      </c>
      <c r="B158" s="3" t="s">
        <v>70</v>
      </c>
      <c r="C158" s="4">
        <v>17</v>
      </c>
    </row>
    <row r="159">
      <c r="A159" s="5">
        <f>HYPERLINK("https://app-web.statementrec.com/app#appuploadfiles/39edc7b9-8ecc-3c1f-993f-243f9f8dc0f3","Facility for Scanning to Excel")</f>
      </c>
      <c r="B159" s="3" t="s">
        <v>71</v>
      </c>
      <c r="C159" s="4">
        <v>25</v>
      </c>
    </row>
    <row r="160">
      <c r="A160" s="5">
        <f>HYPERLINK("https://app-web.statementrec.com/app#appuploadfiles/39edd068-ef90-a50a-a5b6-0b8eda8cd8a7","Twenty Two Real Estate Partners Limited")</f>
      </c>
      <c r="B160" s="3" t="s">
        <v>72</v>
      </c>
      <c r="C160" s="4">
        <v>21</v>
      </c>
    </row>
    <row r="161">
      <c r="A161" s="5">
        <f>HYPERLINK("https://app-web.statementrec.com/app#appuploadfiles/39edd207-1e68-0120-7c6c-b07180c0b913","EDDIE’S FIREPLACE LIMITED")</f>
      </c>
      <c r="B161" s="3" t="s">
        <v>13</v>
      </c>
      <c r="C161" s="4">
        <v>18</v>
      </c>
    </row>
    <row r="162">
      <c r="A162" s="5">
        <f>HYPERLINK("https://app-web.statementrec.com/app#appuploadfiles/39edf1cd-1ba5-8c2d-57ae-d6f78108f67e","A &amp; A Stemp T/A Stemp Antiques")</f>
      </c>
      <c r="B162" s="3" t="s">
        <v>73</v>
      </c>
      <c r="C162" s="4">
        <v>12</v>
      </c>
    </row>
    <row r="163">
      <c r="A163" s="5">
        <f>HYPERLINK("https://app-web.statementrec.com/app#appuploadfiles/39edf68f-4aff-a02f-37ff-3c54f0c0137c","John Turner Commercials")</f>
      </c>
      <c r="B163" s="3" t="s">
        <v>74</v>
      </c>
      <c r="C163" s="4">
        <v>10</v>
      </c>
    </row>
    <row r="164">
      <c r="A164" s="5">
        <f>HYPERLINK("https://app-web.statementrec.com/app#appuploadfiles/39edf78c-6b20-73d5-ed9d-0b7dcf34cc7b","Net-Teach Limited")</f>
      </c>
      <c r="B164" s="3" t="s">
        <v>47</v>
      </c>
      <c r="C164" s="4">
        <v>30</v>
      </c>
    </row>
    <row r="165">
      <c r="A165" s="5">
        <f>HYPERLINK("https://app-web.statementrec.com/app#appuploadfiles/39edfcd6-2f30-ebff-ac5b-9135856d90e6","PJ Fortune")</f>
      </c>
      <c r="B165" s="3" t="s">
        <v>75</v>
      </c>
      <c r="C165" s="4">
        <v>13</v>
      </c>
    </row>
    <row r="166">
      <c r="A166" s="5">
        <f>HYPERLINK("https://app-web.statementrec.com/app#appuploadfiles/39ee0fde-5579-202d-256c-98a6c543f247","Ready To Show Ltd")</f>
      </c>
      <c r="B166" s="3" t="s">
        <v>17</v>
      </c>
      <c r="C166" s="4">
        <v>2</v>
      </c>
    </row>
    <row r="167">
      <c r="A167" s="5">
        <f>HYPERLINK("https://app-web.statementrec.com/app#appuploadfiles/39ee16b5-928e-0bf9-c260-c7485026bdc9","Brooklands Motor Company Group Ltd")</f>
      </c>
      <c r="B167" s="3" t="s">
        <v>17</v>
      </c>
      <c r="C167" s="4">
        <v>9</v>
      </c>
    </row>
    <row r="168">
      <c r="A168" s="5">
        <f>HYPERLINK("https://app-web.statementrec.com/app#appuploadfiles/39ee1a47-561e-e35f-6673-3933f3d391e1","RDP Demo")</f>
      </c>
      <c r="B168" s="3" t="s">
        <v>76</v>
      </c>
      <c r="C168" s="4">
        <v>60</v>
      </c>
    </row>
    <row r="169">
      <c r="A169" s="5">
        <f>HYPERLINK("https://app-web.statementrec.com/app#appuploadfiles/39ee1fd8-5178-9e31-0c64-d2573ea31c9c","Williamson &amp; Gray")</f>
      </c>
      <c r="B169" s="3" t="s">
        <v>18</v>
      </c>
      <c r="C169" s="4">
        <v>8</v>
      </c>
    </row>
    <row r="170">
      <c r="A170" s="5">
        <f>HYPERLINK("https://app-web.statementrec.com/app#appuploadfiles/39ee3448-cc80-ebc2-7be7-62b26d5e6226","ML (Heysham) Ltd")</f>
      </c>
      <c r="B170" s="3" t="s">
        <v>77</v>
      </c>
      <c r="C170" s="4">
        <v>5</v>
      </c>
    </row>
    <row r="171">
      <c r="A171" s="5">
        <f>HYPERLINK("https://app-web.statementrec.com/app#appuploadfiles/39ee9ac8-b665-c913-fc75-ce7bbf5a5572","Talisman Homes West Ltd")</f>
      </c>
      <c r="B171" s="3" t="s">
        <v>15</v>
      </c>
      <c r="C171" s="4">
        <v>2</v>
      </c>
    </row>
    <row r="172">
      <c r="A172" s="5">
        <f>HYPERLINK("https://app-web.statementrec.com/app#appuploadfiles/39ee9b40-21b1-b474-3666-7a10798d3b89","Foremans Bridge")</f>
      </c>
      <c r="B172" s="3" t="s">
        <v>19</v>
      </c>
      <c r="C172" s="4">
        <v>4</v>
      </c>
    </row>
    <row r="173">
      <c r="A173" s="5">
        <f>HYPERLINK("https://app-web.statementrec.com/app#appuploadfiles/39ee9be0-fc6a-cf52-43cd-0e4449f40a7f","SML Enterprise Ltd")</f>
      </c>
      <c r="B173" s="3" t="s">
        <v>17</v>
      </c>
      <c r="C173" s="4">
        <v>2</v>
      </c>
    </row>
    <row r="174">
      <c r="A174" s="5">
        <f>HYPERLINK("https://app-web.statementrec.com/app#appuploadfiles/39eec072-67dc-86a8-627f-91ef92c59c59","Smithies Hair Limited")</f>
      </c>
      <c r="B174" s="3" t="s">
        <v>12</v>
      </c>
      <c r="C174" s="4">
        <v>36</v>
      </c>
    </row>
    <row r="175">
      <c r="A175" s="5">
        <f>HYPERLINK("https://app-web.statementrec.com/app#appuploadfiles/39eecfa0-a3e9-d5e4-42a0-ba28de9751bc","Misc Banks")</f>
      </c>
      <c r="B175" s="3" t="s">
        <v>3</v>
      </c>
      <c r="C175" s="4">
        <v>9</v>
      </c>
    </row>
    <row r="176">
      <c r="A176" s="5">
        <f>HYPERLINK("https://app-web.statementrec.com/app#appuploadfiles/39eee6b1-c7d9-b48e-7c1f-267e33562112","Walter Enterprise Pte Ltd")</f>
      </c>
      <c r="B176" s="3" t="s">
        <v>78</v>
      </c>
      <c r="C176" s="4">
        <v>7</v>
      </c>
    </row>
    <row r="177">
      <c r="A177" s="5">
        <f>HYPERLINK("https://app-web.statementrec.com/app#appuploadfiles/39eee8f6-93f5-a1a2-d123-bbd2c9b8c300","18600 Oil Direct Limited")</f>
      </c>
      <c r="B177" s="3" t="s">
        <v>36</v>
      </c>
      <c r="C177" s="4">
        <v>246</v>
      </c>
    </row>
    <row r="178">
      <c r="A178" s="5">
        <f>HYPERLINK("https://app-web.statementrec.com/app#appuploadfiles/39eef81b-aadb-5032-0790-65a0f001cd7f","Ripertoli")</f>
      </c>
      <c r="B178" s="3" t="s">
        <v>79</v>
      </c>
      <c r="C178" s="4">
        <v>12</v>
      </c>
    </row>
    <row r="179">
      <c r="A179" s="5">
        <f>HYPERLINK("https://app-web.statementrec.com/app#appuploadfiles/39eef8e4-ae00-c3ac-1c8b-feaae4622228","ACCELERATE SALES (PTY)LTD")</f>
      </c>
      <c r="B179" s="3" t="s">
        <v>80</v>
      </c>
      <c r="C179" s="4">
        <v>7</v>
      </c>
    </row>
    <row r="180">
      <c r="A180" s="5">
        <f>HYPERLINK("https://app-web.statementrec.com/app#appuploadfiles/39ef0116-5b35-1f9e-6c60-7e4868febf48","Brendan test")</f>
      </c>
      <c r="B180" s="3" t="s">
        <v>22</v>
      </c>
      <c r="C180" s="4">
        <v>6</v>
      </c>
    </row>
    <row r="181">
      <c r="A181" s="5">
        <f>HYPERLINK("https://app-web.statementrec.com/app#appuploadfiles/39ef0768-1c40-4a1b-045c-d4026477f63b","Peruke Limited")</f>
      </c>
      <c r="B181" s="3" t="s">
        <v>81</v>
      </c>
      <c r="C181" s="4">
        <v>4</v>
      </c>
    </row>
    <row r="182">
      <c r="A182" s="5">
        <f>HYPERLINK("https://app-web.statementrec.com/app#appuploadfiles/39ef1b6a-ff51-9b1b-54b1-db90f5f2ce1d","Mayflower Recruitment Limited")</f>
      </c>
      <c r="B182" s="3" t="s">
        <v>17</v>
      </c>
      <c r="C182" s="4">
        <v>6</v>
      </c>
    </row>
    <row r="183">
      <c r="A183" s="5">
        <f>HYPERLINK("https://app-web.statementrec.com/app#appuploadfiles/39ef3580-5e3a-853b-96d2-bc3a520f47b1","Matthew Williams Construction")</f>
      </c>
      <c r="B183" s="3" t="s">
        <v>17</v>
      </c>
      <c r="C183" s="4">
        <v>44</v>
      </c>
    </row>
    <row r="184">
      <c r="A184" s="5">
        <f>HYPERLINK("https://app-web.statementrec.com/app#appuploadfiles/39ef35d6-aa74-153e-29c1-7e3a6a3b7362","Marie Minihane &amp; Susan Byrne")</f>
      </c>
      <c r="B184" s="3" t="s">
        <v>3</v>
      </c>
      <c r="C184" s="4">
        <v>23</v>
      </c>
    </row>
    <row r="185">
      <c r="A185" s="5">
        <f>HYPERLINK("https://app-web.statementrec.com/app#appuploadfiles/39ef4d5f-0633-554a-e631-26088ba8fb7f","La Petite Auction House")</f>
      </c>
      <c r="B185" s="3" t="s">
        <v>82</v>
      </c>
      <c r="C185" s="4">
        <v>3</v>
      </c>
    </row>
    <row r="186">
      <c r="A186" s="5">
        <f>HYPERLINK("https://app-web.statementrec.com/app#appuploadfiles/39ef4fb2-00a5-eece-10d5-9361d6af6ec8","3712 - JRS Commercials and Cars Limited")</f>
      </c>
      <c r="B186" s="3" t="s">
        <v>83</v>
      </c>
      <c r="C186" s="4">
        <v>29</v>
      </c>
    </row>
    <row r="187">
      <c r="A187" s="5">
        <f>HYPERLINK("https://app-web.statementrec.com/app#appuploadfiles/39ef5425-ba3a-131c-d4f2-98cb7cc53828","Mitchells Grievson Ltd")</f>
      </c>
      <c r="B187" s="3" t="s">
        <v>84</v>
      </c>
      <c r="C187" s="4">
        <v>9</v>
      </c>
    </row>
    <row r="188">
      <c r="A188" s="5">
        <f>HYPERLINK("https://app-web.statementrec.com/app#appuploadfiles/39ef5a20-2084-480d-f9b8-a99c567bc7de","W R Warburton Ltd")</f>
      </c>
      <c r="B188" s="3" t="s">
        <v>29</v>
      </c>
      <c r="C188" s="4">
        <v>18</v>
      </c>
    </row>
    <row r="189">
      <c r="A189" s="5">
        <f>HYPERLINK("https://app-web.statementrec.com/app#appuploadfiles/39ef5a86-1c01-acf2-a286-1894e70cf8eb","Charnley Security Services Limited")</f>
      </c>
      <c r="B189" s="3" t="s">
        <v>15</v>
      </c>
      <c r="C189" s="4">
        <v>1</v>
      </c>
    </row>
    <row r="190">
      <c r="A190" s="5">
        <f>HYPERLINK("https://app-web.statementrec.com/app#appuploadfiles/39ef6412-dc51-24d9-5510-ea580987139f","HERNO UK LIMITED")</f>
      </c>
      <c r="B190" s="3" t="s">
        <v>11</v>
      </c>
      <c r="C190" s="4">
        <v>9</v>
      </c>
    </row>
    <row r="191">
      <c r="A191" s="5">
        <f>HYPERLINK("https://app-web.statementrec.com/app#appuploadfiles/39ef733e-f4e9-40ce-443c-b3a000c1a7fc","Diagnostics.AI Ltd")</f>
      </c>
      <c r="B191" s="3" t="s">
        <v>85</v>
      </c>
      <c r="C191" s="4">
        <v>5</v>
      </c>
    </row>
    <row r="192">
      <c r="A192" s="5">
        <f>HYPERLINK("https://app-web.statementrec.com/app#appuploadfiles/39ef745c-05c7-3538-b475-3d2eec2ecbb6","DNS Electrical Contracts Ltd")</f>
      </c>
      <c r="B192" s="3" t="s">
        <v>36</v>
      </c>
      <c r="C192" s="4">
        <v>14</v>
      </c>
    </row>
    <row r="193">
      <c r="A193" s="5">
        <f>HYPERLINK("https://app-web.statementrec.com/app#appuploadfiles/39ef7850-d079-3209-588d-a5f56ea2a9b3","Papu-Miya Limited")</f>
      </c>
      <c r="B193" s="3" t="s">
        <v>13</v>
      </c>
      <c r="C193" s="4">
        <v>25</v>
      </c>
    </row>
    <row r="194">
      <c r="A194" s="5">
        <f>HYPERLINK("https://app-web.statementrec.com/app#appuploadfiles/39ef786d-1d65-f346-8731-b8ba8306e01f","M J Gale")</f>
      </c>
      <c r="B194" s="3" t="s">
        <v>86</v>
      </c>
      <c r="C194" s="4">
        <v>8</v>
      </c>
    </row>
    <row r="195">
      <c r="A195" s="5">
        <f>HYPERLINK("https://app-web.statementrec.com/app#appuploadfiles/39ef7edc-a8a5-42ee-f736-8d0bb07f139b","IOS COMPANY UK LIMITED")</f>
      </c>
      <c r="B195" s="3" t="s">
        <v>12</v>
      </c>
      <c r="C195" s="4">
        <v>5</v>
      </c>
    </row>
    <row r="196">
      <c r="A196" s="5">
        <f>HYPERLINK("https://app-web.statementrec.com/app#appuploadfiles/39ef83d7-b54d-79e7-be32-f583cba0a9e9","Nigel Croxford Builders")</f>
      </c>
      <c r="B196" s="3" t="s">
        <v>87</v>
      </c>
      <c r="C196" s="4">
        <v>14</v>
      </c>
    </row>
    <row r="197">
      <c r="A197" s="5">
        <f>HYPERLINK("https://app-web.statementrec.com/app#appuploadfiles/39ef9c45-ef03-ed45-a61a-10a390fe6747","A K Boyle")</f>
      </c>
      <c r="B197" s="3" t="s">
        <v>19</v>
      </c>
      <c r="C197" s="4">
        <v>32</v>
      </c>
    </row>
    <row r="198">
      <c r="A198" s="5">
        <f>HYPERLINK("https://app-web.statementrec.com/app#appuploadfiles/39efa277-c69d-2512-6652-51df90a26c29","Grantham Hazeldine Ltd")</f>
      </c>
      <c r="B198" s="3" t="s">
        <v>43</v>
      </c>
      <c r="C198" s="4">
        <v>3</v>
      </c>
    </row>
    <row r="199">
      <c r="A199" s="5">
        <f>HYPERLINK("https://app-web.statementrec.com/app#appuploadfiles/39efb12c-1e5f-242f-671d-f44c6cfe8cea","Mark Weiss Limited")</f>
      </c>
      <c r="B199" s="3" t="s">
        <v>18</v>
      </c>
      <c r="C199" s="4">
        <v>11</v>
      </c>
    </row>
    <row r="200">
      <c r="A200" s="5">
        <f>HYPERLINK("https://app-web.statementrec.com/app#appuploadfiles/39efc1d4-2ac4-40d2-853e-97ed4147aa5a","Danco")</f>
      </c>
      <c r="B200" s="3" t="s">
        <v>3</v>
      </c>
      <c r="C200" s="4">
        <v>19</v>
      </c>
    </row>
    <row r="201">
      <c r="A201" s="5">
        <f>HYPERLINK("https://app-web.statementrec.com/app#appuploadfiles/39efc6cc-3574-ae0d-ac17-ef69da4f62b6","Stockdale Legal Limited")</f>
      </c>
      <c r="B201" s="3" t="s">
        <v>12</v>
      </c>
      <c r="C201" s="4">
        <v>5</v>
      </c>
    </row>
    <row r="202">
      <c r="A202" s="5">
        <f>HYPERLINK("https://app-web.statementrec.com/app#appuploadfiles/39efd704-aa6f-6d96-bc5a-fe448e60e532","2017")</f>
      </c>
      <c r="B202" s="3" t="s">
        <v>88</v>
      </c>
      <c r="C202" s="4">
        <v>15</v>
      </c>
    </row>
    <row r="203">
      <c r="A203" s="5">
        <f>HYPERLINK("https://app-web.statementrec.com/app#appuploadfiles/39efe4ce-cc91-02f0-4418-4424bf3deb30","I H Barclay Disc Settlement")</f>
      </c>
      <c r="B203" s="3" t="s">
        <v>89</v>
      </c>
      <c r="C203" s="4">
        <v>3</v>
      </c>
    </row>
    <row r="204">
      <c r="A204" s="5">
        <f>HYPERLINK("https://app-web.statementrec.com/app#appuploadfiles/39efe917-daff-1d35-bc7c-6466b5aef884","LA Retail Private Ltd")</f>
      </c>
      <c r="B204" s="3" t="s">
        <v>10</v>
      </c>
      <c r="C204" s="4">
        <v>3</v>
      </c>
    </row>
    <row r="205">
      <c r="A205" s="5">
        <f>HYPERLINK("https://app-web.statementrec.com/app#appuploadfiles/39efeabe-bf2c-eb06-2477-33aee54724be","L E Glennon")</f>
      </c>
      <c r="B205" s="3" t="s">
        <v>19</v>
      </c>
      <c r="C205" s="4">
        <v>20</v>
      </c>
    </row>
    <row r="206">
      <c r="A206" s="5">
        <f>HYPERLINK("https://app-web.statementrec.com/app#appuploadfiles/39eff52a-5d06-efec-6f1a-794970f4c081","Cresta Rail Limited")</f>
      </c>
      <c r="B206" s="3" t="s">
        <v>12</v>
      </c>
      <c r="C206" s="4">
        <v>1</v>
      </c>
    </row>
    <row r="207">
      <c r="A207" s="5">
        <f>HYPERLINK("https://app-web.statementrec.com/app#appuploadfiles/39f00904-799c-9807-f0bf-77e894a9397b","Stukeley Road Dental Centre")</f>
      </c>
      <c r="B207" s="3" t="s">
        <v>10</v>
      </c>
      <c r="C207" s="4">
        <v>98</v>
      </c>
    </row>
    <row r="208">
      <c r="A208" s="5">
        <f>HYPERLINK("https://app-web.statementrec.com/app#appuploadfiles/39f009ee-39fa-6a13-028b-ce32279f5155","Thomas McGibney &amp; Company")</f>
      </c>
      <c r="B208" s="3" t="s">
        <v>26</v>
      </c>
      <c r="C208" s="4">
        <v>41</v>
      </c>
    </row>
    <row r="209">
      <c r="A209" s="5">
        <f>HYPERLINK("https://app-web.statementrec.com/app#appuploadfiles/39f00f20-d215-f36c-69d1-32387a0eab1d","Lodge Farm Recycling Ltd")</f>
      </c>
      <c r="B209" s="3" t="s">
        <v>13</v>
      </c>
      <c r="C209" s="4">
        <v>3</v>
      </c>
    </row>
    <row r="210">
      <c r="A210" s="5">
        <f>HYPERLINK("https://app-web.statementrec.com/app#appuploadfiles/39f00f21-5759-21f2-2229-5af3fe915f7d","R Childerhouse")</f>
      </c>
      <c r="B210" s="3" t="s">
        <v>24</v>
      </c>
      <c r="C210" s="4">
        <v>12</v>
      </c>
    </row>
    <row r="211">
      <c r="A211" s="5">
        <f>HYPERLINK("https://app-web.statementrec.com/app#appuploadfiles/39f02977-7f4e-0e77-d356-f1f3fdaa65f4","2018")</f>
      </c>
      <c r="B211" s="3" t="s">
        <v>29</v>
      </c>
      <c r="C211" s="4">
        <v>42</v>
      </c>
    </row>
    <row r="212">
      <c r="A212" s="5">
        <f>HYPERLINK("https://app-web.statementrec.com/app#appuploadfiles/39f037aa-20e1-2197-db5e-e9a7f9560380","Terrace Chippy")</f>
      </c>
      <c r="B212" s="3" t="s">
        <v>18</v>
      </c>
      <c r="C212" s="4">
        <v>11</v>
      </c>
    </row>
    <row r="213">
      <c r="A213" s="5">
        <f>HYPERLINK("https://app-web.statementrec.com/app#appuploadfiles/39f04b12-b2ae-77f6-0d9c-e175e51dab78","ATTRO GROUP")</f>
      </c>
      <c r="B213" s="3" t="s">
        <v>13</v>
      </c>
      <c r="C213" s="4">
        <v>13</v>
      </c>
    </row>
    <row r="214">
      <c r="A214" s="5">
        <f>HYPERLINK("https://app-web.statementrec.com/app#appuploadfiles/39f050df-36eb-c9a1-9417-57fc3d3633aa","Cotswold Cardiology Ltd")</f>
      </c>
      <c r="B214" s="3" t="s">
        <v>17</v>
      </c>
      <c r="C214" s="4">
        <v>17</v>
      </c>
    </row>
    <row r="215">
      <c r="A215" s="5">
        <f>HYPERLINK("https://app-web.statementrec.com/app#appuploadfiles/39f05aa5-419b-2000-dc3e-51ff167c4e20","Payrollpep")</f>
      </c>
      <c r="B215" s="3" t="s">
        <v>90</v>
      </c>
      <c r="C215" s="4">
        <v>7</v>
      </c>
    </row>
    <row r="216">
      <c r="A216" s="5">
        <f>HYPERLINK("https://app-web.statementrec.com/app#appuploadfiles/39f0621d-c2c0-d954-18b6-a7657d40fbae","The Bookkeeper Legalis")</f>
      </c>
      <c r="B216" s="3" t="s">
        <v>91</v>
      </c>
      <c r="C216" s="4">
        <v>84</v>
      </c>
    </row>
    <row r="217">
      <c r="A217" s="5">
        <f>HYPERLINK("https://app-web.statementrec.com/app#appuploadfiles/39f06297-ef50-75ad-00c0-7194911d1b7a","David Schaeffer Engineering Limited")</f>
      </c>
      <c r="B217" s="3" t="s">
        <v>92</v>
      </c>
      <c r="C217" s="4">
        <v>4</v>
      </c>
    </row>
    <row r="218">
      <c r="A218" s="5">
        <f>HYPERLINK("https://app-web.statementrec.com/app#appuploadfiles/39f07610-54d4-460a-1a49-2362040036e3","Kw passive fire protection")</f>
      </c>
      <c r="B218" s="3" t="s">
        <v>10</v>
      </c>
      <c r="C218" s="4">
        <v>3</v>
      </c>
    </row>
    <row r="219">
      <c r="A219" s="5">
        <f>HYPERLINK("https://app-web.statementrec.com/app#appuploadfiles/39f093a8-5128-f5c1-fb0f-89a671213a4a","Energypro Asset Management Limited")</f>
      </c>
      <c r="B219" s="3" t="s">
        <v>93</v>
      </c>
      <c r="C219" s="4">
        <v>7</v>
      </c>
    </row>
    <row r="220">
      <c r="A220" s="5">
        <f>HYPERLINK("https://app-web.statementrec.com/app#appuploadfiles/39f09b26-57da-eb9c-3364-a31439fa7904","Next Level")</f>
      </c>
      <c r="B220" s="3" t="s">
        <v>11</v>
      </c>
      <c r="C220" s="4">
        <v>8</v>
      </c>
    </row>
    <row r="221">
      <c r="A221" s="5">
        <f>HYPERLINK("https://app-web.statementrec.com/app#appuploadfiles/39f09e40-40b0-cfee-7531-d5ad2e856af0","Wyre River Trust")</f>
      </c>
      <c r="B221" s="3" t="s">
        <v>94</v>
      </c>
      <c r="C221" s="4">
        <v>7</v>
      </c>
    </row>
    <row r="222">
      <c r="A222" s="5">
        <f>HYPERLINK("https://app-web.statementrec.com/app#appuploadfiles/39f0a2d3-f171-d2cb-b1c5-e302b16a124c","Vallee Family Trust")</f>
      </c>
      <c r="B222" s="3" t="s">
        <v>95</v>
      </c>
      <c r="C222" s="4">
        <v>19</v>
      </c>
    </row>
    <row r="223">
      <c r="A223" s="5">
        <f>HYPERLINK("https://app-web.statementrec.com/app#appuploadfiles/39f0a7fc-28b4-6812-632a-1abd19145203","Nexus Advisory")</f>
      </c>
      <c r="B223" s="3" t="s">
        <v>40</v>
      </c>
      <c r="C223" s="4">
        <v>18</v>
      </c>
    </row>
    <row r="224">
      <c r="A224" s="5">
        <f>HYPERLINK("https://app-web.statementrec.com/app#appuploadfiles/39f0a96c-b040-9e3e-3c72-555b669e060a","BNB Living Ltd")</f>
      </c>
      <c r="B224" s="3" t="s">
        <v>17</v>
      </c>
      <c r="C224" s="4">
        <v>105</v>
      </c>
    </row>
    <row r="225">
      <c r="A225" s="5">
        <f>HYPERLINK("https://app-web.statementrec.com/app#appuploadfiles/39f0a9d4-f566-a427-7569-44b28480a9b1","Oak View Property Developments Limited")</f>
      </c>
      <c r="B225" s="3" t="s">
        <v>13</v>
      </c>
      <c r="C225" s="4">
        <v>3</v>
      </c>
    </row>
    <row r="226">
      <c r="A226" s="5">
        <f>HYPERLINK("https://app-web.statementrec.com/app#appuploadfiles/39f0c693-ac24-784e-4c4c-ef1c1db7ebd9","Alberto Pavanello Limited")</f>
      </c>
      <c r="B226" s="3" t="s">
        <v>43</v>
      </c>
      <c r="C226" s="4">
        <v>16</v>
      </c>
    </row>
    <row r="227">
      <c r="A227" s="5">
        <f>HYPERLINK("https://app-web.statementrec.com/app#appuploadfiles/39f0eb8b-a765-eaee-7e2e-f0730e5aa2b4","Dennis Riley &amp; CO Limited")</f>
      </c>
      <c r="B227" s="3" t="s">
        <v>12</v>
      </c>
      <c r="C227" s="4">
        <v>3</v>
      </c>
    </row>
    <row r="228">
      <c r="A228" s="5">
        <f>HYPERLINK("https://app-web.statementrec.com/app#appuploadfiles/39f104ca-21c9-b989-e89b-2b644b910503","Pinnacle Training Limited")</f>
      </c>
      <c r="B228" s="3" t="s">
        <v>96</v>
      </c>
      <c r="C228" s="4">
        <v>57</v>
      </c>
    </row>
    <row r="229">
      <c r="A229" s="5">
        <f>HYPERLINK("https://app-web.statementrec.com/app#appuploadfiles/39f10f33-38fd-0ca3-ca3a-695b3bc70a61","CHA56 - Chameleon Eatery Limited")</f>
      </c>
      <c r="B229" s="3" t="s">
        <v>17</v>
      </c>
      <c r="C229" s="4">
        <v>3</v>
      </c>
    </row>
    <row r="230">
      <c r="A230" s="5">
        <f>HYPERLINK("https://app-web.statementrec.com/app#appuploadfiles/39f110a3-dc3f-9b6a-c49f-31c8ba48d9e3","Galerie B.Weil Limited")</f>
      </c>
      <c r="B230" s="3" t="s">
        <v>97</v>
      </c>
      <c r="C230" s="4">
        <v>6</v>
      </c>
    </row>
    <row r="231">
      <c r="A231" s="5">
        <f>HYPERLINK("https://app-web.statementrec.com/app#appuploadfiles/39f12aa4-87bc-ad44-07dd-d50c940a34fd","Bluchip Financial Consultants Limited")</f>
      </c>
      <c r="B231" s="3" t="s">
        <v>3</v>
      </c>
      <c r="C231" s="4">
        <v>15</v>
      </c>
    </row>
    <row r="232">
      <c r="A232" s="5">
        <f>HYPERLINK("https://app-web.statementrec.com/app#appuploadfiles/39f12e19-1db8-2306-b6e8-cfb6d673983c","A G Treecare Limited")</f>
      </c>
      <c r="B232" s="3" t="s">
        <v>17</v>
      </c>
      <c r="C232" s="4">
        <v>22</v>
      </c>
    </row>
    <row r="233">
      <c r="A233" s="5">
        <f>HYPERLINK("https://app-web.statementrec.com/app#appuploadfiles/39f13958-457a-55a2-4030-67a41d9bbc3f","The Cardio Man Ltd (Lomond Group Fitness)")</f>
      </c>
      <c r="B233" s="3" t="s">
        <v>98</v>
      </c>
      <c r="C233" s="4">
        <v>28</v>
      </c>
    </row>
    <row r="234">
      <c r="A234" s="5">
        <f>HYPERLINK("https://app-web.statementrec.com/app#appuploadfiles/39f1456f-55b7-7785-316a-c846be4b7cbd","Synergy Infectious Disease")</f>
      </c>
      <c r="B234" s="3" t="s">
        <v>3</v>
      </c>
      <c r="C234" s="4">
        <v>4</v>
      </c>
    </row>
    <row r="235">
      <c r="A235" s="5">
        <f>HYPERLINK("https://app-web.statementrec.com/app#appuploadfiles/39f157ce-3431-020e-9201-f860d267e18b","Pat &amp; Kay Kennedy")</f>
      </c>
      <c r="B235" s="3" t="s">
        <v>47</v>
      </c>
      <c r="C235" s="4">
        <v>8</v>
      </c>
    </row>
    <row r="236">
      <c r="A236" s="5">
        <f>HYPERLINK("https://app-web.statementrec.com/app#appuploadfiles/39f171f7-9e3f-1dd6-f622-dbdf171cfa20","Revolut Euro")</f>
      </c>
      <c r="B236" s="3" t="s">
        <v>11</v>
      </c>
      <c r="C236" s="4">
        <v>1</v>
      </c>
    </row>
    <row r="237">
      <c r="A237" s="5">
        <f>HYPERLINK("https://app-web.statementrec.com/app#appuploadfiles/39f17689-57fd-38ff-4b96-840073379390","Bold Rock Management &amp; Investments")</f>
      </c>
      <c r="B237" s="3" t="s">
        <v>99</v>
      </c>
      <c r="C237" s="4">
        <v>26</v>
      </c>
    </row>
    <row r="238">
      <c r="A238" s="5">
        <f>HYPERLINK("https://app-web.statementrec.com/app#appuploadfiles/39f1775a-c404-abe4-8885-6de201e153dc","Sherkin Technologies Limited")</f>
      </c>
      <c r="B238" s="3" t="s">
        <v>100</v>
      </c>
      <c r="C238" s="4">
        <v>30</v>
      </c>
    </row>
    <row r="239">
      <c r="A239" s="5">
        <f>HYPERLINK("https://app-web.statementrec.com/app#appuploadfiles/39f17c84-b640-b37a-6a05-1a85ab39f2b0","Storage MK Ltd")</f>
      </c>
      <c r="B239" s="3" t="s">
        <v>12</v>
      </c>
      <c r="C239" s="4">
        <v>2</v>
      </c>
    </row>
    <row r="240">
      <c r="A240" s="5">
        <f>HYPERLINK("https://app-web.statementrec.com/app#appuploadfiles/39f195cb-91a3-ff15-11cd-da097f4482de","Fast Fix (Services) Limited")</f>
      </c>
      <c r="B240" s="3" t="s">
        <v>17</v>
      </c>
      <c r="C240" s="4">
        <v>1</v>
      </c>
    </row>
    <row r="241">
      <c r="A241" s="5">
        <f>HYPERLINK("https://app-web.statementrec.com/app#appuploadfiles/39f197b5-b6e6-0ea2-7e4c-c0a6388fedd0","Street Aviation Services Ltd")</f>
      </c>
      <c r="B241" s="3" t="s">
        <v>73</v>
      </c>
      <c r="C241" s="4">
        <v>13</v>
      </c>
    </row>
    <row r="242">
      <c r="A242" s="5">
        <f>HYPERLINK("https://app-web.statementrec.com/app#appuploadfiles/39f1a5d2-098c-7b02-feb7-180a71b4017c","Area Carpentry")</f>
      </c>
      <c r="B242" s="3" t="s">
        <v>75</v>
      </c>
      <c r="C242" s="4">
        <v>6</v>
      </c>
    </row>
    <row r="243">
      <c r="A243" s="5">
        <f>HYPERLINK("https://app-web.statementrec.com/app#appuploadfiles/39f1b48b-6458-4c97-110f-1c3d0ff807db","Marable J")</f>
      </c>
      <c r="B243" s="3" t="s">
        <v>101</v>
      </c>
      <c r="C243" s="4">
        <v>146</v>
      </c>
    </row>
    <row r="244">
      <c r="A244" s="5">
        <f>HYPERLINK("https://app-web.statementrec.com/app#appuploadfiles/39f1b4b0-4feb-053c-43f0-a6f3919fbf60","Revolut SEK")</f>
      </c>
      <c r="B244" s="3" t="s">
        <v>26</v>
      </c>
      <c r="C244" s="4">
        <v>1</v>
      </c>
    </row>
    <row r="245">
      <c r="A245" s="5">
        <f>HYPERLINK("https://app-web.statementrec.com/app#appuploadfiles/39f1bb13-2284-d21e-32f7-512644ffe2db","1745TR - Mr T B Mitchell")</f>
      </c>
      <c r="B245" s="3" t="s">
        <v>15</v>
      </c>
      <c r="C245" s="4">
        <v>26</v>
      </c>
    </row>
    <row r="246">
      <c r="A246" s="5">
        <f>HYPERLINK("https://app-web.statementrec.com/app#appuploadfiles/39f1beea-8cab-d3aa-fe8e-9aadf33bf68a","23701537")</f>
      </c>
      <c r="B246" s="3" t="s">
        <v>26</v>
      </c>
      <c r="C246" s="4">
        <v>21</v>
      </c>
    </row>
    <row r="247">
      <c r="A247" s="5">
        <f>HYPERLINK("https://app-web.statementrec.com/app#appuploadfiles/39f1c016-6842-4159-29fb-56c3962fae2f","Maya Lewis")</f>
      </c>
      <c r="B247" s="3" t="s">
        <v>17</v>
      </c>
      <c r="C247" s="4">
        <v>6</v>
      </c>
    </row>
    <row r="248">
      <c r="A248" s="5">
        <f>HYPERLINK("https://app-web.statementrec.com/app#appuploadfiles/39f1c4a0-429b-1b51-5f34-f47499d901b4","Credit card")</f>
      </c>
      <c r="B248" s="3" t="s">
        <v>17</v>
      </c>
      <c r="C248" s="4">
        <v>13</v>
      </c>
    </row>
    <row r="249">
      <c r="A249" s="5">
        <f>HYPERLINK("https://app-web.statementrec.com/app#appuploadfiles/39f1c4ad-459b-d5aa-4334-f86fd87a1ac5","Command Engineering Solutions Ltd")</f>
      </c>
      <c r="B249" s="3" t="s">
        <v>15</v>
      </c>
      <c r="C249" s="4">
        <v>1</v>
      </c>
    </row>
    <row r="250">
      <c r="A250" s="5">
        <f>HYPERLINK("https://app-web.statementrec.com/app#appuploadfiles/39f1c4db-517f-dbf2-e8a7-ac137ae8b71a","David Cusick")</f>
      </c>
      <c r="B250" s="3" t="s">
        <v>21</v>
      </c>
      <c r="C250" s="4">
        <v>3</v>
      </c>
    </row>
    <row r="251">
      <c r="A251" s="5">
        <f>HYPERLINK("https://app-web.statementrec.com/app#appuploadfiles/39f1d6c1-3620-e92b-052d-475d750b098b","Statement conversion")</f>
      </c>
      <c r="B251" s="3" t="s">
        <v>12</v>
      </c>
      <c r="C251" s="4">
        <v>9</v>
      </c>
    </row>
    <row r="252">
      <c r="A252" s="5">
        <f>HYPERLINK("https://app-web.statementrec.com/app#appuploadfiles/39f1d871-2f77-28a9-a4c6-01c83cf21695","T&amp;C Maintenance Services (Wales) Ltd")</f>
      </c>
      <c r="B252" s="3" t="s">
        <v>13</v>
      </c>
      <c r="C252" s="4">
        <v>43</v>
      </c>
    </row>
    <row r="253">
      <c r="A253" s="5">
        <f>HYPERLINK("https://app-web.statementrec.com/app#appuploadfiles/39f1dd4e-896d-1572-a1df-2691187bc0cd","A &amp; R Taggart")</f>
      </c>
      <c r="B253" s="3" t="s">
        <v>15</v>
      </c>
      <c r="C253" s="4">
        <v>6</v>
      </c>
    </row>
    <row r="254">
      <c r="A254" s="5">
        <f>HYPERLINK("https://app-web.statementrec.com/app#appuploadfiles/39f1def3-f0b1-f4a7-d5a3-6a9880d8aea8","ABI MINI MARKET ONE-WARWICK ROAD")</f>
      </c>
      <c r="B254" s="3" t="s">
        <v>102</v>
      </c>
      <c r="C254" s="4">
        <v>20</v>
      </c>
    </row>
    <row r="255">
      <c r="A255" s="5">
        <f>HYPERLINK("https://app-web.statementrec.com/app#appuploadfiles/39f1e397-33a5-4061-d3ae-de0372946fce","4443 - Mark Haran")</f>
      </c>
      <c r="B255" s="3" t="s">
        <v>16</v>
      </c>
      <c r="C255" s="4">
        <v>27</v>
      </c>
    </row>
    <row r="256">
      <c r="A256" s="5">
        <f>HYPERLINK("https://app-web.statementrec.com/app#appuploadfiles/39f1e89a-fe4e-322c-513b-eee6e8fac9e8","La Maison Wellness")</f>
      </c>
      <c r="B256" s="3" t="s">
        <v>17</v>
      </c>
      <c r="C256" s="4">
        <v>7</v>
      </c>
    </row>
    <row r="257">
      <c r="A257" s="5">
        <f>HYPERLINK("https://app-web.statementrec.com/app#appuploadfiles/39f2013b-af4e-2ecd-68a1-0ddf400b129b","Oisin Capital Limited")</f>
      </c>
      <c r="B257" s="3" t="s">
        <v>17</v>
      </c>
      <c r="C257" s="4">
        <v>18</v>
      </c>
    </row>
    <row r="258">
      <c r="A258" s="5">
        <f>HYPERLINK("https://app-web.statementrec.com/app#appuploadfiles/39f201bc-2b1d-e8dd-295c-c9a7f3fa2b93","E F Kerin &amp; Sons Ltd")</f>
      </c>
      <c r="B258" s="3" t="s">
        <v>18</v>
      </c>
      <c r="C258" s="4">
        <v>4</v>
      </c>
    </row>
    <row r="259">
      <c r="A259" s="5">
        <f>HYPERLINK("https://app-web.statementrec.com/app#appuploadfiles/39f20c5a-0fea-7aff-c215-3832cb2a89ba","Matt Foley - Test Company")</f>
      </c>
      <c r="B259" s="3" t="s">
        <v>103</v>
      </c>
      <c r="C259" s="4">
        <v>31</v>
      </c>
    </row>
    <row r="260">
      <c r="A260" s="5">
        <f>HYPERLINK("https://app-web.statementrec.com/app#appuploadfiles/39f2266d-f0c3-37bf-a200-8e9c444fbc2e","Gilbourne Ltd")</f>
      </c>
      <c r="B260" s="3" t="s">
        <v>104</v>
      </c>
      <c r="C260" s="4">
        <v>19</v>
      </c>
    </row>
    <row r="261">
      <c r="A261" s="5">
        <f>HYPERLINK("https://app-web.statementrec.com/app#appuploadfiles/39f296dd-ea6b-6b69-b03e-d3dd28b24124","Sarah Blanchard")</f>
      </c>
      <c r="B261" s="3" t="s">
        <v>13</v>
      </c>
      <c r="C261" s="4">
        <v>16</v>
      </c>
    </row>
    <row r="262">
      <c r="A262" s="5">
        <f>HYPERLINK("https://app-web.statementrec.com/app#appuploadfiles/39f2b612-9ce9-95c5-1e02-d3089aedcd64","Bright Accounting and Taxation Services")</f>
      </c>
      <c r="B262" s="3" t="s">
        <v>105</v>
      </c>
      <c r="C262" s="4">
        <v>4</v>
      </c>
    </row>
    <row r="263">
      <c r="A263" s="5">
        <f>HYPERLINK("https://app-web.statementrec.com/app#appuploadfiles/39f2b6d7-b2f1-9e28-c7ff-2521a3303a8a","Pinemace Limited")</f>
      </c>
      <c r="B263" s="3" t="s">
        <v>17</v>
      </c>
      <c r="C263" s="4">
        <v>2</v>
      </c>
    </row>
    <row r="264">
      <c r="A264" s="5">
        <f>HYPERLINK("https://app-web.statementrec.com/app#appuploadfiles/39f2c0a0-8f96-3465-50eb-d0cfcdfeb1b7","RS Kerr &amp; Son")</f>
      </c>
      <c r="B264" s="3" t="s">
        <v>17</v>
      </c>
      <c r="C264" s="4">
        <v>8</v>
      </c>
    </row>
    <row r="265">
      <c r="A265" s="5">
        <f>HYPERLINK("https://app-web.statementrec.com/app#appuploadfiles/39f2d9f7-0692-e270-6d55-734ebb5e3a71","Anna Pan")</f>
      </c>
      <c r="B265" s="3" t="s">
        <v>17</v>
      </c>
      <c r="C265" s="4">
        <v>2</v>
      </c>
    </row>
    <row r="266">
      <c r="A266" s="5">
        <f>HYPERLINK("https://app-web.statementrec.com/app#appuploadfiles/39f2e53b-30c9-1297-8899-6b9213403121","Griffins Roses")</f>
      </c>
      <c r="B266" s="3" t="s">
        <v>18</v>
      </c>
      <c r="C266" s="4">
        <v>6</v>
      </c>
    </row>
    <row r="267">
      <c r="A267" s="5">
        <f>HYPERLINK("https://app-web.statementrec.com/app#appuploadfiles/39f2ff18-e3b9-d58e-0ee6-d007cfc471a2","John Lee")</f>
      </c>
      <c r="B267" s="3" t="s">
        <v>12</v>
      </c>
      <c r="C267" s="4">
        <v>3</v>
      </c>
    </row>
    <row r="268">
      <c r="A268" s="5">
        <f>HYPERLINK("https://app-web.statementrec.com/app#appuploadfiles/39f30339-863a-7604-d403-6847688872b2","Alpenite LTD")</f>
      </c>
      <c r="B268" s="3" t="s">
        <v>11</v>
      </c>
      <c r="C268" s="4">
        <v>8</v>
      </c>
    </row>
    <row r="269">
      <c r="A269" s="5">
        <f>HYPERLINK("https://app-web.statementrec.com/app#appuploadfiles/39f30db9-ded3-a5b9-cbe8-eca976824edf","Ratnam &amp; Co")</f>
      </c>
      <c r="B269" s="3" t="s">
        <v>106</v>
      </c>
      <c r="C269" s="4">
        <v>324</v>
      </c>
    </row>
    <row r="270">
      <c r="A270" s="5">
        <f>HYPERLINK("https://app-web.statementrec.com/app#appuploadfiles/39f336d4-9b22-f27c-e292-d345258074ec","Hey Little Cupcake")</f>
      </c>
      <c r="B270" s="3" t="s">
        <v>107</v>
      </c>
      <c r="C270" s="4">
        <v>9</v>
      </c>
    </row>
    <row r="271">
      <c r="A271" s="5">
        <f>HYPERLINK("https://app-web.statementrec.com/app#appuploadfiles/39f34b61-4a16-4f6b-c5e4-8b727eb511b0","S Sharpe &amp; Son")</f>
      </c>
      <c r="B271" s="3" t="s">
        <v>21</v>
      </c>
      <c r="C271" s="4">
        <v>13</v>
      </c>
    </row>
    <row r="272">
      <c r="A272" s="5">
        <f>HYPERLINK("https://app-web.statementrec.com/app#appuploadfiles/39f36522-c718-a9d0-9165-103bc2a39cba","Mungeam International")</f>
      </c>
      <c r="B272" s="3" t="s">
        <v>81</v>
      </c>
      <c r="C272" s="4">
        <v>6</v>
      </c>
    </row>
    <row r="273">
      <c r="A273" s="5">
        <f>HYPERLINK("https://app-web.statementrec.com/app#appuploadfiles/39f36fe6-23c0-2c0b-2ad8-ec695f6e8ff2","Servers.com")</f>
      </c>
      <c r="B273" s="3" t="s">
        <v>108</v>
      </c>
      <c r="C273" s="4">
        <v>7</v>
      </c>
    </row>
    <row r="274">
      <c r="A274" s="5">
        <f>HYPERLINK("https://app-web.statementrec.com/app#appuploadfiles/39f3758a-ed46-4530-e6ae-3eff42bd5e9c","Messrs Aiken")</f>
      </c>
      <c r="B274" s="3" t="s">
        <v>36</v>
      </c>
      <c r="C274" s="4">
        <v>1</v>
      </c>
    </row>
    <row r="275">
      <c r="A275" s="5">
        <f>HYPERLINK("https://app-web.statementrec.com/app#appuploadfiles/39f38903-741e-a52c-6b74-e3ad1fb4bf9a","SCOD - D,M &amp; T Scott")</f>
      </c>
      <c r="B275" s="3" t="s">
        <v>15</v>
      </c>
      <c r="C275" s="4">
        <v>2</v>
      </c>
    </row>
    <row r="276">
      <c r="A276" s="5">
        <f>HYPERLINK("https://app-web.statementrec.com/app#appuploadfiles/39f39265-da5e-0ccf-7069-1697c882c819","Sorint LabUK Ltd")</f>
      </c>
      <c r="B276" s="3" t="s">
        <v>58</v>
      </c>
      <c r="C276" s="4">
        <v>5</v>
      </c>
    </row>
    <row r="277">
      <c r="A277" s="5">
        <f>HYPERLINK("https://app-web.statementrec.com/app#appuploadfiles/39f3adfe-79c3-72f2-c4a3-ae0e9b7fbcf5","Luxembourg &amp; Dayan Art Limited")</f>
      </c>
      <c r="B277" s="3" t="s">
        <v>109</v>
      </c>
      <c r="C277" s="4">
        <v>4</v>
      </c>
    </row>
    <row r="278">
      <c r="A278" s="5">
        <f>HYPERLINK("https://app-web.statementrec.com/app#appuploadfiles/39f3b6e4-2e0a-dea0-dfb8-e4f75721f2d1","Aeon Investments Limited")</f>
      </c>
      <c r="B278" s="3" t="s">
        <v>30</v>
      </c>
      <c r="C278" s="4">
        <v>3</v>
      </c>
    </row>
    <row r="279">
      <c r="A279" s="5">
        <f>HYPERLINK("https://app-web.statementrec.com/app#appuploadfiles/39f3c1ce-a6d9-7e6f-1151-06d4c7a63aaa","Aamir")</f>
      </c>
      <c r="B279" s="3" t="s">
        <v>18</v>
      </c>
      <c r="C279" s="4">
        <v>14</v>
      </c>
    </row>
    <row r="280">
      <c r="A280" s="5">
        <f>HYPERLINK("https://app-web.statementrec.com/app#appuploadfiles/39f40038-4b6b-5078-9838-5fabe9bb6880","The Centenary Lounge Ltd")</f>
      </c>
      <c r="B280" s="3" t="s">
        <v>17</v>
      </c>
      <c r="C280" s="4">
        <v>57</v>
      </c>
    </row>
    <row r="281">
      <c r="A281" s="5">
        <f>HYPERLINK("https://app-web.statementrec.com/app#appuploadfiles/39f41ef1-d05e-d214-c926-9759814104cb","Sicis UK Ltd")</f>
      </c>
      <c r="B281" s="3" t="s">
        <v>110</v>
      </c>
      <c r="C281" s="4">
        <v>4</v>
      </c>
    </row>
    <row r="282">
      <c r="A282" s="5">
        <f>HYPERLINK("https://app-web.statementrec.com/app#appuploadfiles/39f424e7-28a6-6808-f4ea-7a35c79f06f7","J B Davern &amp; Co Ltd149-151 Sparrows Herne")</f>
      </c>
      <c r="B282" s="3" t="s">
        <v>111</v>
      </c>
      <c r="C282" s="4">
        <v>269</v>
      </c>
    </row>
    <row r="283">
      <c r="A283" s="5">
        <f>HYPERLINK("https://app-web.statementrec.com/app#appuploadfiles/39f42ec8-c78c-c1ac-fc02-f9bf2e6f5535","West Howe Community Enterprises Ltd")</f>
      </c>
      <c r="B283" s="3" t="s">
        <v>112</v>
      </c>
      <c r="C283" s="4">
        <v>1</v>
      </c>
    </row>
    <row r="284">
      <c r="A284" s="5">
        <f>HYPERLINK("https://app-web.statementrec.com/app#appuploadfiles/39f43a93-2e4b-6f5f-3b52-9cc90ed1012a","Bound To Be Different")</f>
      </c>
      <c r="B284" s="3" t="s">
        <v>40</v>
      </c>
      <c r="C284" s="4">
        <v>3</v>
      </c>
    </row>
    <row r="285">
      <c r="A285" s="5">
        <f>HYPERLINK("https://app-web.statementrec.com/app#appuploadfiles/39f447b3-696f-5e6a-5035-a0b656592c66","Abcord Building Services Limited")</f>
      </c>
      <c r="B285" s="3" t="s">
        <v>3</v>
      </c>
      <c r="C285" s="4">
        <v>3</v>
      </c>
    </row>
    <row r="286">
      <c r="A286" s="5">
        <f>HYPERLINK("https://app-web.statementrec.com/app#appuploadfiles/39f44d31-5330-0b28-43da-2cdaaa4a36ef","Powerflow LTD - Inneall Toireacht Teicneolaiochta")</f>
      </c>
      <c r="B286" s="3" t="s">
        <v>10</v>
      </c>
      <c r="C286" s="4">
        <v>8</v>
      </c>
    </row>
    <row r="287">
      <c r="A287" s="5">
        <f>HYPERLINK("https://app-web.statementrec.com/app#appuploadfiles/39f465d4-06a4-d41b-d404-fbb3143e86e5","UA Connect")</f>
      </c>
      <c r="B287" s="3" t="s">
        <v>17</v>
      </c>
      <c r="C287" s="4">
        <v>4</v>
      </c>
    </row>
    <row r="288">
      <c r="A288" s="5">
        <f>HYPERLINK("https://app-web.statementrec.com/app#appuploadfiles/39f4864c-62b8-0c1d-ef0b-7d5cde0e072a","Jacob Weissich")</f>
      </c>
      <c r="B288" s="3" t="s">
        <v>113</v>
      </c>
      <c r="C288" s="4">
        <v>5</v>
      </c>
    </row>
    <row r="289">
      <c r="A289" s="5">
        <f>HYPERLINK("https://app-web.statementrec.com/app#appuploadfiles/39f48f0a-dd9c-a4f8-7f83-2b84e843aea9","Daly Poultry Ltd")</f>
      </c>
      <c r="B289" s="3" t="s">
        <v>114</v>
      </c>
      <c r="C289" s="4">
        <v>37</v>
      </c>
    </row>
    <row r="290">
      <c r="A290" s="5">
        <f>HYPERLINK("https://app-web.statementrec.com/app#appuploadfiles/39f49575-bae5-0240-4860-ec8c1b939a68","2019 Aug")</f>
      </c>
      <c r="B290" s="3" t="s">
        <v>115</v>
      </c>
      <c r="C290" s="4">
        <v>18</v>
      </c>
    </row>
    <row r="291">
      <c r="A291" s="5">
        <f>HYPERLINK("https://app-web.statementrec.com/app#appuploadfiles/39f4add7-1927-7b7d-0e04-583c34f4e6b8","G J Metalworks Ltd")</f>
      </c>
      <c r="B291" s="3" t="s">
        <v>12</v>
      </c>
      <c r="C291" s="4">
        <v>11</v>
      </c>
    </row>
    <row r="292">
      <c r="A292" s="5">
        <f>HYPERLINK("https://app-web.statementrec.com/app#appuploadfiles/39f4be2c-7441-600c-585d-7be8ac8edf5e","L M Price")</f>
      </c>
      <c r="B292" s="3" t="s">
        <v>17</v>
      </c>
      <c r="C292" s="4">
        <v>1</v>
      </c>
    </row>
    <row r="293">
      <c r="A293" s="5">
        <f>HYPERLINK("https://app-web.statementrec.com/app#appuploadfiles/39f4ceb3-4b44-657b-9363-854efaf0497a","A Hope Services")</f>
      </c>
      <c r="B293" s="3" t="s">
        <v>70</v>
      </c>
      <c r="C293" s="4">
        <v>29</v>
      </c>
    </row>
    <row r="294">
      <c r="A294" s="5">
        <f>HYPERLINK("https://app-web.statementrec.com/app#appuploadfiles/39f4d24e-660e-f328-1e41-f5a6ce1fea5a","Credit Card")</f>
      </c>
      <c r="B294" s="3" t="s">
        <v>19</v>
      </c>
      <c r="C294" s="4">
        <v>1</v>
      </c>
    </row>
    <row r="295">
      <c r="A295" s="5">
        <f>HYPERLINK("https://app-web.statementrec.com/app#appuploadfiles/39f4dcbe-6776-50dc-b4eb-40e52b1b6e7f","Bruce Moyses Ltd")</f>
      </c>
      <c r="B295" s="3" t="s">
        <v>13</v>
      </c>
      <c r="C295" s="4">
        <v>12</v>
      </c>
    </row>
    <row r="296">
      <c r="A296" s="5">
        <f>HYPERLINK("https://app-web.statementrec.com/app#appuploadfiles/39f4e1c1-040a-9420-5a5c-dab88c736219","Livy VH Ltd")</f>
      </c>
      <c r="B296" s="3" t="s">
        <v>15</v>
      </c>
      <c r="C296" s="4">
        <v>10</v>
      </c>
    </row>
    <row r="297">
      <c r="A297" s="5">
        <f>HYPERLINK("https://app-web.statementrec.com/app#appuploadfiles/39f4f10b-fd43-e560-5e43-200555929174","Phil and Lorna (Partnership)")</f>
      </c>
      <c r="B297" s="3" t="s">
        <v>12</v>
      </c>
      <c r="C297" s="4">
        <v>1</v>
      </c>
    </row>
    <row r="298">
      <c r="A298" s="5">
        <f>HYPERLINK("https://app-web.statementrec.com/app#appuploadfiles/39f4fd5f-75e6-6000-e059-fb9791e5d88a","Edwards and Son")</f>
      </c>
      <c r="B298" s="3" t="s">
        <v>18</v>
      </c>
      <c r="C298" s="4">
        <v>8</v>
      </c>
    </row>
    <row r="299">
      <c r="A299" s="5">
        <f>HYPERLINK("https://app-web.statementrec.com/app#appuploadfiles/39f50200-c232-d50f-c9be-bd32b054d45e","Dyal Contractors")</f>
      </c>
      <c r="B299" s="3" t="s">
        <v>116</v>
      </c>
      <c r="C299" s="4">
        <v>5</v>
      </c>
    </row>
    <row r="300">
      <c r="A300" s="5">
        <f>HYPERLINK("https://app-web.statementrec.com/app#appuploadfiles/39f5163e-047a-a02d-78bc-ff5473f0423c","Adv B Mostert")</f>
      </c>
      <c r="B300" s="3" t="s">
        <v>13</v>
      </c>
      <c r="C300" s="4">
        <v>8</v>
      </c>
    </row>
    <row r="301">
      <c r="A301" s="5">
        <f>HYPERLINK("https://app-web.statementrec.com/app#appuploadfiles/39f51b1a-c2cd-865b-41f7-a45d36e85c2a","ICL Worldwide Ltd")</f>
      </c>
      <c r="B301" s="3" t="s">
        <v>17</v>
      </c>
      <c r="C301" s="4">
        <v>9</v>
      </c>
    </row>
    <row r="302">
      <c r="A302" s="5">
        <f>HYPERLINK("https://app-web.statementrec.com/app#appuploadfiles/39f51f81-1dcf-34a6-d19b-03a29c5889e1","DBS Builders")</f>
      </c>
      <c r="B302" s="3" t="s">
        <v>18</v>
      </c>
      <c r="C302" s="4">
        <v>10</v>
      </c>
    </row>
    <row r="303">
      <c r="A303" s="5">
        <f>HYPERLINK("https://app-web.statementrec.com/app#appuploadfiles/39f52620-4496-dabf-3cc1-23bc88bc0dbe","043520 - A &amp; T Pigs")</f>
      </c>
      <c r="B303" s="3" t="s">
        <v>15</v>
      </c>
      <c r="C303" s="4">
        <v>13</v>
      </c>
    </row>
    <row r="304">
      <c r="A304" s="5">
        <f>HYPERLINK("https://app-web.statementrec.com/app#appuploadfiles/39f52b2c-962d-b1e0-e351-5acbaae062dd","Cornerstroke Ltd")</f>
      </c>
      <c r="B304" s="3" t="s">
        <v>18</v>
      </c>
      <c r="C304" s="4">
        <v>20</v>
      </c>
    </row>
    <row r="305">
      <c r="A305" s="5">
        <f>HYPERLINK("https://app-web.statementrec.com/app#appuploadfiles/39f52fb4-3c73-43ba-5860-9674aea0dc11","Louie Ashman")</f>
      </c>
      <c r="B305" s="3" t="s">
        <v>40</v>
      </c>
      <c r="C305" s="4">
        <v>12</v>
      </c>
    </row>
    <row r="306">
      <c r="A306" s="5">
        <f>HYPERLINK("https://app-web.statementrec.com/app#appuploadfiles/39f53b89-7dce-47d8-9997-994a94607603","Uppercrust")</f>
      </c>
      <c r="B306" s="3" t="s">
        <v>15</v>
      </c>
      <c r="C306" s="4">
        <v>4</v>
      </c>
    </row>
    <row r="307">
      <c r="A307" s="5">
        <f>HYPERLINK("https://app-web.statementrec.com/app#appuploadfiles/39f5433f-b850-3113-4d89-cef03bec48b4","Feb - Apr 20 VAT")</f>
      </c>
      <c r="B307" s="3" t="s">
        <v>12</v>
      </c>
      <c r="C307" s="4">
        <v>4</v>
      </c>
    </row>
    <row r="308">
      <c r="A308" s="5">
        <f>HYPERLINK("https://app-web.statementrec.com/app#appuploadfiles/39f5488b-ccf2-1997-7219-ea5872b7e8b7","Rex Leasing Limited")</f>
      </c>
      <c r="B308" s="3" t="s">
        <v>117</v>
      </c>
      <c r="C308" s="4">
        <v>2</v>
      </c>
    </row>
    <row r="309">
      <c r="A309" s="5">
        <f>HYPERLINK("https://app-web.statementrec.com/app#appuploadfiles/39f54890-7397-ae10-fa48-f6d48f6b876f","RoughHandMade Ltd")</f>
      </c>
      <c r="B309" s="3" t="s">
        <v>13</v>
      </c>
      <c r="C309" s="4">
        <v>1</v>
      </c>
    </row>
    <row r="310">
      <c r="A310" s="5">
        <f>HYPERLINK("https://app-web.statementrec.com/app#appuploadfiles/39f54922-75e3-af5f-b5e0-954140443e2d","JPN Property Solutions Ltd")</f>
      </c>
      <c r="B310" s="3" t="s">
        <v>17</v>
      </c>
      <c r="C310" s="4">
        <v>5</v>
      </c>
    </row>
    <row r="311">
      <c r="A311" s="5">
        <f>HYPERLINK("https://app-web.statementrec.com/app#appuploadfiles/39f55e1a-a925-bc1d-acf9-ecc1a15281fc","2185 Mr I Faour")</f>
      </c>
      <c r="B311" s="3" t="s">
        <v>15</v>
      </c>
      <c r="C311" s="4">
        <v>87</v>
      </c>
    </row>
    <row r="312">
      <c r="A312" s="5">
        <f>HYPERLINK("https://app-web.statementrec.com/app#appuploadfiles/39f567e9-8329-b443-e7d2-86f5e472c992","AR Food and Wine")</f>
      </c>
      <c r="B312" s="3" t="s">
        <v>13</v>
      </c>
      <c r="C312" s="4">
        <v>32</v>
      </c>
    </row>
    <row r="313">
      <c r="A313" s="5">
        <f>HYPERLINK("https://app-web.statementrec.com/app#appuploadfiles/39f56931-baaa-7d38-0dc2-9e0366565c7b","Pinta")</f>
      </c>
      <c r="B313" s="3" t="s">
        <v>3</v>
      </c>
      <c r="C313" s="4">
        <v>2</v>
      </c>
    </row>
    <row r="314">
      <c r="A314" s="5">
        <f>HYPERLINK("https://app-web.statementrec.com/app#appuploadfiles/39f586a6-64f0-3b24-51e1-4158572465b0","2020 FY")</f>
      </c>
      <c r="B314" s="3" t="s">
        <v>118</v>
      </c>
      <c r="C314" s="4">
        <v>27</v>
      </c>
    </row>
    <row r="315">
      <c r="A315" s="5">
        <f>HYPERLINK("https://app-web.statementrec.com/app#appuploadfiles/39f590f3-7f54-c544-263c-07b45d59c568","IFAC Sligo Statements")</f>
      </c>
      <c r="B315" s="3" t="s">
        <v>119</v>
      </c>
      <c r="C315" s="4">
        <v>14</v>
      </c>
    </row>
    <row r="316">
      <c r="A316" s="5">
        <f>HYPERLINK("https://app-web.statementrec.com/app#appuploadfiles/39f5d83a-7342-d769-7de3-19f973e94720","Victoria Pearson")</f>
      </c>
      <c r="B316" s="3" t="s">
        <v>120</v>
      </c>
      <c r="C316" s="4">
        <v>7</v>
      </c>
    </row>
    <row r="317">
      <c r="A317" s="5">
        <f>HYPERLINK("https://app-web.statementrec.com/app#appuploadfiles/39f610e5-e8d6-21cd-63b2-5688c59cea6a","Dr Mabelane-Pitso")</f>
      </c>
      <c r="B317" s="3" t="s">
        <v>121</v>
      </c>
      <c r="C317" s="4">
        <v>11</v>
      </c>
    </row>
    <row r="318">
      <c r="A318" s="5">
        <f>HYPERLINK("https://app-web.statementrec.com/app#appuploadfiles/39f618dd-5061-3789-9051-89c0a46171f4","Robert W Flynn &amp; Co")</f>
      </c>
      <c r="B318" s="3" t="s">
        <v>122</v>
      </c>
      <c r="C318" s="4">
        <v>27</v>
      </c>
    </row>
    <row r="319">
      <c r="A319" s="5">
        <f>HYPERLINK("https://app-web.statementrec.com/app#appuploadfiles/39f61cf3-b69b-393d-7fd9-18546a4822f7","Ichor Bloom Ltd")</f>
      </c>
      <c r="B319" s="3" t="s">
        <v>18</v>
      </c>
      <c r="C319" s="4">
        <v>11</v>
      </c>
    </row>
    <row r="320">
      <c r="A320" s="5">
        <f>HYPERLINK("https://app-web.statementrec.com/app#appuploadfiles/39f6262f-8507-aae8-5c29-e8e5a5186923","Rainey Specialist Contractors Limited")</f>
      </c>
      <c r="B320" s="3" t="s">
        <v>36</v>
      </c>
      <c r="C320" s="4">
        <v>17</v>
      </c>
    </row>
    <row r="321">
      <c r="A321" s="5">
        <f>HYPERLINK("https://app-web.statementrec.com/app#appuploadfiles/39f65c99-051b-5ca0-a459-32a07c20e61d","8302 - DAVID LAWRENSON")</f>
      </c>
      <c r="B321" s="3" t="s">
        <v>123</v>
      </c>
      <c r="C321" s="4">
        <v>19</v>
      </c>
    </row>
    <row r="322">
      <c r="A322" s="5">
        <f>HYPERLINK("https://app-web.statementrec.com/app#appuploadfiles/39f66493-1481-7b99-4d70-4b931446e9e5","Agiled Projects Limited")</f>
      </c>
      <c r="B322" s="3" t="s">
        <v>29</v>
      </c>
      <c r="C322" s="4">
        <v>21</v>
      </c>
    </row>
    <row r="323">
      <c r="A323" s="5">
        <f>HYPERLINK("https://app-web.statementrec.com/app#appuploadfiles/39f66de5-7f4b-89a9-43c6-b9230c0016c8","Electric Ian")</f>
      </c>
      <c r="B323" s="3" t="s">
        <v>13</v>
      </c>
      <c r="C323" s="4">
        <v>214</v>
      </c>
    </row>
    <row r="324">
      <c r="A324" s="5">
        <f>HYPERLINK("https://app-web.statementrec.com/app#appuploadfiles/39f67915-f7c8-0906-d80e-15576725e89d","Jason Griffiths")</f>
      </c>
      <c r="B324" s="3" t="s">
        <v>12</v>
      </c>
      <c r="C324" s="4">
        <v>6</v>
      </c>
    </row>
    <row r="325">
      <c r="A325" s="5">
        <f>HYPERLINK("https://app-web.statementrec.com/app#appuploadfiles/39f67e96-bea6-794b-c2e8-b9a67933ab74","John Martyn")</f>
      </c>
      <c r="B325" s="3" t="s">
        <v>75</v>
      </c>
      <c r="C325" s="4">
        <v>3</v>
      </c>
    </row>
    <row r="326">
      <c r="A326" s="5">
        <f>HYPERLINK("https://app-web.statementrec.com/app#appuploadfiles/39f67faa-30b5-a8c6-3235-75356905c94f","3 Agaves Merican Restaurant LLC")</f>
      </c>
      <c r="B326" s="3" t="s">
        <v>124</v>
      </c>
      <c r="C326" s="4">
        <v>31</v>
      </c>
    </row>
    <row r="327">
      <c r="A327" s="5">
        <f>HYPERLINK("https://app-web.statementrec.com/app#appuploadfiles/39f6a927-9af1-19a6-1aec-15f7a3577099","Doctor David O'Connor Medicine Professional Corporation")</f>
      </c>
      <c r="B327" s="3" t="s">
        <v>125</v>
      </c>
      <c r="C327" s="4">
        <v>145</v>
      </c>
    </row>
    <row r="328">
      <c r="A328" s="5">
        <f>HYPERLINK("https://app-web.statementrec.com/app#appuploadfiles/39f6b6a0-efca-598c-66af-e0b6258e07de","Allerthorpe Lakeland Park")</f>
      </c>
      <c r="B328" s="3" t="s">
        <v>18</v>
      </c>
      <c r="C328" s="4">
        <v>4</v>
      </c>
    </row>
    <row r="329">
      <c r="A329" s="5">
        <f>HYPERLINK("https://app-web.statementrec.com/app#appuploadfiles/39f6c67b-83cf-9b88-53de-f90987fceab2","Jadelee Holdings (Pty) Ltd")</f>
      </c>
      <c r="B329" s="3" t="s">
        <v>118</v>
      </c>
      <c r="C329" s="4">
        <v>13</v>
      </c>
    </row>
    <row r="330">
      <c r="A330" s="5">
        <f>HYPERLINK("https://app-web.statementrec.com/app#appuploadfiles/39f6efe1-38c6-471e-7e63-41deb99ea286","Jeremiah Griffin")</f>
      </c>
      <c r="B330" s="3" t="s">
        <v>3</v>
      </c>
      <c r="C330" s="4">
        <v>26</v>
      </c>
    </row>
    <row r="331">
      <c r="A331" s="5">
        <f>HYPERLINK("https://app-web.statementrec.com/app#appuploadfiles/39f6fe83-21c0-5b3a-8277-a450edf3ffbb","May - Jul 20")</f>
      </c>
      <c r="B331" s="3" t="s">
        <v>18</v>
      </c>
      <c r="C331" s="4">
        <v>4</v>
      </c>
    </row>
    <row r="332">
      <c r="A332" s="5">
        <f>HYPERLINK("https://app-web.statementrec.com/app#appuploadfiles/39f6ffa0-8a07-e4a7-6968-6b558ac48065","GS In Style Ltd")</f>
      </c>
      <c r="B332" s="3" t="s">
        <v>126</v>
      </c>
      <c r="C332" s="4">
        <v>4</v>
      </c>
    </row>
    <row r="333">
      <c r="A333" s="5">
        <f>HYPERLINK("https://app-web.statementrec.com/app#appuploadfiles/39f709f8-b0e1-ed76-3c61-f0992ea1fb3a","T &amp; D Roofing (Cheshire) Limited")</f>
      </c>
      <c r="B333" s="3" t="s">
        <v>29</v>
      </c>
      <c r="C333" s="4">
        <v>7</v>
      </c>
    </row>
    <row r="334">
      <c r="A334" s="5">
        <f>HYPERLINK("https://app-web.statementrec.com/app#appuploadfiles/39f713c5-efe6-9228-7c7a-e165697e94d9","Origin Technical Services Ltd")</f>
      </c>
      <c r="B334" s="3" t="s">
        <v>84</v>
      </c>
      <c r="C334" s="4">
        <v>97</v>
      </c>
    </row>
    <row r="335">
      <c r="A335" s="5">
        <f>HYPERLINK("https://app-web.statementrec.com/app#appuploadfiles/39f71d92-64e6-4b82-2553-bda91055c54e","SHG Refrigeration Ltd")</f>
      </c>
      <c r="B335" s="3" t="s">
        <v>12</v>
      </c>
      <c r="C335" s="4">
        <v>15</v>
      </c>
    </row>
    <row r="336">
      <c r="A336" s="5">
        <f>HYPERLINK("https://app-web.statementrec.com/app#appuploadfiles/39f71e64-a79b-a1ce-a7ab-3d8483d29de1","J Kemp &amp; Son")</f>
      </c>
      <c r="B336" s="3" t="s">
        <v>15</v>
      </c>
      <c r="C336" s="4">
        <v>2</v>
      </c>
    </row>
    <row r="337">
      <c r="A337" s="5">
        <f>HYPERLINK("https://app-web.statementrec.com/app#appuploadfiles/39f72338-8425-785b-a9a0-5bc19d37687e","Glenn Whittaker Sports Consultancy CC")</f>
      </c>
      <c r="B337" s="3" t="s">
        <v>127</v>
      </c>
      <c r="C337" s="4">
        <v>6</v>
      </c>
    </row>
    <row r="338">
      <c r="A338" s="5">
        <f>HYPERLINK("https://app-web.statementrec.com/app#appuploadfiles/39f74199-2ce4-a931-272a-9f25bc341491","F J Brook Esq")</f>
      </c>
      <c r="B338" s="3" t="s">
        <v>15</v>
      </c>
      <c r="C338" s="4">
        <v>4</v>
      </c>
    </row>
    <row r="339">
      <c r="A339" s="5">
        <f>HYPERLINK("https://app-web.statementrec.com/app#appuploadfiles/39f746e2-c6e9-88db-a4f5-389d62a39f69","DH Accounting")</f>
      </c>
      <c r="B339" s="3" t="s">
        <v>17</v>
      </c>
      <c r="C339" s="4">
        <v>9</v>
      </c>
    </row>
    <row r="340">
      <c r="A340" s="5">
        <f>HYPERLINK("https://app-web.statementrec.com/app#appuploadfiles/39f74c85-1033-f67d-4012-9951fd7685c5","BUVANS LIMITED")</f>
      </c>
      <c r="B340" s="3" t="s">
        <v>19</v>
      </c>
      <c r="C340" s="4">
        <v>46</v>
      </c>
    </row>
    <row r="341">
      <c r="A341" s="5">
        <f>HYPERLINK("https://app-web.statementrec.com/app#appuploadfiles/39f7614d-2b84-a6b2-cd81-65788dc7a9d2","Mr P M Price (KN296)")</f>
      </c>
      <c r="B341" s="3" t="s">
        <v>17</v>
      </c>
      <c r="C341" s="4">
        <v>17</v>
      </c>
    </row>
    <row r="342">
      <c r="A342" s="5">
        <f>HYPERLINK("https://app-web.statementrec.com/app#appuploadfiles/39f7653e-293f-7dfe-a28f-f51c7ea38a24","Hammerfell Joinery Ltd")</f>
      </c>
      <c r="B342" s="3" t="s">
        <v>12</v>
      </c>
      <c r="C342" s="4">
        <v>13</v>
      </c>
    </row>
    <row r="343">
      <c r="A343" s="5">
        <f>HYPERLINK("https://app-web.statementrec.com/app#appuploadfiles/39f765a0-eb90-174e-2cbe-06fd5b885a8a","Scarlet Opus")</f>
      </c>
      <c r="B343" s="3" t="s">
        <v>17</v>
      </c>
      <c r="C343" s="4">
        <v>9</v>
      </c>
    </row>
    <row r="344">
      <c r="A344" s="5">
        <f>HYPERLINK("https://app-web.statementrec.com/app#appuploadfiles/39f7667b-78f5-94b5-ae15-82d2d5f7636c","Santis Collections Ltd")</f>
      </c>
      <c r="B344" s="3" t="s">
        <v>29</v>
      </c>
      <c r="C344" s="4">
        <v>10</v>
      </c>
    </row>
    <row r="345">
      <c r="A345" s="5">
        <f>HYPERLINK("https://app-web.statementrec.com/app#appuploadfiles/39f76adf-ddc3-3847-578e-1284347979c3","Transition15 Limited")</f>
      </c>
      <c r="B345" s="3" t="s">
        <v>18</v>
      </c>
      <c r="C345" s="4">
        <v>1</v>
      </c>
    </row>
    <row r="346">
      <c r="A346" s="5">
        <f>HYPERLINK("https://app-web.statementrec.com/app#appuploadfiles/39f76b2f-189b-1f3f-7e92-da565698fe2d","Private Luxury OU - Estonia")</f>
      </c>
      <c r="B346" s="3" t="s">
        <v>128</v>
      </c>
      <c r="C346" s="4">
        <v>5</v>
      </c>
    </row>
    <row r="347">
      <c r="A347" s="5">
        <f>HYPERLINK("https://app-web.statementrec.com/app#appuploadfiles/39f77790-199f-d2e0-ac6e-1a90e8ed032b","Raptis Real Estate")</f>
      </c>
      <c r="B347" s="3" t="s">
        <v>129</v>
      </c>
      <c r="C347" s="4">
        <v>2</v>
      </c>
    </row>
    <row r="348">
      <c r="A348" s="5">
        <f>HYPERLINK("https://app-web.statementrec.com/app#appuploadfiles/39f78023-d99e-81b4-a392-5a31959a30df","859 - Lesley Developments Limited")</f>
      </c>
      <c r="B348" s="3" t="s">
        <v>36</v>
      </c>
      <c r="C348" s="4">
        <v>27</v>
      </c>
    </row>
    <row r="349">
      <c r="A349" s="5">
        <f>HYPERLINK("https://app-web.statementrec.com/app#appuploadfiles/39f78430-792d-495c-a705-e9863d2a0869","1001 BANK")</f>
      </c>
      <c r="B349" s="3" t="s">
        <v>10</v>
      </c>
      <c r="C349" s="4">
        <v>25</v>
      </c>
    </row>
    <row r="350">
      <c r="A350" s="5">
        <f>HYPERLINK("https://app-web.statementrec.com/app#appuploadfiles/39f78472-3268-ce32-eacd-57189b3bbe56","MF Landscapes Limited")</f>
      </c>
      <c r="B350" s="3" t="s">
        <v>3</v>
      </c>
      <c r="C350" s="4">
        <v>8</v>
      </c>
    </row>
    <row r="351">
      <c r="A351" s="5">
        <f>HYPERLINK("https://app-web.statementrec.com/app#appuploadfiles/39f78525-9b38-6779-2547-5774039f2b31","Spiddal Service Station")</f>
      </c>
      <c r="B351" s="3" t="s">
        <v>10</v>
      </c>
      <c r="C351" s="4">
        <v>9</v>
      </c>
    </row>
    <row r="352">
      <c r="A352" s="5">
        <f>HYPERLINK("https://app-web.statementrec.com/app#appuploadfiles/39f789c4-4890-b008-d6b8-86f0417ad4dc","Kenneth Lind")</f>
      </c>
      <c r="B352" s="3" t="s">
        <v>30</v>
      </c>
      <c r="C352" s="4">
        <v>6</v>
      </c>
    </row>
    <row r="353">
      <c r="A353" s="5">
        <f>HYPERLINK("https://app-web.statementrec.com/app#appuploadfiles/39f78ae5-6358-c9d7-3231-2bc6586191b6","Black Peak Properties Ltd")</f>
      </c>
      <c r="B353" s="3" t="s">
        <v>130</v>
      </c>
      <c r="C353" s="4">
        <v>24</v>
      </c>
    </row>
    <row r="354">
      <c r="A354" s="5">
        <f>HYPERLINK("https://app-web.statementrec.com/app#appuploadfiles/39f79fd8-c950-b537-5ed9-67c76461e434","Pauper Prince Renovations Inc")</f>
      </c>
      <c r="B354" s="3" t="s">
        <v>131</v>
      </c>
      <c r="C354" s="4">
        <v>9</v>
      </c>
    </row>
    <row r="355">
      <c r="A355" s="5">
        <f>HYPERLINK("https://app-web.statementrec.com/app#appuploadfiles/39f7a413-29d8-a95f-06f3-43c3206854cb","sonny place LTD")</f>
      </c>
      <c r="B355" s="3" t="s">
        <v>8</v>
      </c>
      <c r="C355" s="4">
        <v>2</v>
      </c>
    </row>
    <row r="356">
      <c r="A356" s="5">
        <f>HYPERLINK("https://app-web.statementrec.com/app#appuploadfiles/39f7a938-ec36-d69f-f7d0-19bd51a89e7e","R W Walker")</f>
      </c>
      <c r="B356" s="3" t="s">
        <v>30</v>
      </c>
      <c r="C356" s="4">
        <v>3</v>
      </c>
    </row>
    <row r="357">
      <c r="A357" s="5">
        <f>HYPERLINK("https://app-web.statementrec.com/app#appuploadfiles/39f7addc-d65c-f3a1-05bf-5cdbcc6eba48","East Midlands Caribbean Carnival Arts Network")</f>
      </c>
      <c r="B357" s="3" t="s">
        <v>15</v>
      </c>
      <c r="C357" s="4">
        <v>3</v>
      </c>
    </row>
    <row r="358">
      <c r="A358" s="5">
        <f>HYPERLINK("https://app-web.statementrec.com/app#appuploadfiles/39f7c335-cfbd-866e-72fc-f88d24c4c070","Unique Engineering Services (UK) Limited")</f>
      </c>
      <c r="B358" s="3" t="s">
        <v>132</v>
      </c>
      <c r="C358" s="4">
        <v>5</v>
      </c>
    </row>
    <row r="359">
      <c r="A359" s="5">
        <f>HYPERLINK("https://app-web.statementrec.com/app#appuploadfiles/39f7d83d-0ae1-2bc3-36e6-0d5062070ca4","ACA Forwarding")</f>
      </c>
      <c r="B359" s="3" t="s">
        <v>40</v>
      </c>
      <c r="C359" s="4">
        <v>7</v>
      </c>
    </row>
    <row r="360">
      <c r="A360" s="5">
        <f>HYPERLINK("https://app-web.statementrec.com/app#appuploadfiles/39f7e680-1328-2898-5b4a-e3abb70f2d8d","Build &amp; Bake Ltd")</f>
      </c>
      <c r="B360" s="3" t="s">
        <v>19</v>
      </c>
      <c r="C360" s="4">
        <v>12</v>
      </c>
    </row>
    <row r="361">
      <c r="A361" s="5">
        <f>HYPERLINK("https://app-web.statementrec.com/app#appuploadfiles/39f7f0da-306a-9d1b-d7db-7adf76b08ec7","S527/SM")</f>
      </c>
      <c r="B361" s="3" t="s">
        <v>13</v>
      </c>
      <c r="C361" s="4">
        <v>6</v>
      </c>
    </row>
    <row r="362">
      <c r="A362" s="5">
        <f>HYPERLINK("https://app-web.statementrec.com/app#appuploadfiles/39f7fc16-c664-31f3-e6a9-dee47605b4db","Clew Bay Horizons")</f>
      </c>
      <c r="B362" s="3" t="s">
        <v>10</v>
      </c>
      <c r="C362" s="4">
        <v>1</v>
      </c>
    </row>
    <row r="363">
      <c r="A363" s="5">
        <f>HYPERLINK("https://app-web.statementrec.com/app#appuploadfiles/39f8086b-1609-a369-a453-e338e5b88970","Grip TIght Services Inc")</f>
      </c>
      <c r="B363" s="3" t="s">
        <v>133</v>
      </c>
      <c r="C363" s="4">
        <v>7</v>
      </c>
    </row>
    <row r="364">
      <c r="A364" s="5">
        <f>HYPERLINK("https://app-web.statementrec.com/app#appuploadfiles/39f80ad8-25f5-f075-bdf3-bf3d18c156ed","Adv L Phaladi")</f>
      </c>
      <c r="B364" s="3" t="s">
        <v>80</v>
      </c>
      <c r="C364" s="4">
        <v>6</v>
      </c>
    </row>
    <row r="365">
      <c r="A365" s="5">
        <f>HYPERLINK("https://app-web.statementrec.com/app#appuploadfiles/39f815cb-b9a2-9a89-c95b-beb3c43f190a","FJ26 Partners Ltd")</f>
      </c>
      <c r="B365" s="3" t="s">
        <v>56</v>
      </c>
      <c r="C365" s="4">
        <v>3</v>
      </c>
    </row>
    <row r="366">
      <c r="A366" s="5">
        <f>HYPERLINK("https://app-web.statementrec.com/app#appuploadfiles/39f81ba7-f391-c400-561b-14defceec676","Anecto Limited")</f>
      </c>
      <c r="B366" s="3" t="s">
        <v>134</v>
      </c>
      <c r="C366" s="4">
        <v>4</v>
      </c>
    </row>
    <row r="367">
      <c r="A367" s="5">
        <f>HYPERLINK("https://app-web.statementrec.com/app#appuploadfiles/39f833b3-d27a-d84e-c578-59b8f846287b","Punard Properties Limited")</f>
      </c>
      <c r="B367" s="3" t="s">
        <v>3</v>
      </c>
      <c r="C367" s="4">
        <v>3</v>
      </c>
    </row>
    <row r="368">
      <c r="A368" s="5">
        <f>HYPERLINK("https://app-web.statementrec.com/app#appuploadfiles/39f83592-f8b8-1b0e-0ba7-55b0ffb80808","El Canasto No.3")</f>
      </c>
      <c r="B368" s="3" t="s">
        <v>135</v>
      </c>
      <c r="C368" s="4">
        <v>8</v>
      </c>
    </row>
    <row r="369">
      <c r="A369" s="5">
        <f>HYPERLINK("https://app-web.statementrec.com/app#appuploadfiles/39f838ba-244c-beb5-10cd-f46cfc03d1f3","Treeangle Foundation")</f>
      </c>
      <c r="B369" s="3" t="s">
        <v>8</v>
      </c>
      <c r="C369" s="4">
        <v>6</v>
      </c>
    </row>
    <row r="370">
      <c r="A370" s="5">
        <f>HYPERLINK("https://app-web.statementrec.com/app#appuploadfiles/39f83d75-02ec-e12c-903e-dd747d52d481","MDB Productions Ltd")</f>
      </c>
      <c r="B370" s="3" t="s">
        <v>53</v>
      </c>
      <c r="C370" s="4">
        <v>8</v>
      </c>
    </row>
    <row r="371">
      <c r="A371" s="5">
        <f>HYPERLINK("https://app-web.statementrec.com/app#appuploadfiles/39f84910-6da3-776c-9214-5bfb24327ba9","Ian Alcock")</f>
      </c>
      <c r="B371" s="3" t="s">
        <v>3</v>
      </c>
      <c r="C371" s="4">
        <v>21</v>
      </c>
    </row>
    <row r="372">
      <c r="A372" s="5">
        <f>HYPERLINK("https://app-web.statementrec.com/app#appuploadfiles/39f84cc6-923c-b042-eb91-252943f7db2e","Umbrella Constructions")</f>
      </c>
      <c r="B372" s="3" t="s">
        <v>60</v>
      </c>
      <c r="C372" s="4">
        <v>6</v>
      </c>
    </row>
    <row r="373">
      <c r="A373" s="5">
        <f>HYPERLINK("https://app-web.statementrec.com/app#appuploadfiles/39f85c30-1b89-3c01-6b19-8fda0f0c07b6","Cybersel UK Ltd")</f>
      </c>
      <c r="B373" s="3" t="s">
        <v>40</v>
      </c>
      <c r="C373" s="4">
        <v>1</v>
      </c>
    </row>
    <row r="374">
      <c r="A374" s="5">
        <f>HYPERLINK("https://app-web.statementrec.com/app#appuploadfiles/39f866b9-3e28-5b29-42f5-b549cea97afc","Tyler David Smith")</f>
      </c>
      <c r="B374" s="3" t="s">
        <v>11</v>
      </c>
      <c r="C374" s="4">
        <v>60</v>
      </c>
    </row>
    <row r="375">
      <c r="A375" s="5">
        <f>HYPERLINK("https://app-web.statementrec.com/app#appuploadfiles/39f866e1-79c7-6272-912e-2d70d0492427","Kevin Cooney")</f>
      </c>
      <c r="B375" s="3" t="s">
        <v>10</v>
      </c>
      <c r="C375" s="4">
        <v>35</v>
      </c>
    </row>
    <row r="376">
      <c r="A376" s="5">
        <f>HYPERLINK("https://app-web.statementrec.com/app#appuploadfiles/39f872d2-27fe-29d4-9c2c-95233d91bc66","Florian Leonhard Fine Violins Ltd")</f>
      </c>
      <c r="B376" s="3" t="s">
        <v>12</v>
      </c>
      <c r="C376" s="4">
        <v>4</v>
      </c>
    </row>
    <row r="377">
      <c r="A377" s="5">
        <f>HYPERLINK("https://app-web.statementrec.com/app#appuploadfiles/39f88115-f4bf-ecf3-b884-613efec723ed","Software Asset Management Limited (IE)")</f>
      </c>
      <c r="B377" s="3" t="s">
        <v>3</v>
      </c>
      <c r="C377" s="4">
        <v>44</v>
      </c>
    </row>
    <row r="378">
      <c r="A378" s="5">
        <f>HYPERLINK("https://app-web.statementrec.com/app#appuploadfiles/39f88214-1515-753f-7604-6911019d9ef0","M85 - Mirehouse Farm")</f>
      </c>
      <c r="B378" s="3" t="s">
        <v>136</v>
      </c>
      <c r="C378" s="4">
        <v>22</v>
      </c>
    </row>
    <row r="379">
      <c r="A379" s="5">
        <f>HYPERLINK("https://app-web.statementrec.com/app#appuploadfiles/39f8a0bb-a8b0-8655-fe53-ca7cd296d403","Penny Lane Records Limited")</f>
      </c>
      <c r="B379" s="3" t="s">
        <v>15</v>
      </c>
      <c r="C379" s="4">
        <v>35</v>
      </c>
    </row>
    <row r="380">
      <c r="A380" s="5">
        <f>HYPERLINK("https://app-web.statementrec.com/app#appuploadfiles/39f8a62e-4856-8ef4-ac3b-8a205ab9ef76","Bloomsbury Camera Repairs Limited")</f>
      </c>
      <c r="B380" s="3" t="s">
        <v>12</v>
      </c>
      <c r="C380" s="4">
        <v>40</v>
      </c>
    </row>
    <row r="381">
      <c r="A381" s="5">
        <f>HYPERLINK("https://app-web.statementrec.com/app#appuploadfiles/39f8af03-d43f-3186-88a8-1e980c31e89e","Sail North Consulting Limited")</f>
      </c>
      <c r="B381" s="3" t="s">
        <v>137</v>
      </c>
      <c r="C381" s="4">
        <v>14</v>
      </c>
    </row>
    <row r="382">
      <c r="A382" s="5">
        <f>HYPERLINK("https://app-web.statementrec.com/app#appuploadfiles/39f8af1f-a848-785a-9f35-d422005a423f","Alliance Mechanical Ltd")</f>
      </c>
      <c r="B382" s="3" t="s">
        <v>3</v>
      </c>
      <c r="C382" s="4">
        <v>8</v>
      </c>
    </row>
    <row r="383">
      <c r="A383" s="5">
        <f>HYPERLINK("https://app-web.statementrec.com/app#appuploadfiles/39f8d41e-f387-ea80-65d4-367efbe90e36","Gerry Perry")</f>
      </c>
      <c r="B383" s="3" t="s">
        <v>10</v>
      </c>
      <c r="C383" s="4">
        <v>3</v>
      </c>
    </row>
    <row r="384">
      <c r="A384" s="5">
        <f>HYPERLINK("https://app-web.statementrec.com/app#appuploadfiles/39f8e86b-902c-8a29-e03d-795be137d3f3","Credit Card")</f>
      </c>
      <c r="B384" s="3" t="s">
        <v>33</v>
      </c>
      <c r="C384" s="4">
        <v>5</v>
      </c>
    </row>
    <row r="385">
      <c r="A385" s="5">
        <f>HYPERLINK("https://app-web.statementrec.com/app#appuploadfiles/39f8e89c-5fe9-c465-f1eb-e86d9ee7d9e2","23 TELECOM LTD")</f>
      </c>
      <c r="B385" s="3" t="s">
        <v>138</v>
      </c>
      <c r="C385" s="4">
        <v>3</v>
      </c>
    </row>
    <row r="386">
      <c r="A386" s="5">
        <f>HYPERLINK("https://app-web.statementrec.com/app#appuploadfiles/39f8ed7f-5e21-7d9a-597c-d70ca8a515bc","Virtue Property Investments Ltd")</f>
      </c>
      <c r="B386" s="3" t="s">
        <v>18</v>
      </c>
      <c r="C386" s="4">
        <v>7</v>
      </c>
    </row>
    <row r="387">
      <c r="A387" s="5">
        <f>HYPERLINK("https://app-web.statementrec.com/app#appuploadfiles/39f8ee47-cae7-26e3-ec0b-b5266d58d2c4","Travelyard Limited")</f>
      </c>
      <c r="B387" s="3" t="s">
        <v>30</v>
      </c>
      <c r="C387" s="4">
        <v>10</v>
      </c>
    </row>
    <row r="388">
      <c r="A388" s="5">
        <f>HYPERLINK("https://app-web.statementrec.com/app#appuploadfiles/39f8f294-b814-49bc-9762-265f08c3c8da","Messrs Holmes")</f>
      </c>
      <c r="B388" s="3" t="s">
        <v>3</v>
      </c>
      <c r="C388" s="4">
        <v>6</v>
      </c>
    </row>
    <row r="389">
      <c r="A389" s="5">
        <f>HYPERLINK("https://app-web.statementrec.com/app#appuploadfiles/39f8f343-cedb-d0b2-0790-82b014a5c23b","Zinc Plus Limited")</f>
      </c>
      <c r="B389" s="3" t="s">
        <v>13</v>
      </c>
      <c r="C389" s="4">
        <v>3</v>
      </c>
    </row>
    <row r="390">
      <c r="A390" s="5">
        <f>HYPERLINK("https://app-web.statementrec.com/app#appuploadfiles/39f9079a-bed8-8308-b151-a73b94b1f36c","Elliot &amp; Co LLP")</f>
      </c>
      <c r="B390" s="3" t="s">
        <v>139</v>
      </c>
      <c r="C390" s="4">
        <v>20</v>
      </c>
    </row>
    <row r="391">
      <c r="A391" s="5">
        <f>HYPERLINK("https://app-web.statementrec.com/app#appuploadfiles/39f907af-087e-4269-1670-1a315ba27e1c","MER001 - Tim Merreywether")</f>
      </c>
      <c r="B391" s="3" t="s">
        <v>15</v>
      </c>
      <c r="C391" s="4">
        <v>3</v>
      </c>
    </row>
    <row r="392">
      <c r="A392" s="5">
        <f>HYPERLINK("https://app-web.statementrec.com/app#appuploadfiles/39f90c18-914a-fc31-5153-268ccef5b151","Gift House Stat")</f>
      </c>
      <c r="B392" s="3" t="s">
        <v>3</v>
      </c>
      <c r="C392" s="4">
        <v>38</v>
      </c>
    </row>
    <row r="393">
      <c r="A393" s="5">
        <f>HYPERLINK("https://app-web.statementrec.com/app#appuploadfiles/39f90cf6-daf7-659e-f237-9cd75fe1c37d","G Ferris")</f>
      </c>
      <c r="B393" s="3" t="s">
        <v>56</v>
      </c>
      <c r="C393" s="4">
        <v>1</v>
      </c>
    </row>
    <row r="394">
      <c r="A394" s="5">
        <f>HYPERLINK("https://app-web.statementrec.com/app#appuploadfiles/39f9133c-cb9f-9314-baf7-9561a329ab54","River Design")</f>
      </c>
      <c r="B394" s="3" t="s">
        <v>19</v>
      </c>
      <c r="C394" s="4">
        <v>22</v>
      </c>
    </row>
    <row r="395">
      <c r="A395" s="5">
        <f>HYPERLINK("https://app-web.statementrec.com/app#appuploadfiles/39f9169c-0483-03a0-c5d2-b90989f8ee19","Padraig Hayes")</f>
      </c>
      <c r="B395" s="3" t="s">
        <v>15</v>
      </c>
      <c r="C395" s="4">
        <v>9</v>
      </c>
    </row>
    <row r="396">
      <c r="A396" s="5">
        <f>HYPERLINK("https://app-web.statementrec.com/app#appuploadfiles/39f92c99-715b-1279-7788-1c2905c832ce","Orthowell PT")</f>
      </c>
      <c r="B396" s="3" t="s">
        <v>140</v>
      </c>
      <c r="C396" s="4">
        <v>4</v>
      </c>
    </row>
    <row r="397">
      <c r="A397" s="5">
        <f>HYPERLINK("https://app-web.statementrec.com/app#appuploadfiles/39f930e1-6f48-6bc2-d432-1835e970ee55","MCS Plumbing &amp; Heating Limited")</f>
      </c>
      <c r="B397" s="3" t="s">
        <v>17</v>
      </c>
      <c r="C397" s="4">
        <v>19</v>
      </c>
    </row>
    <row r="398">
      <c r="A398" s="5">
        <f>HYPERLINK("https://app-web.statementrec.com/app#appuploadfiles/39f9316b-4dd9-dfc0-cec6-6882a1c5cc54","Default Client")</f>
      </c>
      <c r="B398" s="3" t="s">
        <v>21</v>
      </c>
      <c r="C398" s="4">
        <v>2</v>
      </c>
    </row>
    <row r="399">
      <c r="A399" s="5">
        <f>HYPERLINK("https://app-web.statementrec.com/app#appuploadfiles/39f935f1-c4a6-b37e-831f-64be6ce8ee85","Myco Systems Ltd")</f>
      </c>
      <c r="B399" s="3" t="s">
        <v>33</v>
      </c>
      <c r="C399" s="4">
        <v>8</v>
      </c>
    </row>
    <row r="400">
      <c r="A400" s="5">
        <f>HYPERLINK("https://app-web.statementrec.com/app#appuploadfiles/39f940b3-6235-3c27-c750-35617b53eccc","John Linsley")</f>
      </c>
      <c r="B400" s="3" t="s">
        <v>12</v>
      </c>
      <c r="C400" s="4">
        <v>3</v>
      </c>
    </row>
    <row r="401">
      <c r="A401" s="5">
        <f>HYPERLINK("https://app-web.statementrec.com/app#appuploadfiles/39f9410e-594c-2428-739e-e3d0f96f8829","Guided Ultrasonics Limited")</f>
      </c>
      <c r="B401" s="3" t="s">
        <v>17</v>
      </c>
      <c r="C401" s="4">
        <v>2</v>
      </c>
    </row>
    <row r="402">
      <c r="A402" s="5">
        <f>HYPERLINK("https://app-web.statementrec.com/app#appuploadfiles/39f98248-1a57-929a-6f05-7aef1f3b41a8","0540 - Moores")</f>
      </c>
      <c r="B402" s="3" t="s">
        <v>21</v>
      </c>
      <c r="C402" s="4">
        <v>36</v>
      </c>
    </row>
    <row r="403">
      <c r="A403" s="5">
        <f>HYPERLINK("https://app-web.statementrec.com/app#appuploadfiles/39f99411-39c8-e0e9-ae2c-389c3c1f691d","Afrosia")</f>
      </c>
      <c r="B403" s="3" t="s">
        <v>19</v>
      </c>
      <c r="C403" s="4">
        <v>6</v>
      </c>
    </row>
    <row r="404">
      <c r="A404" s="5">
        <f>HYPERLINK("https://app-web.statementrec.com/app#appuploadfiles/39f99d31-9dd7-6d88-464d-c81215c87c7d","Seamus H")</f>
      </c>
      <c r="B404" s="3" t="s">
        <v>10</v>
      </c>
      <c r="C404" s="4">
        <v>10</v>
      </c>
    </row>
    <row r="405">
      <c r="A405" s="5">
        <f>HYPERLINK("https://app-web.statementrec.com/app#appuploadfiles/39f9cbe3-e5f6-1daf-894e-0a8e31ca2f21","P Haycox &amp; Son Builders Ltd")</f>
      </c>
      <c r="B405" s="3" t="s">
        <v>141</v>
      </c>
      <c r="C405" s="4">
        <v>73</v>
      </c>
    </row>
    <row r="406">
      <c r="A406" s="5">
        <f>HYPERLINK("https://app-web.statementrec.com/app#appuploadfiles/39f9e069-a909-b878-5b74-1e6de606a0d2","Euroworld Properties Ltd")</f>
      </c>
      <c r="B406" s="3" t="s">
        <v>142</v>
      </c>
      <c r="C406" s="4">
        <v>32</v>
      </c>
    </row>
    <row r="407">
      <c r="A407" s="5">
        <f>HYPERLINK("https://app-web.statementrec.com/app#appuploadfiles/39f9e9fd-688f-f0a3-8244-6d8551f41598","Galata Properties Ltd")</f>
      </c>
      <c r="B407" s="3" t="s">
        <v>143</v>
      </c>
      <c r="C407" s="4">
        <v>2</v>
      </c>
    </row>
    <row r="408">
      <c r="A408" s="5">
        <f>HYPERLINK("https://app-web.statementrec.com/app#appuploadfiles/39f9ec15-f6a8-e7a8-d9eb-367a753d11fa","Canadian2For1")</f>
      </c>
      <c r="B408" s="3" t="s">
        <v>144</v>
      </c>
      <c r="C408" s="4">
        <v>14</v>
      </c>
    </row>
    <row r="409">
      <c r="A409" s="5">
        <f>HYPERLINK("https://app-web.statementrec.com/app#appuploadfiles/39f9fe33-875c-b7e5-2b0f-e6be14aed732","Credit Card")</f>
      </c>
      <c r="B409" s="3" t="s">
        <v>15</v>
      </c>
      <c r="C409" s="4">
        <v>24</v>
      </c>
    </row>
    <row r="410">
      <c r="A410" s="5">
        <f>HYPERLINK("https://app-web.statementrec.com/app#appuploadfiles/39fa045c-f866-9fa7-908e-e05389eb5429","Chrsity Walsh")</f>
      </c>
      <c r="B410" s="3" t="s">
        <v>3</v>
      </c>
      <c r="C410" s="4">
        <v>4</v>
      </c>
    </row>
    <row r="411">
      <c r="A411" s="5">
        <f>HYPERLINK("https://app-web.statementrec.com/app#appuploadfiles/39fa0e02-13d8-ef01-7267-dfb87f6a1975","James Sherry")</f>
      </c>
      <c r="B411" s="3" t="s">
        <v>21</v>
      </c>
      <c r="C411" s="4">
        <v>2</v>
      </c>
    </row>
    <row r="412">
      <c r="A412" s="5">
        <f>HYPERLINK("https://app-web.statementrec.com/app#appuploadfiles/39fa0e1b-fb00-6cd3-dba3-9bd7dac419d5","Mackey's Home Bakery")</f>
      </c>
      <c r="B412" s="3" t="s">
        <v>21</v>
      </c>
      <c r="C412" s="4">
        <v>10</v>
      </c>
    </row>
    <row r="413">
      <c r="A413" s="5">
        <f>HYPERLINK("https://app-web.statementrec.com/app#appuploadfiles/39fa0e90-e851-f744-c00e-7c2e7a516247","George Coffey 2020")</f>
      </c>
      <c r="B413" s="3" t="s">
        <v>56</v>
      </c>
      <c r="C413" s="4">
        <v>1</v>
      </c>
    </row>
    <row r="414">
      <c r="A414" s="5">
        <f>HYPERLINK("https://app-web.statementrec.com/app#appuploadfiles/39fa1254-8546-9c6c-b91f-4d3d75b0ad91","Sophie McFadden")</f>
      </c>
      <c r="B414" s="3" t="s">
        <v>47</v>
      </c>
      <c r="C414" s="4">
        <v>46</v>
      </c>
    </row>
    <row r="415">
      <c r="A415" s="5">
        <f>HYPERLINK("https://app-web.statementrec.com/app#appuploadfiles/39fa2335-15ba-b1d8-0a7a-b6d30f1daece","Louise Graham TA Beechgrove Interiors")</f>
      </c>
      <c r="B415" s="3" t="s">
        <v>24</v>
      </c>
      <c r="C415" s="4">
        <v>49</v>
      </c>
    </row>
    <row r="416">
      <c r="A416" s="5">
        <f>HYPERLINK("https://app-web.statementrec.com/app#appuploadfiles/39fa2df8-c6ff-b918-81d3-dc9160d18575","Corry &amp; Borg")</f>
      </c>
      <c r="B416" s="3" t="s">
        <v>12</v>
      </c>
      <c r="C416" s="4">
        <v>20</v>
      </c>
    </row>
    <row r="417">
      <c r="A417" s="5">
        <f>HYPERLINK("https://app-web.statementrec.com/app#appuploadfiles/39fa36a9-dcd3-7f13-b212-5310ae9990bf","South East Accountants Ltd")</f>
      </c>
      <c r="B417" s="3" t="s">
        <v>17</v>
      </c>
      <c r="C417" s="4">
        <v>9</v>
      </c>
    </row>
    <row r="418">
      <c r="A418" s="5">
        <f>HYPERLINK("https://app-web.statementrec.com/app#appuploadfiles/39fa36eb-4b28-022c-4a1f-d944c6872a58","Patrick Carragher")</f>
      </c>
      <c r="B418" s="3" t="s">
        <v>12</v>
      </c>
      <c r="C418" s="4">
        <v>33</v>
      </c>
    </row>
    <row r="419">
      <c r="A419" s="5">
        <f>HYPERLINK("https://app-web.statementrec.com/app#appuploadfiles/39fa3724-fc02-9e27-22bc-a2019c5a7477","Tommy Sheerin")</f>
      </c>
      <c r="B419" s="3" t="s">
        <v>17</v>
      </c>
      <c r="C419" s="4">
        <v>74</v>
      </c>
    </row>
    <row r="420">
      <c r="A420" s="5">
        <f>HYPERLINK("https://app-web.statementrec.com/app#appuploadfiles/39fa3772-dbd4-d650-6883-174c2a9d6f37","Monaghan Holiday Cottages")</f>
      </c>
      <c r="B420" s="3" t="s">
        <v>3</v>
      </c>
      <c r="C420" s="4">
        <v>3</v>
      </c>
    </row>
    <row r="421">
      <c r="A421" s="5">
        <f>HYPERLINK("https://app-web.statementrec.com/app#appuploadfiles/39fa3824-a4e8-e977-099e-164ae863bb4b","PJ Doyle")</f>
      </c>
      <c r="B421" s="3" t="s">
        <v>145</v>
      </c>
      <c r="C421" s="4">
        <v>12</v>
      </c>
    </row>
    <row r="422">
      <c r="A422" s="5">
        <f>HYPERLINK("https://app-web.statementrec.com/app#appuploadfiles/39fa3d39-00d9-234e-724f-208953a8f758","Bowken Associates")</f>
      </c>
      <c r="B422" s="3" t="s">
        <v>53</v>
      </c>
      <c r="C422" s="4">
        <v>40</v>
      </c>
    </row>
    <row r="423">
      <c r="A423" s="5">
        <f>HYPERLINK("https://app-web.statementrec.com/app#appuploadfiles/39fa4b92-9f5b-f243-9ed5-6723267a9e85","Stretchline Intellectual Properties Limited")</f>
      </c>
      <c r="B423" s="3" t="s">
        <v>17</v>
      </c>
      <c r="C423" s="4">
        <v>2</v>
      </c>
    </row>
    <row r="424">
      <c r="A424" s="5">
        <f>HYPERLINK("https://app-web.statementrec.com/app#appuploadfiles/39fa5027-0622-ac1c-dad9-3b98e1942281","Sue Kerridge")</f>
      </c>
      <c r="B424" s="3" t="s">
        <v>15</v>
      </c>
      <c r="C424" s="4">
        <v>12</v>
      </c>
    </row>
    <row r="425">
      <c r="A425" s="5">
        <f>HYPERLINK("https://app-web.statementrec.com/app#appuploadfiles/39fa5bf3-54ad-90d1-0a8c-295494cd1169","William Buttimer")</f>
      </c>
      <c r="B425" s="3" t="s">
        <v>3</v>
      </c>
      <c r="C425" s="4">
        <v>11</v>
      </c>
    </row>
    <row r="426">
      <c r="A426" s="5">
        <f>HYPERLINK("https://app-web.statementrec.com/app#appuploadfiles/39fa61ee-fe80-9459-1244-12e827361a58","PRIORITY THINKING")</f>
      </c>
      <c r="B426" s="3" t="s">
        <v>146</v>
      </c>
      <c r="C426" s="4">
        <v>18</v>
      </c>
    </row>
    <row r="427">
      <c r="A427" s="5">
        <f>HYPERLINK("https://app-web.statementrec.com/app#appuploadfiles/39fa6fa3-a878-7495-af0c-ace838ac4d9d","NAS Logistics (NI) Ltd")</f>
      </c>
      <c r="B427" s="3" t="s">
        <v>21</v>
      </c>
      <c r="C427" s="4">
        <v>51</v>
      </c>
    </row>
    <row r="428">
      <c r="A428" s="5">
        <f>HYPERLINK("https://app-web.statementrec.com/app#appuploadfiles/39fa70cb-f5b6-b7fa-ba76-a07a03aeb1c9","Mr Ian E Allen")</f>
      </c>
      <c r="B428" s="3" t="s">
        <v>15</v>
      </c>
      <c r="C428" s="4">
        <v>2</v>
      </c>
    </row>
    <row r="429">
      <c r="A429" s="5">
        <f>HYPERLINK("https://app-web.statementrec.com/app#appuploadfiles/39fa8021-59c6-f405-947e-75d0ed74cec3","Oakforest Properties Limited")</f>
      </c>
      <c r="B429" s="3" t="s">
        <v>147</v>
      </c>
      <c r="C429" s="4">
        <v>3</v>
      </c>
    </row>
    <row r="430">
      <c r="A430" s="5">
        <f>HYPERLINK("https://app-web.statementrec.com/app#appuploadfiles/39fa83e6-f29e-6bc6-f32b-e523e0fc92c4","CRAFTIKA LABELS limited")</f>
      </c>
      <c r="B430" s="3" t="s">
        <v>43</v>
      </c>
      <c r="C430" s="4">
        <v>2</v>
      </c>
    </row>
    <row r="431">
      <c r="A431" s="5">
        <f>HYPERLINK("https://app-web.statementrec.com/app#appuploadfiles/39faa518-6ff7-b3f2-811d-b4a70bf464bd","Super Save 90")</f>
      </c>
      <c r="B431" s="3" t="s">
        <v>148</v>
      </c>
      <c r="C431" s="4">
        <v>20</v>
      </c>
    </row>
    <row r="432">
      <c r="A432" s="5">
        <f>HYPERLINK("https://app-web.statementrec.com/app#appuploadfiles/39fabe37-8cc3-522a-74fb-7057d027b25b","Wynndel Foods")</f>
      </c>
      <c r="B432" s="3" t="s">
        <v>149</v>
      </c>
      <c r="C432" s="4">
        <v>22</v>
      </c>
    </row>
    <row r="433">
      <c r="A433" s="5">
        <f>HYPERLINK("https://app-web.statementrec.com/app#appuploadfiles/39fabf60-3a3c-325f-86e9-82a67df430a7","Clinton Shell")</f>
      </c>
      <c r="B433" s="3" t="s">
        <v>150</v>
      </c>
      <c r="C433" s="4">
        <v>15</v>
      </c>
    </row>
    <row r="434">
      <c r="A434" s="5">
        <f>HYPERLINK("https://app-web.statementrec.com/app#appuploadfiles/39fac23b-5e6f-e341-7208-c829679d62b9","Endorsed Media")</f>
      </c>
      <c r="B434" s="3" t="s">
        <v>43</v>
      </c>
      <c r="C434" s="4">
        <v>7</v>
      </c>
    </row>
    <row r="435">
      <c r="A435" s="5">
        <f>HYPERLINK("https://app-web.statementrec.com/app#appuploadfiles/39fac962-abf6-67aa-fe6f-961b239363a1","Queen City South United Soccer Club Inc")</f>
      </c>
      <c r="B435" s="3" t="s">
        <v>56</v>
      </c>
      <c r="C435" s="4">
        <v>5</v>
      </c>
    </row>
    <row r="436">
      <c r="A436" s="5">
        <f>HYPERLINK("https://app-web.statementrec.com/app#appuploadfiles/39faccd7-d490-00cb-5cd4-8e094616d4a8","MAF Adams Consultancy Ltd")</f>
      </c>
      <c r="B436" s="3" t="s">
        <v>151</v>
      </c>
      <c r="C436" s="4">
        <v>2</v>
      </c>
    </row>
    <row r="437">
      <c r="A437" s="5">
        <f>HYPERLINK("https://app-web.statementrec.com/app#appuploadfiles/39facd78-8d88-bade-7784-37f9920c0a40","Canco106")</f>
      </c>
      <c r="B437" s="3" t="s">
        <v>152</v>
      </c>
      <c r="C437" s="4">
        <v>34</v>
      </c>
    </row>
    <row r="438">
      <c r="A438" s="5">
        <f>HYPERLINK("https://app-web.statementrec.com/app#appuploadfiles/39fad4d1-616b-0bf7-6d39-ccdbe356d815","Stephanie Whitaker")</f>
      </c>
      <c r="B438" s="3" t="s">
        <v>153</v>
      </c>
      <c r="C438" s="4">
        <v>30</v>
      </c>
    </row>
    <row r="439">
      <c r="A439" s="5">
        <f>HYPERLINK("https://app-web.statementrec.com/app#appuploadfiles/39fadd49-3cd5-610a-bdd8-a77e72d7493b","Canco133")</f>
      </c>
      <c r="B439" s="3" t="s">
        <v>154</v>
      </c>
      <c r="C439" s="4">
        <v>13</v>
      </c>
    </row>
    <row r="440">
      <c r="A440" s="5">
        <f>HYPERLINK("https://app-web.statementrec.com/app#appuploadfiles/39fae595-2065-3850-ca6a-bb647b2b473a","D594 Daly Contracts Ltd")</f>
      </c>
      <c r="B440" s="3" t="s">
        <v>16</v>
      </c>
      <c r="C440" s="4">
        <v>8</v>
      </c>
    </row>
    <row r="441">
      <c r="A441" s="5">
        <f>HYPERLINK("https://app-web.statementrec.com/app#appuploadfiles/39fae5af-4225-d7eb-4820-7e3a2a6a4cfe","057433 - Red Spires Training Ltd")</f>
      </c>
      <c r="B441" s="3" t="s">
        <v>17</v>
      </c>
      <c r="C441" s="4">
        <v>6</v>
      </c>
    </row>
    <row r="442">
      <c r="A442" s="5">
        <f>HYPERLINK("https://app-web.statementrec.com/app#appuploadfiles/39faf0fc-2cb0-107c-4d59-e85fbf3fd88b","A608 - Allied Interiors (Scotland) Ltd")</f>
      </c>
      <c r="B442" s="3" t="s">
        <v>16</v>
      </c>
      <c r="C442" s="4">
        <v>4</v>
      </c>
    </row>
    <row r="443">
      <c r="A443" s="5">
        <f>HYPERLINK("https://app-web.statementrec.com/app#appuploadfiles/39fb0098-d841-f2f9-e569-61f8238a8694","Stearns Kilby Trading Ltd")</f>
      </c>
      <c r="B443" s="3" t="s">
        <v>155</v>
      </c>
      <c r="C443" s="4">
        <v>5</v>
      </c>
    </row>
    <row r="444">
      <c r="A444" s="5">
        <f>HYPERLINK("https://app-web.statementrec.com/app#appuploadfiles/39fb0b0c-4d7e-e807-2c12-f5539a82e2d8","Prospect House Farm")</f>
      </c>
      <c r="B444" s="3" t="s">
        <v>12</v>
      </c>
      <c r="C444" s="4">
        <v>96</v>
      </c>
    </row>
    <row r="445">
      <c r="A445" s="5">
        <f>HYPERLINK("https://app-web.statementrec.com/app#appuploadfiles/39fb1740-b3b5-0214-8417-334d841a22a7","KelownaCentex")</f>
      </c>
      <c r="B445" s="3" t="s">
        <v>3</v>
      </c>
      <c r="C445" s="4">
        <v>18</v>
      </c>
    </row>
    <row r="446">
      <c r="A446" s="5">
        <f>HYPERLINK("https://app-web.statementrec.com/app#appuploadfiles/39fb1742-42cc-0e79-7a59-302f9ff44db8","Canco104")</f>
      </c>
      <c r="B446" s="3" t="s">
        <v>156</v>
      </c>
      <c r="C446" s="4">
        <v>9</v>
      </c>
    </row>
    <row r="447">
      <c r="A447" s="5">
        <f>HYPERLINK("https://app-web.statementrec.com/app#appuploadfiles/39fb28de-d7a6-1435-0e59-b6a89c950aa7","L M Carpentry &amp; Installations Ltd")</f>
      </c>
      <c r="B447" s="3" t="s">
        <v>18</v>
      </c>
      <c r="C447" s="4">
        <v>17</v>
      </c>
    </row>
    <row r="448">
      <c r="A448" s="5">
        <f>HYPERLINK("https://app-web.statementrec.com/app#appuploadfiles/39fb2fb2-a5dd-5d9c-e648-c70ad2743d14","Hunter Centex")</f>
      </c>
      <c r="B448" s="3" t="s">
        <v>157</v>
      </c>
      <c r="C448" s="4">
        <v>144</v>
      </c>
    </row>
    <row r="449">
      <c r="A449" s="5">
        <f>HYPERLINK("https://app-web.statementrec.com/app#appuploadfiles/39fb3848-65cc-c875-b2a4-41e14025bffe","I M Taxis Nuneaton Ltd")</f>
      </c>
      <c r="B449" s="3" t="s">
        <v>22</v>
      </c>
      <c r="C449" s="4">
        <v>6</v>
      </c>
    </row>
    <row r="450">
      <c r="A450" s="5">
        <f>HYPERLINK("https://app-web.statementrec.com/app#appuploadfiles/39fb3970-f320-bb63-034b-1c4f7618fbc1","Dunne Motors Auto Sales Ltd")</f>
      </c>
      <c r="B450" s="3" t="s">
        <v>10</v>
      </c>
      <c r="C450" s="4">
        <v>54</v>
      </c>
    </row>
    <row r="451">
      <c r="A451" s="5">
        <f>HYPERLINK("https://app-web.statementrec.com/app#appuploadfiles/39fb3e48-e360-8f87-a264-9a0ec79e0a0a","Reinvent Yourself Ltd")</f>
      </c>
      <c r="B451" s="3" t="s">
        <v>24</v>
      </c>
      <c r="C451" s="4">
        <v>12</v>
      </c>
    </row>
    <row r="452">
      <c r="A452" s="5">
        <f>HYPERLINK("https://app-web.statementrec.com/app#appuploadfiles/39fb48c0-bda4-ad03-4950-bc0bb7fbee84","NT - S4127 MR LR Morgan")</f>
      </c>
      <c r="B452" s="3" t="s">
        <v>15</v>
      </c>
      <c r="C452" s="4">
        <v>1</v>
      </c>
    </row>
    <row r="453">
      <c r="A453" s="5">
        <f>HYPERLINK("https://app-web.statementrec.com/app#appuploadfiles/39fb494b-d4b2-3fdb-1cb2-f351e5adf5fa","Super Save 11")</f>
      </c>
      <c r="B453" s="3" t="s">
        <v>158</v>
      </c>
      <c r="C453" s="4">
        <v>3</v>
      </c>
    </row>
    <row r="454">
      <c r="A454" s="5">
        <f>HYPERLINK("https://app-web.statementrec.com/app#appuploadfiles/39fb4950-75db-acf5-39dc-573f637cd36b","Super Save 59")</f>
      </c>
      <c r="B454" s="3" t="s">
        <v>159</v>
      </c>
      <c r="C454" s="4">
        <v>16</v>
      </c>
    </row>
    <row r="455">
      <c r="A455" s="5">
        <f>HYPERLINK("https://app-web.statementrec.com/app#appuploadfiles/39fb51de-2f87-122e-643a-b5762990f0db","Winstonworth Ltd")</f>
      </c>
      <c r="B455" s="3" t="s">
        <v>33</v>
      </c>
      <c r="C455" s="4">
        <v>11</v>
      </c>
    </row>
    <row r="456">
      <c r="A456" s="5">
        <f>HYPERLINK("https://app-web.statementrec.com/app#appuploadfiles/39fb52e6-6439-d530-9e19-e871833ab7a7","Baobab Cafe")</f>
      </c>
      <c r="B456" s="3" t="s">
        <v>17</v>
      </c>
      <c r="C456" s="4">
        <v>4</v>
      </c>
    </row>
    <row r="457">
      <c r="A457" s="5">
        <f>HYPERLINK("https://app-web.statementrec.com/app#appuploadfiles/39fb56cb-aad2-3940-2de5-349c60f3e85d","KTK Health Care Limited")</f>
      </c>
      <c r="B457" s="3" t="s">
        <v>18</v>
      </c>
      <c r="C457" s="4">
        <v>1</v>
      </c>
    </row>
    <row r="458">
      <c r="A458" s="5">
        <f>HYPERLINK("https://app-web.statementrec.com/app#appuploadfiles/39fb5ca8-cbde-602a-8f2d-bab25464fb20","Pureink 3 Limited")</f>
      </c>
      <c r="B458" s="3" t="s">
        <v>17</v>
      </c>
      <c r="C458" s="4">
        <v>27</v>
      </c>
    </row>
    <row r="459">
      <c r="A459" s="5">
        <f>HYPERLINK("https://app-web.statementrec.com/app#appuploadfiles/39fb6670-32b3-cc6d-d6ae-37cb2527ff8b","Viktoria Gaspar")</f>
      </c>
      <c r="B459" s="3" t="s">
        <v>53</v>
      </c>
      <c r="C459" s="4">
        <v>53</v>
      </c>
    </row>
    <row r="460">
      <c r="A460" s="5">
        <f>HYPERLINK("https://app-web.statementrec.com/app#appuploadfiles/39fb6ba2-0ca2-e214-12f1-64ef1594eb36","RUadv")</f>
      </c>
      <c r="B460" s="3" t="s">
        <v>3</v>
      </c>
      <c r="C460" s="4">
        <v>2</v>
      </c>
    </row>
    <row r="461">
      <c r="A461" s="5">
        <f>HYPERLINK("https://app-web.statementrec.com/app#appuploadfiles/39fb6c98-8c90-cc4e-781c-453029dee23f","LDM Professional Services LLC")</f>
      </c>
      <c r="B461" s="3" t="s">
        <v>75</v>
      </c>
      <c r="C461" s="4">
        <v>4</v>
      </c>
    </row>
    <row r="462">
      <c r="A462" s="5">
        <f>HYPERLINK("https://app-web.statementrec.com/app#appuploadfiles/39fb6d3e-befe-e740-a173-7d8c524ee5e8","Biffboff Holdings")</f>
      </c>
      <c r="B462" s="3" t="s">
        <v>26</v>
      </c>
      <c r="C462" s="4">
        <v>44</v>
      </c>
    </row>
    <row r="463">
      <c r="A463" s="5">
        <f>HYPERLINK("https://app-web.statementrec.com/app#appuploadfiles/39fb758d-4b8e-bb8f-8c40-ead35a8e3f83","Atbodykits Limited")</f>
      </c>
      <c r="B463" s="3" t="s">
        <v>84</v>
      </c>
      <c r="C463" s="4">
        <v>21</v>
      </c>
    </row>
    <row r="464">
      <c r="A464" s="5">
        <f>HYPERLINK("https://app-web.statementrec.com/app#appuploadfiles/39fb76c6-9644-0099-9a5f-ca84cb957b0c","Coert Matthee")</f>
      </c>
      <c r="B464" s="3" t="s">
        <v>80</v>
      </c>
      <c r="C464" s="4">
        <v>9</v>
      </c>
    </row>
    <row r="465">
      <c r="A465" s="5">
        <f>HYPERLINK("https://app-web.statementrec.com/app#appuploadfiles/39fb7ad5-f693-3c21-dd9c-36519ccdad02","Cartref")</f>
      </c>
      <c r="B465" s="3" t="s">
        <v>160</v>
      </c>
      <c r="C465" s="4">
        <v>105</v>
      </c>
    </row>
    <row r="466">
      <c r="A466" s="5">
        <f>HYPERLINK("https://app-web.statementrec.com/app#appuploadfiles/39fb7b7e-0c0b-7ca7-43bb-186346271646","O04 Kevin O'Brien")</f>
      </c>
      <c r="B466" s="3" t="s">
        <v>75</v>
      </c>
      <c r="C466" s="4">
        <v>7</v>
      </c>
    </row>
    <row r="467">
      <c r="A467" s="5">
        <f>HYPERLINK("https://app-web.statementrec.com/app#appuploadfiles/39fb814b-5b37-d369-7977-e0560953cbcf","Mula Estates Ltd")</f>
      </c>
      <c r="B467" s="3" t="s">
        <v>161</v>
      </c>
      <c r="C467" s="4">
        <v>8</v>
      </c>
    </row>
    <row r="468">
      <c r="A468" s="5">
        <f>HYPERLINK("https://app-web.statementrec.com/app#appuploadfiles/39fb9420-1380-2d82-5660-a91c9a4d719a","G A Chop House")</f>
      </c>
      <c r="B468" s="3" t="s">
        <v>12</v>
      </c>
      <c r="C468" s="4">
        <v>18</v>
      </c>
    </row>
    <row r="469">
      <c r="A469" s="5">
        <f>HYPERLINK("https://app-web.statementrec.com/app#appuploadfiles/39fb95b7-b21e-7b07-7c3d-633c5bfb64f4","Catmoon Production International Ltd")</f>
      </c>
      <c r="B469" s="3" t="s">
        <v>10</v>
      </c>
      <c r="C469" s="4">
        <v>6</v>
      </c>
    </row>
    <row r="470">
      <c r="A470" s="5">
        <f>HYPERLINK("https://app-web.statementrec.com/app#appuploadfiles/39fb9a13-cd3b-d7fa-da9f-82152a7e9f67","*3250 Feb 21")</f>
      </c>
      <c r="B470" s="3" t="s">
        <v>17</v>
      </c>
      <c r="C470" s="4">
        <v>5</v>
      </c>
    </row>
    <row r="471">
      <c r="A471" s="5">
        <f>HYPERLINK("https://app-web.statementrec.com/app#appuploadfiles/39fb9b85-dcca-dbb7-ac94-1ab999e9bd13","A &amp; B Tool Rentals Ltd.")</f>
      </c>
      <c r="B471" s="3" t="s">
        <v>47</v>
      </c>
      <c r="C471" s="4">
        <v>15</v>
      </c>
    </row>
    <row r="472">
      <c r="A472" s="5">
        <f>HYPERLINK("https://app-web.statementrec.com/app#appuploadfiles/39fb9e50-4d7a-ce67-802a-9b70f2379b2e","Vectra transport")</f>
      </c>
      <c r="B472" s="3" t="s">
        <v>26</v>
      </c>
      <c r="C472" s="4">
        <v>3</v>
      </c>
    </row>
    <row r="473">
      <c r="A473" s="5">
        <f>HYPERLINK("https://app-web.statementrec.com/app#appuploadfiles/39fbc851-31ed-0232-6860-9fbfb3303f5f","4004 - Knowledgesmith")</f>
      </c>
      <c r="B473" s="3" t="s">
        <v>17</v>
      </c>
      <c r="C473" s="4">
        <v>2</v>
      </c>
    </row>
    <row r="474">
      <c r="A474" s="5">
        <f>HYPERLINK("https://app-web.statementrec.com/app#appuploadfiles/39fbc948-4536-21a4-fc3f-a1880d63e2ab","Mynydd Melyn")</f>
      </c>
      <c r="B474" s="3" t="s">
        <v>17</v>
      </c>
      <c r="C474" s="4">
        <v>27</v>
      </c>
    </row>
    <row r="475">
      <c r="A475" s="5">
        <f>HYPERLINK("https://app-web.statementrec.com/app#appuploadfiles/39fbe23b-4fc8-1bcf-3b40-6cca868c26bf","J Grant")</f>
      </c>
      <c r="B475" s="3" t="s">
        <v>3</v>
      </c>
      <c r="C475" s="4">
        <v>25</v>
      </c>
    </row>
    <row r="476">
      <c r="A476" s="5">
        <f>HYPERLINK("https://app-web.statementrec.com/app#appuploadfiles/39fbfb5b-0bcc-92a1-375f-24a13142600a","Aurelian Clients")</f>
      </c>
      <c r="B476" s="3" t="s">
        <v>38</v>
      </c>
      <c r="C476" s="4">
        <v>7</v>
      </c>
    </row>
    <row r="477">
      <c r="A477" s="5">
        <f>HYPERLINK("https://app-web.statementrec.com/app#appuploadfiles/39fbfcdc-cad6-2921-3e73-9efe489d7f84","Gradual Investments Limited")</f>
      </c>
      <c r="B477" s="3" t="s">
        <v>3</v>
      </c>
      <c r="C477" s="4">
        <v>20</v>
      </c>
    </row>
    <row r="478">
      <c r="A478" s="5">
        <f>HYPERLINK("https://app-web.statementrec.com/app#appuploadfiles/39fc071a-bdc3-c246-1e18-b78881c28520","Cooking Something Ltd")</f>
      </c>
      <c r="B478" s="3" t="s">
        <v>15</v>
      </c>
      <c r="C478" s="4">
        <v>9</v>
      </c>
    </row>
    <row r="479">
      <c r="A479" s="5">
        <f>HYPERLINK("https://app-web.statementrec.com/app#appuploadfiles/39fc2771-83c3-4b88-15e4-57d7cc54325d","RAYAN LLC")</f>
      </c>
      <c r="B479" s="3" t="s">
        <v>162</v>
      </c>
      <c r="C479" s="4">
        <v>21</v>
      </c>
    </row>
    <row r="480">
      <c r="A480" s="5">
        <f>HYPERLINK("https://app-web.statementrec.com/app#appuploadfiles/39fc2b0f-1e35-2fdc-3fc7-856ef8df137a","testklsa")</f>
      </c>
      <c r="B480" s="3" t="s">
        <v>84</v>
      </c>
      <c r="C480" s="4">
        <v>26</v>
      </c>
    </row>
    <row r="481">
      <c r="A481" s="5">
        <f>HYPERLINK("https://app-web.statementrec.com/app#appuploadfiles/39fc2efc-4444-4c83-6c82-59a416fa19ab","Phoenix Building Management Company")</f>
      </c>
      <c r="B481" s="3" t="s">
        <v>3</v>
      </c>
      <c r="C481" s="4">
        <v>2</v>
      </c>
    </row>
    <row r="482">
      <c r="A482" s="5">
        <f>HYPERLINK("https://app-web.statementrec.com/app#appuploadfiles/39fc435a-b313-48d4-5664-b08868a55e87","Sarah Starkey")</f>
      </c>
      <c r="B482" s="3" t="s">
        <v>60</v>
      </c>
      <c r="C482" s="4">
        <v>6</v>
      </c>
    </row>
    <row r="483">
      <c r="A483" s="5">
        <f>HYPERLINK("https://app-web.statementrec.com/app#appuploadfiles/39fc48d7-49ee-d496-f0ff-3ec63e0b3078","Shawn Gayle")</f>
      </c>
      <c r="B483" s="3" t="s">
        <v>19</v>
      </c>
      <c r="C483" s="4">
        <v>32</v>
      </c>
    </row>
    <row r="484">
      <c r="A484" s="5">
        <f>HYPERLINK("https://app-web.statementrec.com/app#appuploadfiles/39fc4d5d-5b45-7051-a27a-82831c3dea77","TC Sussex")</f>
      </c>
      <c r="B484" s="3" t="s">
        <v>11</v>
      </c>
      <c r="C484" s="4">
        <v>4</v>
      </c>
    </row>
    <row r="485">
      <c r="A485" s="5">
        <f>HYPERLINK("https://app-web.statementrec.com/app#appuploadfiles/39fc4fcb-5e0f-7b33-745c-c9850f9d7a57","Solutions in Accounting Limited")</f>
      </c>
      <c r="B485" s="3" t="s">
        <v>163</v>
      </c>
      <c r="C485" s="4">
        <v>55</v>
      </c>
    </row>
    <row r="486">
      <c r="A486" s="5">
        <f>HYPERLINK("https://app-web.statementrec.com/app#appuploadfiles/39fc5389-7857-054a-4d33-d055a34028e1","M020  Gary Meredith")</f>
      </c>
      <c r="B486" s="3" t="s">
        <v>17</v>
      </c>
      <c r="C486" s="4">
        <v>9</v>
      </c>
    </row>
    <row r="487">
      <c r="A487" s="5">
        <f>HYPERLINK("https://app-web.statementrec.com/app#appuploadfiles/39fc593c-9dec-45c5-65fa-61d3c6e5a13f","eldene commercial ltd")</f>
      </c>
      <c r="B487" s="3" t="s">
        <v>13</v>
      </c>
      <c r="C487" s="4">
        <v>4</v>
      </c>
    </row>
    <row r="488">
      <c r="A488" s="5">
        <f>HYPERLINK("https://app-web.statementrec.com/app#appuploadfiles/39fc6ccf-102e-59e7-6daf-0328b96c78e8","SF Mortgages")</f>
      </c>
      <c r="B488" s="3" t="s">
        <v>13</v>
      </c>
      <c r="C488" s="4">
        <v>7</v>
      </c>
    </row>
    <row r="489">
      <c r="A489" s="5">
        <f>HYPERLINK("https://app-web.statementrec.com/app#appuploadfiles/39fc6cd2-dfdb-44b0-611e-1b90e8a77147","jack hapeshis")</f>
      </c>
      <c r="B489" s="3" t="s">
        <v>13</v>
      </c>
      <c r="C489" s="4">
        <v>8</v>
      </c>
    </row>
    <row r="490">
      <c r="A490" s="5">
        <f>HYPERLINK("https://app-web.statementrec.com/app#appuploadfiles/39fc6e30-f9b1-4828-5d5f-20aedad7a430","Cedar Tree Estates")</f>
      </c>
      <c r="B490" s="3" t="s">
        <v>15</v>
      </c>
      <c r="C490" s="4">
        <v>4</v>
      </c>
    </row>
    <row r="491">
      <c r="A491" s="5">
        <f>HYPERLINK("https://app-web.statementrec.com/app#appuploadfiles/39fc703e-c145-3a13-d646-5603bafb4380","Super")</f>
      </c>
      <c r="B491" s="3" t="s">
        <v>164</v>
      </c>
      <c r="C491" s="4">
        <v>8</v>
      </c>
    </row>
    <row r="492">
      <c r="A492" s="5">
        <f>HYPERLINK("https://app-web.statementrec.com/app#appuploadfiles/39fc734d-0ac2-22fa-522a-25dbf72ddbe6","Blue Beans")</f>
      </c>
      <c r="B492" s="3" t="s">
        <v>165</v>
      </c>
      <c r="C492" s="4">
        <v>103</v>
      </c>
    </row>
    <row r="493">
      <c r="A493" s="5">
        <f>HYPERLINK("https://app-web.statementrec.com/app#appuploadfiles/39fc7827-c940-7586-1cbe-dac68aaecbd2","J Nissim")</f>
      </c>
      <c r="B493" s="3" t="s">
        <v>17</v>
      </c>
      <c r="C493" s="4">
        <v>3</v>
      </c>
    </row>
    <row r="494">
      <c r="A494" s="5">
        <f>HYPERLINK("https://app-web.statementrec.com/app#appuploadfiles/39fc8bc3-6b74-81b6-7334-d61d2fa6d11f","Plush Atelier")</f>
      </c>
      <c r="B494" s="3" t="s">
        <v>84</v>
      </c>
      <c r="C494" s="4">
        <v>4</v>
      </c>
    </row>
    <row r="495">
      <c r="A495" s="5">
        <f>HYPERLINK("https://app-web.statementrec.com/app#appuploadfiles/39fc8c8a-fa32-5120-1259-68b66307c0d4","Requip Limited")</f>
      </c>
      <c r="B495" s="3" t="s">
        <v>33</v>
      </c>
      <c r="C495" s="4">
        <v>4</v>
      </c>
    </row>
    <row r="496">
      <c r="A496" s="5">
        <f>HYPERLINK("https://app-web.statementrec.com/app#appuploadfiles/39fc8d1a-41a9-3b78-2375-e0a826dbf59f","LDM Limited")</f>
      </c>
      <c r="B496" s="3" t="s">
        <v>18</v>
      </c>
      <c r="C496" s="4">
        <v>4</v>
      </c>
    </row>
    <row r="497">
      <c r="A497" s="5">
        <f>HYPERLINK("https://app-web.statementrec.com/app#appuploadfiles/39fc90b0-5406-1d75-3a2c-ebc5c096ef0c","Datamark Properties UK Limited")</f>
      </c>
      <c r="B497" s="3" t="s">
        <v>81</v>
      </c>
      <c r="C497" s="4">
        <v>1</v>
      </c>
    </row>
    <row r="498">
      <c r="A498" s="5">
        <f>HYPERLINK("https://app-web.statementrec.com/app#appuploadfiles/39fc9254-d7d3-ef1d-4abb-12893bd3cf06","Nicola Watson")</f>
      </c>
      <c r="B498" s="3" t="s">
        <v>166</v>
      </c>
      <c r="C498" s="4">
        <v>34</v>
      </c>
    </row>
    <row r="499">
      <c r="A499" s="5">
        <f>HYPERLINK("https://app-web.statementrec.com/app#appuploadfiles/39fc9638-cfbe-d773-51f4-c8a03715847b","Portsmouth Exhaust &amp; Tyre Services Limited")</f>
      </c>
      <c r="B499" s="3" t="s">
        <v>38</v>
      </c>
      <c r="C499" s="4">
        <v>2</v>
      </c>
    </row>
    <row r="500">
      <c r="A500" s="5">
        <f>HYPERLINK("https://app-web.statementrec.com/app#appuploadfiles/39fc99a1-f556-909a-5238-62c7d0456c7e","Liv Rahme")</f>
      </c>
      <c r="B500" s="3" t="s">
        <v>167</v>
      </c>
      <c r="C500" s="4">
        <v>27</v>
      </c>
    </row>
    <row r="501">
      <c r="A501" s="5">
        <f>HYPERLINK("https://app-web.statementrec.com/app#appuploadfiles/39fca702-8d82-8561-66ba-65bb07ba36a9","Eugene Debrah")</f>
      </c>
      <c r="B501" s="3" t="s">
        <v>168</v>
      </c>
      <c r="C501" s="4">
        <v>11</v>
      </c>
    </row>
    <row r="502">
      <c r="A502" s="5">
        <f>HYPERLINK("https://app-web.statementrec.com/app#appuploadfiles/39fcb7a0-c65a-22ae-8c33-1b1776adea69","Brampton Travel Limited")</f>
      </c>
      <c r="B502" s="3" t="s">
        <v>10</v>
      </c>
      <c r="C502" s="4">
        <v>10</v>
      </c>
    </row>
    <row r="503">
      <c r="A503" s="5">
        <f>HYPERLINK("https://app-web.statementrec.com/app#appuploadfiles/39fcc023-ab97-7212-8efc-efb23387663a","cccard")</f>
      </c>
      <c r="B503" s="3" t="s">
        <v>169</v>
      </c>
      <c r="C503" s="4">
        <v>1</v>
      </c>
    </row>
    <row r="504">
      <c r="A504" s="5">
        <f>HYPERLINK("https://app-web.statementrec.com/app#appuploadfiles/39fcc053-e65a-032c-dcf3-0fa7e68ee355","Ashley Cooke")</f>
      </c>
      <c r="B504" s="3" t="s">
        <v>84</v>
      </c>
      <c r="C504" s="4">
        <v>19</v>
      </c>
    </row>
    <row r="505">
      <c r="A505" s="5">
        <f>HYPERLINK("https://app-web.statementrec.com/app#appuploadfiles/39fcd97e-bcda-6142-0fbf-d8990efd5e94","Colin O'Gara")</f>
      </c>
      <c r="B505" s="3" t="s">
        <v>170</v>
      </c>
      <c r="C505" s="4">
        <v>86</v>
      </c>
    </row>
    <row r="506">
      <c r="A506" s="5">
        <f>HYPERLINK("https://app-web.statementrec.com/app#appuploadfiles/39fcda46-48cb-7d60-3592-530d9921fa32","Beauty House Products Ltd")</f>
      </c>
      <c r="B506" s="3" t="s">
        <v>18</v>
      </c>
      <c r="C506" s="4">
        <v>20</v>
      </c>
    </row>
    <row r="507">
      <c r="A507" s="5">
        <f>HYPERLINK("https://app-web.statementrec.com/app#appuploadfiles/39fcdefd-0327-3aa2-7838-83e989be5e3d","Complete Drywall (Midlands) Limited")</f>
      </c>
      <c r="B507" s="3" t="s">
        <v>18</v>
      </c>
      <c r="C507" s="4">
        <v>9</v>
      </c>
    </row>
    <row r="508">
      <c r="A508" s="5">
        <f>HYPERLINK("https://app-web.statementrec.com/app#appuploadfiles/39fce505-0246-d294-49bd-48926008713f","Garrick Law")</f>
      </c>
      <c r="B508" s="3" t="s">
        <v>17</v>
      </c>
      <c r="C508" s="4">
        <v>12</v>
      </c>
    </row>
    <row r="509">
      <c r="A509" s="5">
        <f>HYPERLINK("https://app-web.statementrec.com/app#appuploadfiles/39fce947-9e7c-2391-6c9b-7ddd98e213bb","Majella Stewart T/A Stewart Farm")</f>
      </c>
      <c r="B509" s="3" t="s">
        <v>3</v>
      </c>
      <c r="C509" s="4">
        <v>15</v>
      </c>
    </row>
    <row r="510">
      <c r="A510" s="5">
        <f>HYPERLINK("https://app-web.statementrec.com/app#appuploadfiles/39fcee6f-84d0-f8c5-9968-0e9c3640304b","Island Dairies Farm Limited")</f>
      </c>
      <c r="B510" s="3" t="s">
        <v>12</v>
      </c>
      <c r="C510" s="4">
        <v>2</v>
      </c>
    </row>
    <row r="511">
      <c r="A511" s="5">
        <f>HYPERLINK("https://app-web.statementrec.com/app#appuploadfiles/39fcf7cf-d859-f0f2-2abe-730a2a029b7a","Cambridgeshire &amp; Peterborough Federation of Young Farmers Clbs")</f>
      </c>
      <c r="B511" s="3" t="s">
        <v>94</v>
      </c>
      <c r="C511" s="4">
        <v>8</v>
      </c>
    </row>
    <row r="512">
      <c r="A512" s="5">
        <f>HYPERLINK("https://app-web.statementrec.com/app#appuploadfiles/39fcf8ad-ee68-b461-b7f2-a8f7b91f50cc","Findon Black Horse Ltd")</f>
      </c>
      <c r="B512" s="3" t="s">
        <v>12</v>
      </c>
      <c r="C512" s="4">
        <v>11</v>
      </c>
    </row>
    <row r="513">
      <c r="A513" s="5">
        <f>HYPERLINK("https://app-web.statementrec.com/app#appuploadfiles/39fd07b1-5d4f-60ea-6915-a80a4a4a4456","Pionier Limited")</f>
      </c>
      <c r="B513" s="3" t="s">
        <v>17</v>
      </c>
      <c r="C513" s="4">
        <v>17</v>
      </c>
    </row>
    <row r="514">
      <c r="A514" s="5">
        <f>HYPERLINK("https://app-web.statementrec.com/app#appuploadfiles/39fd08b0-a099-8464-27fb-3968fe4e9643","Purple Lettings")</f>
      </c>
      <c r="B514" s="3" t="s">
        <v>13</v>
      </c>
      <c r="C514" s="4">
        <v>8</v>
      </c>
    </row>
    <row r="515">
      <c r="A515" s="5">
        <f>HYPERLINK("https://app-web.statementrec.com/app#appuploadfiles/39fd0bff-c504-40d9-6897-9824b8413fc7","Be Authentic (Pty) Ltd")</f>
      </c>
      <c r="B515" s="3" t="s">
        <v>80</v>
      </c>
      <c r="C515" s="4">
        <v>4</v>
      </c>
    </row>
    <row r="516">
      <c r="A516" s="5">
        <f>HYPERLINK("https://app-web.statementrec.com/app#appuploadfiles/39fd0c96-9361-a336-9392-387237d29997","West Two Investments Limited")</f>
      </c>
      <c r="B516" s="3" t="s">
        <v>19</v>
      </c>
      <c r="C516" s="4">
        <v>2</v>
      </c>
    </row>
    <row r="517">
      <c r="A517" s="5">
        <f>HYPERLINK("https://app-web.statementrec.com/app#appuploadfiles/39fd1bf6-46a4-c0b4-66df-06f53fd8cc3f","TD McKane &amp; Son")</f>
      </c>
      <c r="B517" s="3" t="s">
        <v>21</v>
      </c>
      <c r="C517" s="4">
        <v>9</v>
      </c>
    </row>
    <row r="518">
      <c r="A518" s="5">
        <f>HYPERLINK("https://app-web.statementrec.com/app#appuploadfiles/39fd1c04-117d-0572-cf4a-f7ecefc1fb8b","Mrs P Smart")</f>
      </c>
      <c r="B518" s="3" t="s">
        <v>171</v>
      </c>
      <c r="C518" s="4">
        <v>81</v>
      </c>
    </row>
    <row r="519">
      <c r="A519" s="5">
        <f>HYPERLINK("https://app-web.statementrec.com/app#appuploadfiles/39fd2179-1666-5e06-11da-ec822bec5dfc","Current Account 01/04/2020 - 31/03/2021")</f>
      </c>
      <c r="B519" s="3" t="s">
        <v>15</v>
      </c>
      <c r="C519" s="4">
        <v>4</v>
      </c>
    </row>
    <row r="520">
      <c r="A520" s="5">
        <f>HYPERLINK("https://app-web.statementrec.com/app#appuploadfiles/39fd21b5-3c89-fac4-61f9-efce38bd4976","TK Events")</f>
      </c>
      <c r="B520" s="3" t="s">
        <v>12</v>
      </c>
      <c r="C520" s="4">
        <v>2</v>
      </c>
    </row>
    <row r="521">
      <c r="A521" s="5">
        <f>HYPERLINK("https://app-web.statementrec.com/app#appuploadfiles/39fd2754-b751-14e7-0457-6bb2804a23eb","Leonora O'Donovan")</f>
      </c>
      <c r="B521" s="3" t="s">
        <v>3</v>
      </c>
      <c r="C521" s="4">
        <v>21</v>
      </c>
    </row>
    <row r="522">
      <c r="A522" s="5">
        <f>HYPERLINK("https://app-web.statementrec.com/app#appuploadfiles/39fd2bbc-a76b-9917-6c4e-a94cd4216bf6","Spaceview Trading Ltd -S19")</f>
      </c>
      <c r="B522" s="3" t="s">
        <v>3</v>
      </c>
      <c r="C522" s="4">
        <v>24</v>
      </c>
    </row>
    <row r="523">
      <c r="A523" s="5">
        <f>HYPERLINK("https://app-web.statementrec.com/app#appuploadfiles/39fd2c2e-41c4-1433-0058-589c0ff0793c","Macaulay Dental Practice")</f>
      </c>
      <c r="B523" s="3" t="s">
        <v>30</v>
      </c>
      <c r="C523" s="4">
        <v>20</v>
      </c>
    </row>
    <row r="524">
      <c r="A524" s="5">
        <f>HYPERLINK("https://app-web.statementrec.com/app#appuploadfiles/39fd2cdc-8e2a-53c9-ba0a-518a82f2a242","M Davis Construction Services Ltd")</f>
      </c>
      <c r="B524" s="3" t="s">
        <v>12</v>
      </c>
      <c r="C524" s="4">
        <v>2</v>
      </c>
    </row>
    <row r="525">
      <c r="A525" s="5">
        <f>HYPERLINK("https://app-web.statementrec.com/app#appuploadfiles/39fd30c4-a8f6-8157-3aef-37daee5ecad7","Arnies Body &amp; Spray")</f>
      </c>
      <c r="B525" s="3" t="s">
        <v>12</v>
      </c>
      <c r="C525" s="4">
        <v>4</v>
      </c>
    </row>
    <row r="526">
      <c r="A526" s="5">
        <f>HYPERLINK("https://app-web.statementrec.com/app#appuploadfiles/39fd3108-537f-13cb-04ef-b9c0b8ac4637","019523 - High Town Dental Practice Limited")</f>
      </c>
      <c r="B526" s="3" t="s">
        <v>18</v>
      </c>
      <c r="C526" s="4">
        <v>4</v>
      </c>
    </row>
    <row r="527">
      <c r="A527" s="5">
        <f>HYPERLINK("https://app-web.statementrec.com/app#appuploadfiles/39fd31c4-7f5f-c3df-acee-35c3b8c23823","TCP LLC")</f>
      </c>
      <c r="B527" s="3" t="s">
        <v>40</v>
      </c>
      <c r="C527" s="4">
        <v>6</v>
      </c>
    </row>
    <row r="528">
      <c r="A528" s="5">
        <f>HYPERLINK("https://app-web.statementrec.com/app#appuploadfiles/39fd4056-461c-dc8e-57c9-bdbb6376bcce","Downloads")</f>
      </c>
      <c r="B528" s="3" t="s">
        <v>11</v>
      </c>
      <c r="C528" s="4">
        <v>3</v>
      </c>
    </row>
    <row r="529">
      <c r="A529" s="5">
        <f>HYPERLINK("https://app-web.statementrec.com/app#appuploadfiles/39fd4061-98a1-1a74-6fc2-fe28acbd15eb","Launchworks Ventures Limited")</f>
      </c>
      <c r="B529" s="3" t="s">
        <v>172</v>
      </c>
      <c r="C529" s="4">
        <v>11</v>
      </c>
    </row>
    <row r="530">
      <c r="A530" s="5">
        <f>HYPERLINK("https://app-web.statementrec.com/app#appuploadfiles/39fd4a7e-5b8b-fb95-a8de-88b0f8d9563f","Michael Linnie")</f>
      </c>
      <c r="B530" s="3" t="s">
        <v>10</v>
      </c>
      <c r="C530" s="4">
        <v>126</v>
      </c>
    </row>
    <row r="531">
      <c r="A531" s="5">
        <f>HYPERLINK("https://app-web.statementrec.com/app#appuploadfiles/39fd4fd4-e706-11d8-2ab8-a679ee658977","Lumcloon Power Ltd")</f>
      </c>
      <c r="B531" s="3" t="s">
        <v>173</v>
      </c>
      <c r="C531" s="4">
        <v>4</v>
      </c>
    </row>
    <row r="532">
      <c r="A532" s="5">
        <f>HYPERLINK("https://app-web.statementrec.com/app#appuploadfiles/39fd4fd5-7ebe-176f-f449-b03271a24e71","Shannonbridge Power Ltd")</f>
      </c>
      <c r="B532" s="3" t="s">
        <v>56</v>
      </c>
      <c r="C532" s="4">
        <v>4</v>
      </c>
    </row>
    <row r="533">
      <c r="A533" s="5">
        <f>HYPERLINK("https://app-web.statementrec.com/app#appuploadfiles/39fd63f5-0005-459b-a568-0a0f9109f5e4","AKR Fitness Ltd")</f>
      </c>
      <c r="B533" s="3" t="s">
        <v>174</v>
      </c>
      <c r="C533" s="4">
        <v>15</v>
      </c>
    </row>
    <row r="534">
      <c r="A534" s="5">
        <f>HYPERLINK("https://app-web.statementrec.com/app#appuploadfiles/39fd68b1-5a8a-4c13-9db8-5bc64bf8013d","LJP 2022")</f>
      </c>
      <c r="B534" s="3" t="s">
        <v>80</v>
      </c>
      <c r="C534" s="4">
        <v>27</v>
      </c>
    </row>
    <row r="535">
      <c r="A535" s="5">
        <f>HYPERLINK("https://app-web.statementrec.com/app#appuploadfiles/39fd6fa4-d97f-51d4-a565-1fad286a7259","Tienda Latina El Paraiso LLC")</f>
      </c>
      <c r="B535" s="3" t="s">
        <v>175</v>
      </c>
      <c r="C535" s="4">
        <v>68</v>
      </c>
    </row>
    <row r="536">
      <c r="A536" s="5">
        <f>HYPERLINK("https://app-web.statementrec.com/app#appuploadfiles/39fd87b8-f02b-2401-250e-51c8d6a76ba9","Andrew Starkie")</f>
      </c>
      <c r="B536" s="3" t="s">
        <v>19</v>
      </c>
      <c r="C536" s="4">
        <v>36</v>
      </c>
    </row>
    <row r="537">
      <c r="A537" s="5">
        <f>HYPERLINK("https://app-web.statementrec.com/app#appuploadfiles/39fd897e-1969-b693-df2a-6c2b0255af04","Phillips Frith LLP")</f>
      </c>
      <c r="B537" s="3" t="s">
        <v>176</v>
      </c>
      <c r="C537" s="4">
        <v>43</v>
      </c>
    </row>
    <row r="538">
      <c r="A538" s="5">
        <f>HYPERLINK("https://app-web.statementrec.com/app#appuploadfiles/39fd8d3f-142b-d550-b737-83dc979e0ed4","Coast Road Vehicle Repairs")</f>
      </c>
      <c r="B538" s="3" t="s">
        <v>84</v>
      </c>
      <c r="C538" s="4">
        <v>9</v>
      </c>
    </row>
    <row r="539">
      <c r="A539" s="5">
        <f>HYPERLINK("https://app-web.statementrec.com/app#appuploadfiles/39fd8e71-f4e2-f337-c492-b71611b3e64e","Saint Braithwaite Limited")</f>
      </c>
      <c r="B539" s="3" t="s">
        <v>11</v>
      </c>
      <c r="C539" s="4">
        <v>3</v>
      </c>
    </row>
    <row r="540">
      <c r="A540" s="5">
        <f>HYPERLINK("https://app-web.statementrec.com/app#appuploadfiles/39fd9b89-b785-12e5-f338-f9277f1dc569","Karman Family Trust no 3")</f>
      </c>
      <c r="B540" s="3" t="s">
        <v>60</v>
      </c>
      <c r="C540" s="4">
        <v>5</v>
      </c>
    </row>
    <row r="541">
      <c r="A541" s="5">
        <f>HYPERLINK("https://app-web.statementrec.com/app#appuploadfiles/39fd9ce9-4640-7333-df9d-d37558b253f5","Mary O'Malley")</f>
      </c>
      <c r="B541" s="3" t="s">
        <v>3</v>
      </c>
      <c r="C541" s="4">
        <v>30</v>
      </c>
    </row>
    <row r="542">
      <c r="A542" s="5">
        <f>HYPERLINK("https://app-web.statementrec.com/app#appuploadfiles/39fda99d-00d9-0279-8a9e-577f5b83ff5a","H.O.P.E.")</f>
      </c>
      <c r="B542" s="3" t="s">
        <v>177</v>
      </c>
      <c r="C542" s="4">
        <v>33</v>
      </c>
    </row>
    <row r="543">
      <c r="A543" s="5">
        <f>HYPERLINK("https://app-web.statementrec.com/app#appuploadfiles/39fdac50-acd5-1253-f7f0-f8516aa78d61","Stephen McCarthy")</f>
      </c>
      <c r="B543" s="3" t="s">
        <v>10</v>
      </c>
      <c r="C543" s="4">
        <v>39</v>
      </c>
    </row>
    <row r="544">
      <c r="A544" s="5">
        <f>HYPERLINK("https://app-web.statementrec.com/app#appuploadfiles/39fdac5f-a935-5835-877c-63a611c72e96","Denis Griffin")</f>
      </c>
      <c r="B544" s="3" t="s">
        <v>3</v>
      </c>
      <c r="C544" s="4">
        <v>2</v>
      </c>
    </row>
    <row r="545">
      <c r="A545" s="5">
        <f>HYPERLINK("https://app-web.statementrec.com/app#appuploadfiles/39fdac7f-fab6-0e7a-542a-c2bbbabf15aa","Penny Payne")</f>
      </c>
      <c r="B545" s="3" t="s">
        <v>15</v>
      </c>
      <c r="C545" s="4">
        <v>16</v>
      </c>
    </row>
    <row r="546">
      <c r="A546" s="5">
        <f>HYPERLINK("https://app-web.statementrec.com/app#appuploadfiles/39fdb126-5193-fdec-ec2e-0ff442ceee4d","REDCODE")</f>
      </c>
      <c r="B546" s="3" t="s">
        <v>26</v>
      </c>
      <c r="C546" s="4">
        <v>5</v>
      </c>
    </row>
    <row r="547">
      <c r="A547" s="5">
        <f>HYPERLINK("https://app-web.statementrec.com/app#appuploadfiles/39fdb138-97b7-f5f4-4d66-2141dea82bff","MH Company South West Ltd")</f>
      </c>
      <c r="B547" s="3" t="s">
        <v>13</v>
      </c>
      <c r="C547" s="4">
        <v>25</v>
      </c>
    </row>
    <row r="548">
      <c r="A548" s="5">
        <f>HYPERLINK("https://app-web.statementrec.com/app#appuploadfiles/39fdb290-6d87-50de-7ba9-a72093fcb04c","Independent Audit Limited")</f>
      </c>
      <c r="B548" s="3" t="s">
        <v>26</v>
      </c>
      <c r="C548" s="4">
        <v>4</v>
      </c>
    </row>
    <row r="549">
      <c r="A549" s="5">
        <f>HYPERLINK("https://app-web.statementrec.com/app#appuploadfiles/39fdb36c-d913-baeb-c4a5-b26323069006","Prangley Planning Ltd")</f>
      </c>
      <c r="B549" s="3" t="s">
        <v>81</v>
      </c>
      <c r="C549" s="4">
        <v>2</v>
      </c>
    </row>
    <row r="550">
      <c r="A550" s="5">
        <f>HYPERLINK("https://app-web.statementrec.com/app#appuploadfiles/39fdb631-ea63-56ec-6a2a-e54e702de75b","Layers Hair Design Ltd")</f>
      </c>
      <c r="B550" s="3" t="s">
        <v>53</v>
      </c>
      <c r="C550" s="4">
        <v>8</v>
      </c>
    </row>
    <row r="551">
      <c r="A551" s="5">
        <f>HYPERLINK("https://app-web.statementrec.com/app#appuploadfiles/39fdb736-afb2-788f-2483-f717db3984f4","Williams &amp; Burrows")</f>
      </c>
      <c r="B551" s="3" t="s">
        <v>8</v>
      </c>
      <c r="C551" s="4">
        <v>15</v>
      </c>
    </row>
    <row r="552">
      <c r="A552" s="5">
        <f>HYPERLINK("https://app-web.statementrec.com/app#appuploadfiles/39fdc08a-3405-3199-4704-6fdf4aae4e1a","Detail Design Studio Ltd")</f>
      </c>
      <c r="B552" s="3" t="s">
        <v>10</v>
      </c>
      <c r="C552" s="4">
        <v>5</v>
      </c>
    </row>
    <row r="553">
      <c r="A553" s="5">
        <f>HYPERLINK("https://app-web.statementrec.com/app#appuploadfiles/39fdc0c2-8cbf-b617-c66a-e7de03b92e5d","Gursel Retro Ltd")</f>
      </c>
      <c r="B553" s="3" t="s">
        <v>19</v>
      </c>
      <c r="C553" s="4">
        <v>28</v>
      </c>
    </row>
    <row r="554">
      <c r="A554" s="5">
        <f>HYPERLINK("https://app-web.statementrec.com/app#appuploadfiles/39fdc102-8b54-f387-e6c5-893e4c13a116","Dali Air Ltd")</f>
      </c>
      <c r="B554" s="3" t="s">
        <v>70</v>
      </c>
      <c r="C554" s="4">
        <v>10</v>
      </c>
    </row>
    <row r="555">
      <c r="A555" s="5">
        <f>HYPERLINK("https://app-web.statementrec.com/app#appuploadfiles/39fdd58c-8a01-da8e-7218-11afab47eec1","VI Coffee LTD")</f>
      </c>
      <c r="B555" s="3" t="s">
        <v>10</v>
      </c>
      <c r="C555" s="4">
        <v>16</v>
      </c>
    </row>
    <row r="556">
      <c r="A556" s="5">
        <f>HYPERLINK("https://app-web.statementrec.com/app#appuploadfiles/39fdd643-f6b6-c80d-5571-f08786deec37","Caragh Open Farm Limited")</f>
      </c>
      <c r="B556" s="3" t="s">
        <v>178</v>
      </c>
      <c r="C556" s="4">
        <v>7</v>
      </c>
    </row>
    <row r="557">
      <c r="A557" s="5">
        <f>HYPERLINK("https://app-web.statementrec.com/app#appuploadfiles/39fdd685-a9a7-feab-82a9-05c7ce8fe1e6","Slackie's Logistics")</f>
      </c>
      <c r="B557" s="3" t="s">
        <v>73</v>
      </c>
      <c r="C557" s="4">
        <v>4</v>
      </c>
    </row>
    <row r="558">
      <c r="A558" s="5">
        <f>HYPERLINK("https://app-web.statementrec.com/app#appuploadfiles/39fddb65-f60d-d2aa-dde0-bd7a1b8c3e39","LS Estates Ltd")</f>
      </c>
      <c r="B558" s="3" t="s">
        <v>69</v>
      </c>
      <c r="C558" s="4">
        <v>1</v>
      </c>
    </row>
    <row r="559">
      <c r="A559" s="5">
        <f>HYPERLINK("https://app-web.statementrec.com/app#appuploadfiles/39fdf406-7087-5704-4b52-931a3cd42c12","Vested Outsourcing Partners")</f>
      </c>
      <c r="B559" s="3" t="s">
        <v>151</v>
      </c>
      <c r="C559" s="4">
        <v>1</v>
      </c>
    </row>
    <row r="560">
      <c r="A560" s="5">
        <f>HYPERLINK("https://app-web.statementrec.com/app#appuploadfiles/39fdf580-4772-d4b3-a881-1dac24bd5586","Zerofit Europe Ltd")</f>
      </c>
      <c r="B560" s="3" t="s">
        <v>3</v>
      </c>
      <c r="C560" s="4">
        <v>1</v>
      </c>
    </row>
    <row r="561">
      <c r="A561" s="5">
        <f>HYPERLINK("https://app-web.statementrec.com/app#appuploadfiles/39fdf642-26e1-a429-6dc6-7ad1b3a7fb10","Liquid Fumes Vape")</f>
      </c>
      <c r="B561" s="3" t="s">
        <v>179</v>
      </c>
      <c r="C561" s="4">
        <v>234</v>
      </c>
    </row>
    <row r="562">
      <c r="A562" s="5">
        <f>HYPERLINK("https://app-web.statementrec.com/app#appuploadfiles/39fdf977-feaa-96e3-5261-260143488130","Bank Statements WKCA")</f>
      </c>
      <c r="B562" s="3" t="s">
        <v>26</v>
      </c>
      <c r="C562" s="4">
        <v>26</v>
      </c>
    </row>
    <row r="563">
      <c r="A563" s="5">
        <f>HYPERLINK("https://app-web.statementrec.com/app#appuploadfiles/39fdf9ed-4dc0-8788-f5e2-a8ef69a8867b","Eptech Operations")</f>
      </c>
      <c r="B563" s="3" t="s">
        <v>3</v>
      </c>
      <c r="C563" s="4">
        <v>8</v>
      </c>
    </row>
    <row r="564">
      <c r="A564" s="5">
        <f>HYPERLINK("https://app-web.statementrec.com/app#appuploadfiles/39fdffec-3a74-e482-a745-d4fea90f585a","James Luckin Limited")</f>
      </c>
      <c r="B564" s="3" t="s">
        <v>12</v>
      </c>
      <c r="C564" s="4">
        <v>6</v>
      </c>
    </row>
    <row r="565">
      <c r="A565" s="5">
        <f>HYPERLINK("https://app-web.statementrec.com/app#appuploadfiles/39fe1dbe-c65a-b8db-efcd-0e9f5c65e508","TC Croydon")</f>
      </c>
      <c r="B565" s="3" t="s">
        <v>18</v>
      </c>
      <c r="C565" s="4">
        <v>3</v>
      </c>
    </row>
    <row r="566">
      <c r="A566" s="5">
        <f>HYPERLINK("https://app-web.statementrec.com/app#appuploadfiles/39fe2310-5cc7-c029-957c-8858905bdf44","Dublin City BID")</f>
      </c>
      <c r="B566" s="3" t="s">
        <v>3</v>
      </c>
      <c r="C566" s="4">
        <v>3</v>
      </c>
    </row>
    <row r="567">
      <c r="A567" s="5">
        <f>HYPERLINK("https://app-web.statementrec.com/app#appuploadfiles/39fe27cb-2efc-1a1d-140d-a96e6632c106","DUMMY")</f>
      </c>
      <c r="B567" s="3" t="s">
        <v>13</v>
      </c>
      <c r="C567" s="4">
        <v>4</v>
      </c>
    </row>
    <row r="568">
      <c r="A568" s="5">
        <f>HYPERLINK("https://app-web.statementrec.com/app#appuploadfiles/39fe2cca-f7d2-1f6e-94db-e19c6ae9b7fb","C0476 - Condition Monitoring Solutions Ltd")</f>
      </c>
      <c r="B568" s="3" t="s">
        <v>40</v>
      </c>
      <c r="C568" s="4">
        <v>6</v>
      </c>
    </row>
    <row r="569">
      <c r="A569" s="5">
        <f>HYPERLINK("https://app-web.statementrec.com/app#appuploadfiles/39fe2d59-032a-8a3f-0bc9-b0f6fa38136e","Academy 1nternational Ltd")</f>
      </c>
      <c r="B569" s="3" t="s">
        <v>18</v>
      </c>
      <c r="C569" s="4">
        <v>55</v>
      </c>
    </row>
    <row r="570">
      <c r="A570" s="5">
        <f>HYPERLINK("https://app-web.statementrec.com/app#appuploadfiles/39fe4795-f4cc-a150-962b-be1637f53785","Formosa Engineering Ltd")</f>
      </c>
      <c r="B570" s="3" t="s">
        <v>10</v>
      </c>
      <c r="C570" s="4">
        <v>3</v>
      </c>
    </row>
    <row r="571">
      <c r="A571" s="5">
        <f>HYPERLINK("https://app-web.statementrec.com/app#appuploadfiles/39fe4b99-510c-152d-1ec3-ef9b81df3bfe","Saboor Sheerzad Global Limited")</f>
      </c>
      <c r="B571" s="3" t="s">
        <v>10</v>
      </c>
      <c r="C571" s="4">
        <v>8</v>
      </c>
    </row>
    <row r="572">
      <c r="A572" s="5">
        <f>HYPERLINK("https://app-web.statementrec.com/app#appuploadfiles/39fe511c-5de9-9a58-08bc-94fee4342a46","2171 Miss Y L Camarena Meza")</f>
      </c>
      <c r="B572" s="3" t="s">
        <v>19</v>
      </c>
      <c r="C572" s="4">
        <v>48</v>
      </c>
    </row>
    <row r="573">
      <c r="A573" s="5">
        <f>HYPERLINK("https://app-web.statementrec.com/app#appuploadfiles/39fe6088-ae5e-d1e9-fcbd-5a923c44d29b","A &amp; F Mitchell")</f>
      </c>
      <c r="B573" s="3" t="s">
        <v>40</v>
      </c>
      <c r="C573" s="4">
        <v>13</v>
      </c>
    </row>
    <row r="574">
      <c r="A574" s="5">
        <f>HYPERLINK("https://app-web.statementrec.com/app#appuploadfiles/39fe6099-277f-01fa-48fa-c7c5081ce4f3","Riverside Florestry")</f>
      </c>
      <c r="B574" s="3" t="s">
        <v>33</v>
      </c>
      <c r="C574" s="4">
        <v>12</v>
      </c>
    </row>
    <row r="575">
      <c r="A575" s="5">
        <f>HYPERLINK("https://app-web.statementrec.com/app#appuploadfiles/39fe6aa7-1baa-90ec-2cb7-c11d31d045f0","4480023 - Harry and Steven Beamish 01-20")</f>
      </c>
      <c r="B575" s="3" t="s">
        <v>3</v>
      </c>
      <c r="C575" s="4">
        <v>3</v>
      </c>
    </row>
    <row r="576">
      <c r="A576" s="5">
        <f>HYPERLINK("https://app-web.statementrec.com/app#appuploadfiles/39fe6fb4-39aa-b3b8-b623-4dad92550894","Allen Electrical Contracts Ltd")</f>
      </c>
      <c r="B576" s="3" t="s">
        <v>43</v>
      </c>
      <c r="C576" s="4">
        <v>20</v>
      </c>
    </row>
    <row r="577">
      <c r="A577" s="5">
        <f>HYPERLINK("https://app-web.statementrec.com/app#appuploadfiles/39fe7213-d806-6d18-217a-556efecca066","Canco501")</f>
      </c>
      <c r="B577" s="3" t="s">
        <v>47</v>
      </c>
      <c r="C577" s="4">
        <v>5</v>
      </c>
    </row>
    <row r="578">
      <c r="A578" s="5">
        <f>HYPERLINK("https://app-web.statementrec.com/app#appuploadfiles/39fe760a-59a0-69e9-179f-101878bc4674","O'Brien &amp; Donnellan")</f>
      </c>
      <c r="B578" s="3" t="s">
        <v>3</v>
      </c>
      <c r="C578" s="4">
        <v>29</v>
      </c>
    </row>
    <row r="579">
      <c r="A579" s="5">
        <f>HYPERLINK("https://app-web.statementrec.com/app#appuploadfiles/39fe856f-7e2a-d872-8a90-26790b6efc1b","Andrew McNamara")</f>
      </c>
      <c r="B579" s="3" t="s">
        <v>13</v>
      </c>
      <c r="C579" s="4">
        <v>4</v>
      </c>
    </row>
    <row r="580">
      <c r="A580" s="5">
        <f>HYPERLINK("https://app-web.statementrec.com/app#appuploadfiles/39fe85ce-ebd5-3c82-314a-378ca7d714d7","Andrew D Trimble Ltd")</f>
      </c>
      <c r="B580" s="3" t="s">
        <v>26</v>
      </c>
      <c r="C580" s="4">
        <v>29</v>
      </c>
    </row>
    <row r="581">
      <c r="A581" s="5">
        <f>HYPERLINK("https://app-web.statementrec.com/app#appuploadfiles/39fe8dae-2f35-fe8f-bb41-da0a5d17f7c5","HS Financing Pte Ltd")</f>
      </c>
      <c r="B581" s="3" t="s">
        <v>180</v>
      </c>
      <c r="C581" s="4">
        <v>17</v>
      </c>
    </row>
    <row r="582">
      <c r="A582" s="5">
        <f>HYPERLINK("https://app-web.statementrec.com/app#appuploadfiles/39fe8f39-a207-c126-adbf-088d621387ae","Greenwood Scaffolding Limited")</f>
      </c>
      <c r="B582" s="3" t="s">
        <v>33</v>
      </c>
      <c r="C582" s="4">
        <v>2</v>
      </c>
    </row>
    <row r="583">
      <c r="A583" s="5">
        <f>HYPERLINK("https://app-web.statementrec.com/app#appuploadfiles/39fead50-2851-c2b4-7118-2ea9e60e59bb","50101L4 - Elvaston Properties Limited")</f>
      </c>
      <c r="B583" s="3" t="s">
        <v>40</v>
      </c>
      <c r="C583" s="4">
        <v>3</v>
      </c>
    </row>
    <row r="584">
      <c r="A584" s="5">
        <f>HYPERLINK("https://app-web.statementrec.com/app#appuploadfiles/39fecd17-c339-3549-8168-b2f836b8ecef","BLETSOEA")</f>
      </c>
      <c r="B584" s="3" t="s">
        <v>12</v>
      </c>
      <c r="C584" s="4">
        <v>21</v>
      </c>
    </row>
    <row r="585">
      <c r="A585" s="5">
        <f>HYPERLINK("https://app-web.statementrec.com/app#appuploadfiles/39fed17a-a0b5-e8a3-b526-d43165df44f8","AMJ Cladding &amp; Roofing Limited")</f>
      </c>
      <c r="B585" s="3" t="s">
        <v>12</v>
      </c>
      <c r="C585" s="4">
        <v>2</v>
      </c>
    </row>
    <row r="586">
      <c r="A586" s="5">
        <f>HYPERLINK("https://app-web.statementrec.com/app#appuploadfiles/39fed2df-f502-a0d7-b9d1-eaafbca6aa08","B L &amp; M P Ransom")</f>
      </c>
      <c r="B586" s="3" t="s">
        <v>13</v>
      </c>
      <c r="C586" s="4">
        <v>2</v>
      </c>
    </row>
    <row r="587">
      <c r="A587" s="5">
        <f>HYPERLINK("https://app-web.statementrec.com/app#appuploadfiles/39fedc58-dc92-77c7-832f-7990cc7c88db","Delaney Aug'21 Credit Cadr")</f>
      </c>
      <c r="B587" s="3" t="s">
        <v>10</v>
      </c>
      <c r="C587" s="4">
        <v>6</v>
      </c>
    </row>
    <row r="588">
      <c r="A588" s="5">
        <f>HYPERLINK("https://app-web.statementrec.com/app#appuploadfiles/39fee255-daba-36f7-51a1-9576983521db","Trans Canada Trail Ontario")</f>
      </c>
      <c r="B588" s="3" t="s">
        <v>181</v>
      </c>
      <c r="C588" s="4">
        <v>1</v>
      </c>
    </row>
    <row r="589">
      <c r="A589" s="5">
        <f>HYPERLINK("https://app-web.statementrec.com/app#appuploadfiles/39fef34c-c5e4-d88d-a657-72a877018d67","Pablo Ciancimino")</f>
      </c>
      <c r="B589" s="3" t="s">
        <v>182</v>
      </c>
      <c r="C589" s="4">
        <v>175</v>
      </c>
    </row>
    <row r="590">
      <c r="A590" s="5">
        <f>HYPERLINK("https://app-web.statementrec.com/app#appuploadfiles/39fefc20-0d96-4323-c0ae-ca3d650cfa76","HAJO Engineering Ltd")</f>
      </c>
      <c r="B590" s="3" t="s">
        <v>17</v>
      </c>
      <c r="C590" s="4">
        <v>3</v>
      </c>
    </row>
    <row r="591">
      <c r="A591" s="5">
        <f>HYPERLINK("https://app-web.statementrec.com/app#appuploadfiles/39ff0129-1d62-5285-7bca-9da47766bd7b","Consilio")</f>
      </c>
      <c r="B591" s="3" t="s">
        <v>13</v>
      </c>
      <c r="C591" s="4">
        <v>1</v>
      </c>
    </row>
    <row r="592">
      <c r="A592" s="5">
        <f>HYPERLINK("https://app-web.statementrec.com/app#appuploadfiles/39ff01a9-9704-66d5-2611-76de8c7fb745","Kirby Bros. Painters &amp; Decorators Ltd")</f>
      </c>
      <c r="B592" s="3" t="s">
        <v>10</v>
      </c>
      <c r="C592" s="4">
        <v>11</v>
      </c>
    </row>
    <row r="593">
      <c r="A593" s="5">
        <f>HYPERLINK("https://app-web.statementrec.com/app#appuploadfiles/39ff051b-0283-d7f5-7cde-d0c4b3ebc626","Suzie Miller")</f>
      </c>
      <c r="B593" s="3" t="s">
        <v>19</v>
      </c>
      <c r="C593" s="4">
        <v>16</v>
      </c>
    </row>
    <row r="594">
      <c r="A594" s="5">
        <f>HYPERLINK("https://app-web.statementrec.com/app#appuploadfiles/39ff2203-5b9b-4b49-3619-7793a34b948e","Tapestry Gardening")</f>
      </c>
      <c r="B594" s="3" t="s">
        <v>82</v>
      </c>
      <c r="C594" s="4">
        <v>8</v>
      </c>
    </row>
    <row r="595">
      <c r="A595" s="5">
        <f>HYPERLINK("https://app-web.statementrec.com/app#appuploadfiles/39ff33d6-6f48-3425-e9ba-b8984eef027e","Pal Zileri Ltd")</f>
      </c>
      <c r="B595" s="3" t="s">
        <v>183</v>
      </c>
      <c r="C595" s="4">
        <v>4</v>
      </c>
    </row>
    <row r="596">
      <c r="A596" s="5">
        <f>HYPERLINK("https://app-web.statementrec.com/app#appuploadfiles/39ff388c-1c5f-4fac-4726-39b136bb8b8d","Warehouse Gym")</f>
      </c>
      <c r="B596" s="3" t="s">
        <v>11</v>
      </c>
      <c r="C596" s="4">
        <v>17</v>
      </c>
    </row>
    <row r="597">
      <c r="A597" s="5">
        <f>HYPERLINK("https://app-web.statementrec.com/app#appuploadfiles/39ff38ca-f10d-e238-5959-19f1fdbcc861","Jade House Chinese Takeaway Ltd")</f>
      </c>
      <c r="B597" s="3" t="s">
        <v>15</v>
      </c>
      <c r="C597" s="4">
        <v>6</v>
      </c>
    </row>
    <row r="598">
      <c r="A598" s="5">
        <f>HYPERLINK("https://app-web.statementrec.com/app#appuploadfiles/39ff39ab-fd57-ff8f-a2e6-ed7a48955d78","Karen Cassin T/A Hot Dogs Grooming Salon")</f>
      </c>
      <c r="B598" s="3" t="s">
        <v>11</v>
      </c>
      <c r="C598" s="4">
        <v>65</v>
      </c>
    </row>
    <row r="599">
      <c r="A599" s="5">
        <f>HYPERLINK("https://app-web.statementrec.com/app#appuploadfiles/39ff3d8a-4500-1b87-3e06-5f0bf65c7c11","SW Ventures - Assured Signs")</f>
      </c>
      <c r="B599" s="3" t="s">
        <v>184</v>
      </c>
      <c r="C599" s="4">
        <v>10</v>
      </c>
    </row>
    <row r="600">
      <c r="A600" s="5">
        <f>HYPERLINK("https://app-web.statementrec.com/app#appuploadfiles/39ff48d1-3b50-4999-3c55-9d7625e7bbf0","SUN001 - Sushi Nori")</f>
      </c>
      <c r="B600" s="3" t="s">
        <v>95</v>
      </c>
      <c r="C600" s="4">
        <v>7</v>
      </c>
    </row>
    <row r="601">
      <c r="A601" s="5">
        <f>HYPERLINK("https://app-web.statementrec.com/app#appuploadfiles/39ff49a5-5cb7-431f-bac9-b9af23eed6bc","B2032 Ted &amp; John Buckley (Partnership)")</f>
      </c>
      <c r="B601" s="3" t="s">
        <v>185</v>
      </c>
      <c r="C601" s="4">
        <v>9</v>
      </c>
    </row>
    <row r="602">
      <c r="A602" s="5">
        <f>HYPERLINK("https://app-web.statementrec.com/app#appuploadfiles/39ff4dc6-8a95-4c0e-9d1e-8d8fc0fc6fd7","The Station Wagon Ltd")</f>
      </c>
      <c r="B602" s="3" t="s">
        <v>186</v>
      </c>
      <c r="C602" s="4">
        <v>1</v>
      </c>
    </row>
    <row r="603">
      <c r="A603" s="5">
        <f>HYPERLINK("https://app-web.statementrec.com/app#appuploadfiles/39ff4e26-e948-195b-5f7a-1334aa1b8e2f","Brian Scanlon Farms")</f>
      </c>
      <c r="B603" s="3" t="s">
        <v>187</v>
      </c>
      <c r="C603" s="4">
        <v>40</v>
      </c>
    </row>
    <row r="604">
      <c r="A604" s="5">
        <f>HYPERLINK("https://app-web.statementrec.com/app#appuploadfiles/39ff5cda-b7d0-b250-fdb4-4d308ecc832e","SANGWYN")</f>
      </c>
      <c r="B604" s="3" t="s">
        <v>18</v>
      </c>
      <c r="C604" s="4">
        <v>16</v>
      </c>
    </row>
    <row r="605">
      <c r="A605" s="5">
        <f>HYPERLINK("https://app-web.statementrec.com/app#appuploadfiles/39ff631f-dd8f-1f18-ca4b-ad9c9668df05","V.P. Lynch &amp; Company")</f>
      </c>
      <c r="B605" s="3" t="s">
        <v>15</v>
      </c>
      <c r="C605" s="4">
        <v>70</v>
      </c>
    </row>
    <row r="606">
      <c r="A606" s="5">
        <f>HYPERLINK("https://app-web.statementrec.com/app#appuploadfiles/39ff643f-cb89-1cca-2646-269ce7f0adcb","Naylor &amp; Warner CPAs")</f>
      </c>
      <c r="B606" s="3" t="s">
        <v>40</v>
      </c>
      <c r="C606" s="4">
        <v>8</v>
      </c>
    </row>
    <row r="607">
      <c r="A607" s="5">
        <f>HYPERLINK("https://app-web.statementrec.com/app#appuploadfiles/39ff71e5-d277-eec2-82d4-a164b3c6b900","Levant Office Interiors Ltd")</f>
      </c>
      <c r="B607" s="3" t="s">
        <v>188</v>
      </c>
      <c r="C607" s="4">
        <v>3</v>
      </c>
    </row>
    <row r="608">
      <c r="A608" s="5">
        <f>HYPERLINK("https://app-web.statementrec.com/app#appuploadfiles/39ff71ea-183f-9e2e-79b3-3b96167eee86","Sai Accounting Services Limited")</f>
      </c>
      <c r="B608" s="3" t="s">
        <v>53</v>
      </c>
      <c r="C608" s="4">
        <v>25</v>
      </c>
    </row>
    <row r="609">
      <c r="A609" s="5">
        <f>HYPERLINK("https://app-web.statementrec.com/app#appuploadfiles/39ff8547-fd4d-3169-89e3-010ca79f9420","Colin Owen-Anthony")</f>
      </c>
      <c r="B609" s="3" t="s">
        <v>189</v>
      </c>
      <c r="C609" s="4">
        <v>20</v>
      </c>
    </row>
    <row r="610">
      <c r="A610" s="5">
        <f>HYPERLINK("https://app-web.statementrec.com/app#appuploadfiles/39ff8bad-3a48-c074-43e8-b7ac4ee153d9","Star Delta")</f>
      </c>
      <c r="B610" s="3" t="s">
        <v>36</v>
      </c>
      <c r="C610" s="4">
        <v>4</v>
      </c>
    </row>
    <row r="611">
      <c r="A611" s="5">
        <f>HYPERLINK("https://app-web.statementrec.com/app#appuploadfiles/39ff913f-23a5-9ccb-5acc-5cb60067b21a","Adam Slama Studio Limited")</f>
      </c>
      <c r="B611" s="3" t="s">
        <v>190</v>
      </c>
      <c r="C611" s="4">
        <v>10</v>
      </c>
    </row>
    <row r="612">
      <c r="A612" s="5">
        <f>HYPERLINK("https://app-web.statementrec.com/app#appuploadfiles/39ff9164-f2fc-8353-77f8-161af070be0d","ARAS GROUP")</f>
      </c>
      <c r="B612" s="3" t="s">
        <v>19</v>
      </c>
      <c r="C612" s="4">
        <v>9</v>
      </c>
    </row>
    <row r="613">
      <c r="A613" s="5">
        <f>HYPERLINK("https://app-web.statementrec.com/app#appuploadfiles/39ffaeed-59b9-c547-01d5-f3656b7b86db","Absinthe Enterprises Limited")</f>
      </c>
      <c r="B613" s="3" t="s">
        <v>17</v>
      </c>
      <c r="C613" s="4">
        <v>7</v>
      </c>
    </row>
    <row r="614">
      <c r="A614" s="5">
        <f>HYPERLINK("https://app-web.statementrec.com/app#appuploadfiles/39ffaef3-e416-e37e-6d64-f5e12c18af0c","Garr Tool - UK  Limited")</f>
      </c>
      <c r="B614" s="3" t="s">
        <v>81</v>
      </c>
      <c r="C614" s="4">
        <v>4</v>
      </c>
    </row>
    <row r="615">
      <c r="A615" s="5">
        <f>HYPERLINK("https://app-web.statementrec.com/app#appuploadfiles/39ffb4a8-788c-24fd-81fc-6bce07d56de5","Walkers Flat Roofing Ltd")</f>
      </c>
      <c r="B615" s="3" t="s">
        <v>84</v>
      </c>
      <c r="C615" s="4">
        <v>21</v>
      </c>
    </row>
    <row r="616">
      <c r="A616" s="5">
        <f>HYPERLINK("https://app-web.statementrec.com/app#appuploadfiles/39ffb981-655f-2976-f3a1-32539b03919e","Gracefruit Limited")</f>
      </c>
      <c r="B616" s="3" t="s">
        <v>8</v>
      </c>
      <c r="C616" s="4">
        <v>1</v>
      </c>
    </row>
    <row r="617">
      <c r="A617" s="5">
        <f>HYPERLINK("https://app-web.statementrec.com/app#appuploadfiles/39ffbaa3-16c8-1a17-a006-536bc91f6ba4","Niall Stoddart")</f>
      </c>
      <c r="B617" s="3" t="s">
        <v>56</v>
      </c>
      <c r="C617" s="4">
        <v>6</v>
      </c>
    </row>
    <row r="618">
      <c r="A618" s="5">
        <f>HYPERLINK("https://app-web.statementrec.com/app#appuploadfiles/39ffce7a-9f6c-19b2-1472-01e978e150c6","Javed Ramazani")</f>
      </c>
      <c r="B618" s="3" t="s">
        <v>12</v>
      </c>
      <c r="C618" s="4">
        <v>57</v>
      </c>
    </row>
    <row r="619">
      <c r="A619" s="5">
        <f>HYPERLINK("https://app-web.statementrec.com/app#appuploadfiles/39ffd3f3-1619-98b5-07d8-6c230bd25f74","SFP01 - Sam Fitzpatrick")</f>
      </c>
      <c r="B619" s="3" t="s">
        <v>17</v>
      </c>
      <c r="C619" s="4">
        <v>6</v>
      </c>
    </row>
    <row r="620">
      <c r="A620" s="5">
        <f>HYPERLINK("https://app-web.statementrec.com/app#appuploadfiles/39ffd44e-72f8-eafb-c76c-196e86d8b535","Celeste")</f>
      </c>
      <c r="B620" s="3" t="s">
        <v>191</v>
      </c>
      <c r="C620" s="4">
        <v>25</v>
      </c>
    </row>
    <row r="621">
      <c r="A621" s="5">
        <f>HYPERLINK("https://app-web.statementrec.com/app#appuploadfiles/39ffd460-906d-7a4c-9d21-1799e4b7134f","Saffetway Limited")</f>
      </c>
      <c r="B621" s="3" t="s">
        <v>192</v>
      </c>
      <c r="C621" s="4">
        <v>14</v>
      </c>
    </row>
    <row r="622">
      <c r="A622" s="5">
        <f>HYPERLINK("https://app-web.statementrec.com/app#appuploadfiles/39ffd474-4172-973e-6ef2-aa50cb67f1a6","Castle Inn Pembrokeshire Ltd")</f>
      </c>
      <c r="B622" s="3" t="s">
        <v>17</v>
      </c>
      <c r="C622" s="4">
        <v>15</v>
      </c>
    </row>
    <row r="623">
      <c r="A623" s="5">
        <f>HYPERLINK("https://app-web.statementrec.com/app#appuploadfiles/39ffd477-f981-0e17-7b27-01eb613f3c5b","CM Cars NI Ltd")</f>
      </c>
      <c r="B623" s="3" t="s">
        <v>193</v>
      </c>
      <c r="C623" s="4">
        <v>108</v>
      </c>
    </row>
    <row r="624">
      <c r="A624" s="5">
        <f>HYPERLINK("https://app-web.statementrec.com/app#appuploadfiles/39ffdeaa-3f89-5fa7-5c55-e57696772432","B316D - Henry Bibby")</f>
      </c>
      <c r="B624" s="3" t="s">
        <v>139</v>
      </c>
      <c r="C624" s="4">
        <v>2</v>
      </c>
    </row>
    <row r="625">
      <c r="A625" s="5">
        <f>HYPERLINK("https://app-web.statementrec.com/app#appuploadfiles/39fff854-b89b-bc43-e0c9-5bc8d4711d25","Munros")</f>
      </c>
      <c r="B625" s="3" t="s">
        <v>194</v>
      </c>
      <c r="C625" s="4">
        <v>10</v>
      </c>
    </row>
    <row r="626">
      <c r="A626" s="5">
        <f>HYPERLINK("https://app-web.statementrec.com/app#appuploadfiles/39fffe52-69e0-e926-dbf0-60f055cbbe5c","Andrew Fry Carpets")</f>
      </c>
      <c r="B626" s="3" t="s">
        <v>15</v>
      </c>
      <c r="C626" s="4">
        <v>23</v>
      </c>
    </row>
    <row r="627">
      <c r="A627" s="5">
        <f>HYPERLINK("https://app-web.statementrec.com/app#appuploadfiles/3a0011ec-3cfb-53f6-08bc-088ee4c325c7","Gerard Early")</f>
      </c>
      <c r="B627" s="3" t="s">
        <v>11</v>
      </c>
      <c r="C627" s="4">
        <v>193</v>
      </c>
    </row>
    <row r="628">
      <c r="A628" s="5">
        <f>HYPERLINK("https://app-web.statementrec.com/app#appuploadfiles/3a0020a5-7a84-b3f7-2562-f40b41c0a4d6","Donald Anderson")</f>
      </c>
      <c r="B628" s="3" t="s">
        <v>195</v>
      </c>
      <c r="C628" s="4">
        <v>14</v>
      </c>
    </row>
    <row r="629">
      <c r="A629" s="5">
        <f>HYPERLINK("https://app-web.statementrec.com/app#appuploadfiles/3a003539-d7de-2b06-1dbf-a611b065d22e","052279 - C M Plant Limited")</f>
      </c>
      <c r="B629" s="3" t="s">
        <v>17</v>
      </c>
      <c r="C629" s="4">
        <v>15</v>
      </c>
    </row>
    <row r="630">
      <c r="A630" s="5">
        <f>HYPERLINK("https://app-web.statementrec.com/app#appuploadfiles/3a003582-d3ae-1bd1-1a71-fd9392eba56b","Swift Employment")</f>
      </c>
      <c r="B630" s="3" t="s">
        <v>12</v>
      </c>
      <c r="C630" s="4">
        <v>14</v>
      </c>
    </row>
    <row r="631">
      <c r="A631" s="5">
        <f>HYPERLINK("https://app-web.statementrec.com/app#appuploadfiles/3a0035f5-8bb7-2bd0-be97-f3470aad5830","SAHIN SUPERMARKET LTD")</f>
      </c>
      <c r="B631" s="3" t="s">
        <v>12</v>
      </c>
      <c r="C631" s="4">
        <v>12</v>
      </c>
    </row>
    <row r="632">
      <c r="A632" s="5">
        <f>HYPERLINK("https://app-web.statementrec.com/app#appuploadfiles/3a003637-60f1-9ee4-8af1-b07b4a379f72","Roam West")</f>
      </c>
      <c r="B632" s="3" t="s">
        <v>33</v>
      </c>
      <c r="C632" s="4">
        <v>4</v>
      </c>
    </row>
    <row r="633">
      <c r="A633" s="5">
        <f>HYPERLINK("https://app-web.statementrec.com/app#appuploadfiles/3a003fbb-a993-b856-0d9a-8214aa9d7ac9","Firebird Financial Services (Pty) Ltd")</f>
      </c>
      <c r="B633" s="3" t="s">
        <v>80</v>
      </c>
      <c r="C633" s="4">
        <v>6</v>
      </c>
    </row>
    <row r="634">
      <c r="A634" s="5">
        <f>HYPERLINK("https://app-web.statementrec.com/app#appuploadfiles/3a0040a9-27a1-6955-1d1c-9975d6d5ae5d","Emery Building Limited")</f>
      </c>
      <c r="B634" s="3" t="s">
        <v>15</v>
      </c>
      <c r="C634" s="4">
        <v>3</v>
      </c>
    </row>
    <row r="635">
      <c r="A635" s="5">
        <f>HYPERLINK("https://app-web.statementrec.com/app#appuploadfiles/3a004289-69be-16d8-1d55-a24734cd8444","Ceira Lambert Services Ltd")</f>
      </c>
      <c r="B635" s="3" t="s">
        <v>15</v>
      </c>
      <c r="C635" s="4">
        <v>3</v>
      </c>
    </row>
    <row r="636">
      <c r="A636" s="5">
        <f>HYPERLINK("https://app-web.statementrec.com/app#appuploadfiles/3a0059b7-7dfc-c381-bc83-1b6db42ee8e5","Jaguar Timing Ltd")</f>
      </c>
      <c r="B636" s="3" t="s">
        <v>21</v>
      </c>
      <c r="C636" s="4">
        <v>13</v>
      </c>
    </row>
    <row r="637">
      <c r="A637" s="5">
        <f>HYPERLINK("https://app-web.statementrec.com/app#appuploadfiles/3a005a56-d1ed-89f7-8945-5b725f0d5c94","E380 WG &amp; ME EVANS")</f>
      </c>
      <c r="B637" s="3" t="s">
        <v>17</v>
      </c>
      <c r="C637" s="4">
        <v>3</v>
      </c>
    </row>
    <row r="638">
      <c r="A638" s="5">
        <f>HYPERLINK("https://app-web.statementrec.com/app#appuploadfiles/3a0060fa-c348-0a6a-23e0-4e4c64b3d3a6","Canco 156 Grand Cache")</f>
      </c>
      <c r="B638" s="3" t="s">
        <v>154</v>
      </c>
      <c r="C638" s="4">
        <v>10</v>
      </c>
    </row>
    <row r="639">
      <c r="A639" s="5">
        <f>HYPERLINK("https://app-web.statementrec.com/app#appuploadfiles/3a0069cf-de6b-3ab2-224f-98c7146394c1","Patrick Thornton")</f>
      </c>
      <c r="B639" s="3" t="s">
        <v>3</v>
      </c>
      <c r="C639" s="4">
        <v>99</v>
      </c>
    </row>
    <row r="640">
      <c r="A640" s="5">
        <f>HYPERLINK("https://app-web.statementrec.com/app#appuploadfiles/3a0069e1-1447-3840-1b78-95983c1e03d9","Sam Watts")</f>
      </c>
      <c r="B640" s="3" t="s">
        <v>15</v>
      </c>
      <c r="C640" s="4">
        <v>8</v>
      </c>
    </row>
    <row r="641">
      <c r="A641" s="5">
        <f>HYPERLINK("https://app-web.statementrec.com/app#appuploadfiles/3a006a37-4524-fc17-ba7e-6a7a5b0efd9e","Jamie McLean")</f>
      </c>
      <c r="B641" s="3" t="s">
        <v>29</v>
      </c>
      <c r="C641" s="4">
        <v>2</v>
      </c>
    </row>
    <row r="642">
      <c r="A642" s="5">
        <f>HYPERLINK("https://app-web.statementrec.com/app#appuploadfiles/3a007ea4-4eab-9182-d9ac-1fc420ee9401","Test Company")</f>
      </c>
      <c r="B642" s="3" t="s">
        <v>18</v>
      </c>
      <c r="C642" s="4">
        <v>12</v>
      </c>
    </row>
    <row r="643">
      <c r="A643" s="5">
        <f>HYPERLINK("https://app-web.statementrec.com/app#appuploadfiles/3a00835a-6749-c87c-3391-822f5ea09fbd","Edison Law Solicitors")</f>
      </c>
      <c r="B643" s="3" t="s">
        <v>12</v>
      </c>
      <c r="C643" s="4">
        <v>10</v>
      </c>
    </row>
    <row r="644">
      <c r="A644" s="5">
        <f>HYPERLINK("https://app-web.statementrec.com/app#appuploadfiles/3a00ae31-749a-b1e6-951c-601c9fbeacbe","Crosslake Fibre")</f>
      </c>
      <c r="B644" s="3" t="s">
        <v>17</v>
      </c>
      <c r="C644" s="4">
        <v>1</v>
      </c>
    </row>
    <row r="645">
      <c r="A645" s="5">
        <f>HYPERLINK("https://app-web.statementrec.com/app#appuploadfiles/3a00b6dc-6518-80a3-36ae-cade8364ccdb","AB &amp; PD Stansfield")</f>
      </c>
      <c r="B645" s="3" t="s">
        <v>29</v>
      </c>
      <c r="C645" s="4">
        <v>6</v>
      </c>
    </row>
    <row r="646">
      <c r="A646" s="5">
        <f>HYPERLINK("https://app-web.statementrec.com/app#appuploadfiles/3a00bd25-fef8-d1ae-92e5-a33fc3df71b3","Andy Ellis Professional Corporation")</f>
      </c>
      <c r="B646" s="3" t="s">
        <v>15</v>
      </c>
      <c r="C646" s="4">
        <v>9</v>
      </c>
    </row>
    <row r="647">
      <c r="A647" s="5">
        <f>HYPERLINK("https://app-web.statementrec.com/app#appuploadfiles/3a00ca5f-ab5e-c8e1-9246-12afa8bea231","Diana Higgins")</f>
      </c>
      <c r="B647" s="3" t="s">
        <v>15</v>
      </c>
      <c r="C647" s="4">
        <v>6</v>
      </c>
    </row>
    <row r="648">
      <c r="A648" s="5">
        <f>HYPERLINK("https://app-web.statementrec.com/app#appuploadfiles/3a00cae3-bfac-e0bb-4876-f3057a1f64b8","Frontline")</f>
      </c>
      <c r="B648" s="3" t="s">
        <v>22</v>
      </c>
      <c r="C648" s="4">
        <v>8</v>
      </c>
    </row>
    <row r="649">
      <c r="A649" s="5">
        <f>HYPERLINK("https://app-web.statementrec.com/app#appuploadfiles/3a00f42b-5a90-7a75-8279-a12ad5265bc9","H071 - Messrs G, MA &amp; P Harker")</f>
      </c>
      <c r="B649" s="3" t="s">
        <v>18</v>
      </c>
      <c r="C649" s="4">
        <v>2</v>
      </c>
    </row>
    <row r="650">
      <c r="A650" s="5">
        <f>HYPERLINK("https://app-web.statementrec.com/app#appuploadfiles/3a013756-eb83-2534-63ec-e4f7b5de56ec","Cathal Burns")</f>
      </c>
      <c r="B650" s="3" t="s">
        <v>3</v>
      </c>
      <c r="C650" s="4">
        <v>21</v>
      </c>
    </row>
    <row r="651">
      <c r="A651" s="5">
        <f>HYPERLINK("https://app-web.statementrec.com/app#appuploadfiles/3a014652-db44-f8db-12af-e36c684f833f","Knightsbridge Properties (Bradford) Ltd")</f>
      </c>
      <c r="B651" s="3" t="s">
        <v>17</v>
      </c>
      <c r="C651" s="4">
        <v>3</v>
      </c>
    </row>
    <row r="652">
      <c r="A652" s="5">
        <f>HYPERLINK("https://app-web.statementrec.com/app#appuploadfiles/3a014ccb-64d1-83e0-64b7-ede35f9b157a","HANIYA LLC")</f>
      </c>
      <c r="B652" s="3" t="s">
        <v>162</v>
      </c>
      <c r="C652" s="4">
        <v>19</v>
      </c>
    </row>
    <row r="653">
      <c r="A653" s="5">
        <f>HYPERLINK("https://app-web.statementrec.com/app#appuploadfiles/3a015651-8fb2-aec1-3108-7715df560e67","310821")</f>
      </c>
      <c r="B653" s="3" t="s">
        <v>19</v>
      </c>
      <c r="C653" s="4">
        <v>49</v>
      </c>
    </row>
    <row r="654">
      <c r="A654" s="5">
        <f>HYPERLINK("https://app-web.statementrec.com/app#appuploadfiles/3a016042-0eab-3510-1fee-f491350ee043","Claire's Cakes")</f>
      </c>
      <c r="B654" s="3" t="s">
        <v>139</v>
      </c>
      <c r="C654" s="4">
        <v>4</v>
      </c>
    </row>
    <row r="655">
      <c r="A655" s="5">
        <f>HYPERLINK("https://app-web.statementrec.com/app#appuploadfiles/3a01616d-c8d5-9d2f-a917-2a3f55818ed5","B J's Autoshop Limited")</f>
      </c>
      <c r="B655" s="3" t="s">
        <v>29</v>
      </c>
      <c r="C655" s="4">
        <v>4</v>
      </c>
    </row>
    <row r="656">
      <c r="A656" s="5">
        <f>HYPERLINK("https://app-web.statementrec.com/app#appuploadfiles/3a0161b5-1e7c-d7c5-23c1-adaa9134ed6d","Helen Potter Bookkeeping Services")</f>
      </c>
      <c r="B656" s="3" t="s">
        <v>15</v>
      </c>
      <c r="C656" s="4">
        <v>2</v>
      </c>
    </row>
    <row r="657">
      <c r="A657" s="5">
        <f>HYPERLINK("https://app-web.statementrec.com/app#appuploadfiles/3a01663b-47df-d3b6-e474-d4be6eeed70b","Henry Royle Products")</f>
      </c>
      <c r="B657" s="3" t="s">
        <v>8</v>
      </c>
      <c r="C657" s="4">
        <v>3</v>
      </c>
    </row>
    <row r="658">
      <c r="A658" s="5">
        <f>HYPERLINK("https://app-web.statementrec.com/app#appuploadfiles/3a0179ed-1397-0dbf-90dc-d38198ed3548","Axis Events Limited")</f>
      </c>
      <c r="B658" s="3" t="s">
        <v>12</v>
      </c>
      <c r="C658" s="4">
        <v>20</v>
      </c>
    </row>
    <row r="659">
      <c r="A659" s="5">
        <f>HYPERLINK("https://app-web.statementrec.com/app#appuploadfiles/3a017e4b-63b2-5de1-2446-9ecd465e22b1","Steenkor Beleggings")</f>
      </c>
      <c r="B659" s="3" t="s">
        <v>38</v>
      </c>
      <c r="C659" s="4">
        <v>7</v>
      </c>
    </row>
    <row r="660">
      <c r="A660" s="5">
        <f>HYPERLINK("https://app-web.statementrec.com/app#appuploadfiles/3a01801b-8c77-d30c-429e-ed337a8606de","IARD US")</f>
      </c>
      <c r="B660" s="3" t="s">
        <v>196</v>
      </c>
      <c r="C660" s="4">
        <v>10</v>
      </c>
    </row>
    <row r="661">
      <c r="A661" s="5">
        <f>HYPERLINK("https://app-web.statementrec.com/app#appuploadfiles/3a0183e7-9027-f46a-512b-ec2bc61b13a3","LAKHVINDER SINGH KHERA")</f>
      </c>
      <c r="B661" s="3" t="s">
        <v>19</v>
      </c>
      <c r="C661" s="4">
        <v>250</v>
      </c>
    </row>
    <row r="662">
      <c r="A662" s="5">
        <f>HYPERLINK("https://app-web.statementrec.com/app#appuploadfiles/3a018b31-52f8-a507-5b21-b488834aaa63","The Start Up Shop")</f>
      </c>
      <c r="B662" s="3" t="s">
        <v>10</v>
      </c>
      <c r="C662" s="4">
        <v>5</v>
      </c>
    </row>
    <row r="663">
      <c r="A663" s="5">
        <f>HYPERLINK("https://app-web.statementrec.com/app#appuploadfiles/3a0190bb-d6a5-7b36-687f-7185270eb524","Iron Bridge")</f>
      </c>
      <c r="B663" s="3" t="s">
        <v>197</v>
      </c>
      <c r="C663" s="4">
        <v>19</v>
      </c>
    </row>
    <row r="664">
      <c r="A664" s="5">
        <f>HYPERLINK("https://app-web.statementrec.com/app#appuploadfiles/3a01a9b9-886f-ffb2-23c7-550457763c7b","Blades &amp; Beauty")</f>
      </c>
      <c r="B664" s="3" t="s">
        <v>21</v>
      </c>
      <c r="C664" s="4">
        <v>15</v>
      </c>
    </row>
    <row r="665">
      <c r="A665" s="5">
        <f>HYPERLINK("https://app-web.statementrec.com/app#appuploadfiles/3a01adcd-2595-f746-a62e-fdb1a1df2934","Biolevel")</f>
      </c>
      <c r="B665" s="3" t="s">
        <v>43</v>
      </c>
      <c r="C665" s="4">
        <v>2</v>
      </c>
    </row>
    <row r="666">
      <c r="A666" s="5">
        <f>HYPERLINK("https://app-web.statementrec.com/app#appuploadfiles/3a01ae21-4c56-ddcc-2ddd-f0ebc951457b","Marion Foy")</f>
      </c>
      <c r="B666" s="3" t="s">
        <v>19</v>
      </c>
      <c r="C666" s="4">
        <v>12</v>
      </c>
    </row>
    <row r="667">
      <c r="A667" s="5">
        <f>HYPERLINK("https://app-web.statementrec.com/app#appuploadfiles/3a01aebe-402b-3729-6e03-1fdb41a93570","Horace Hardy")</f>
      </c>
      <c r="B667" s="3" t="s">
        <v>17</v>
      </c>
      <c r="C667" s="4">
        <v>15</v>
      </c>
    </row>
    <row r="668">
      <c r="A668" s="5">
        <f>HYPERLINK("https://app-web.statementrec.com/app#appuploadfiles/3a01b833-9f2a-42f5-da08-f2bde91ad7db","Groupe Esprit de Corps inc.")</f>
      </c>
      <c r="B668" s="3" t="s">
        <v>198</v>
      </c>
      <c r="C668" s="4">
        <v>46</v>
      </c>
    </row>
    <row r="669">
      <c r="A669" s="5">
        <f>HYPERLINK("https://app-web.statementrec.com/app#appuploadfiles/3a01c77e-72ea-6946-55cf-1ddf0be6bf7a","Witter Developments Limited")</f>
      </c>
      <c r="B669" s="3" t="s">
        <v>17</v>
      </c>
      <c r="C669" s="4">
        <v>4</v>
      </c>
    </row>
    <row r="670">
      <c r="A670" s="5">
        <f>HYPERLINK("https://app-web.statementrec.com/app#appuploadfiles/3a01c81e-58a0-6163-c38a-2efd473f05a0","ADF International UK")</f>
      </c>
      <c r="B670" s="3" t="s">
        <v>24</v>
      </c>
      <c r="C670" s="4">
        <v>18</v>
      </c>
    </row>
    <row r="671">
      <c r="A671" s="5">
        <f>HYPERLINK("https://app-web.statementrec.com/app#appuploadfiles/3a01e224-685a-50db-9ef0-927e8727c0e0","saba Test")</f>
      </c>
      <c r="B671" s="3" t="s">
        <v>19</v>
      </c>
      <c r="C671" s="4">
        <v>4</v>
      </c>
    </row>
    <row r="672">
      <c r="A672" s="5">
        <f>HYPERLINK("https://app-web.statementrec.com/app#appuploadfiles/3a01e5b4-87c2-f9bb-a7f2-73c2e1e7a3f9","Louise Nicholas Donnelly")</f>
      </c>
      <c r="B672" s="3" t="s">
        <v>19</v>
      </c>
      <c r="C672" s="4">
        <v>12</v>
      </c>
    </row>
    <row r="673">
      <c r="A673" s="5">
        <f>HYPERLINK("https://app-web.statementrec.com/app#appuploadfiles/3a01e6ac-1b41-43dc-6cbf-f169c97738e1","Anyblock Analytics GmbH")</f>
      </c>
      <c r="B673" s="3" t="s">
        <v>199</v>
      </c>
      <c r="C673" s="4">
        <v>9</v>
      </c>
    </row>
    <row r="674">
      <c r="A674" s="5">
        <f>HYPERLINK("https://app-web.statementrec.com/app#appuploadfiles/3a01e789-26b0-664c-24e2-986e08568163","STUDIO FOR DIGITAL GROWTH LTD")</f>
      </c>
      <c r="B674" s="3" t="s">
        <v>200</v>
      </c>
      <c r="C674" s="4">
        <v>13</v>
      </c>
    </row>
    <row r="675">
      <c r="A675" s="5">
        <f>HYPERLINK("https://app-web.statementrec.com/app#appuploadfiles/3a01eb0e-7105-f5c5-6249-9345f311ab95","SANTA BRAVA LTD")</f>
      </c>
      <c r="B675" s="3" t="s">
        <v>40</v>
      </c>
      <c r="C675" s="4">
        <v>4</v>
      </c>
    </row>
    <row r="676">
      <c r="A676" s="5">
        <f>HYPERLINK("https://app-web.statementrec.com/app#appuploadfiles/3a01ebb6-d265-53ac-202b-fa911c2730b4","The Ofenheim Charitable Trust")</f>
      </c>
      <c r="B676" s="3" t="s">
        <v>123</v>
      </c>
      <c r="C676" s="4">
        <v>2</v>
      </c>
    </row>
    <row r="677">
      <c r="A677" s="5">
        <f>HYPERLINK("https://app-web.statementrec.com/app#appuploadfiles/3a01ebdc-abf4-0cf3-8402-9bba11c24c37","CJM Tile")</f>
      </c>
      <c r="B677" s="3" t="s">
        <v>12</v>
      </c>
      <c r="C677" s="4">
        <v>9</v>
      </c>
    </row>
    <row r="678">
      <c r="A678" s="5">
        <f>HYPERLINK("https://app-web.statementrec.com/app#appuploadfiles/3a01ec1a-ed40-8af0-1d2f-51af2f9a30bb","Alice's Studio Limited")</f>
      </c>
      <c r="B678" s="3" t="s">
        <v>17</v>
      </c>
      <c r="C678" s="4">
        <v>26</v>
      </c>
    </row>
    <row r="679">
      <c r="A679" s="5">
        <f>HYPERLINK("https://app-web.statementrec.com/app#appuploadfiles/3a01ed59-20e1-dfa1-3af6-3e44cb9387e9","SHORE Centre")</f>
      </c>
      <c r="B679" s="3" t="s">
        <v>201</v>
      </c>
      <c r="C679" s="4">
        <v>8</v>
      </c>
    </row>
    <row r="680">
      <c r="A680" s="5">
        <f>HYPERLINK("https://app-web.statementrec.com/app#appuploadfiles/3a01f735-76bb-03b8-1c7e-ddfd12a2697f","2367141 Ontario Inc")</f>
      </c>
      <c r="B680" s="3" t="s">
        <v>158</v>
      </c>
      <c r="C680" s="4">
        <v>67</v>
      </c>
    </row>
    <row r="681">
      <c r="A681" s="5">
        <f>HYPERLINK("https://app-web.statementrec.com/app#appuploadfiles/3a01faaa-b885-95fb-ae75-c07fdb7b2989","Pavol Fialek")</f>
      </c>
      <c r="B681" s="3" t="s">
        <v>40</v>
      </c>
      <c r="C681" s="4">
        <v>2</v>
      </c>
    </row>
    <row r="682">
      <c r="A682" s="5">
        <f>HYPERLINK("https://app-web.statementrec.com/app#appuploadfiles/3a020921-417e-9b4b-e20e-7b5b3aba6665","ASJ Services")</f>
      </c>
      <c r="B682" s="3" t="s">
        <v>80</v>
      </c>
      <c r="C682" s="4">
        <v>8</v>
      </c>
    </row>
    <row r="683">
      <c r="A683" s="5">
        <f>HYPERLINK("https://app-web.statementrec.com/app#appuploadfiles/3a020e70-8c31-83d2-34ae-be10016e0d73","Christelis Consulting CC")</f>
      </c>
      <c r="B683" s="3" t="s">
        <v>10</v>
      </c>
      <c r="C683" s="4">
        <v>4</v>
      </c>
    </row>
    <row r="684">
      <c r="A684" s="5">
        <f>HYPERLINK("https://app-web.statementrec.com/app#appuploadfiles/3a020f2f-0e2c-b0de-ec25-3c02400c48ab","Quadrant Surveyors Limited")</f>
      </c>
      <c r="B684" s="3" t="s">
        <v>12</v>
      </c>
      <c r="C684" s="4">
        <v>4</v>
      </c>
    </row>
    <row r="685">
      <c r="A685" s="5">
        <f>HYPERLINK("https://app-web.statementrec.com/app#appuploadfiles/3a021520-77f8-19d2-cbac-929cdb07fab2","Keanes")</f>
      </c>
      <c r="B685" s="3" t="s">
        <v>21</v>
      </c>
      <c r="C685" s="4">
        <v>32</v>
      </c>
    </row>
    <row r="686">
      <c r="A686" s="5">
        <f>HYPERLINK("https://app-web.statementrec.com/app#appuploadfiles/3a0216f3-af62-1dc9-ccca-5cd583695572","Canco146 Oliver")</f>
      </c>
      <c r="B686" s="3" t="s">
        <v>202</v>
      </c>
      <c r="C686" s="4">
        <v>12</v>
      </c>
    </row>
    <row r="687">
      <c r="A687" s="5">
        <f>HYPERLINK("https://app-web.statementrec.com/app#appuploadfiles/3a021aa1-514c-e52c-0608-419aeeaefd82","Mimi Corporation Limited")</f>
      </c>
      <c r="B687" s="3" t="s">
        <v>19</v>
      </c>
      <c r="C687" s="4">
        <v>16</v>
      </c>
    </row>
    <row r="688">
      <c r="A688" s="5">
        <f>HYPERLINK("https://app-web.statementrec.com/app#appuploadfiles/3a021dfb-6991-3224-2c4a-6cb87249fb43","Cordex Hire")</f>
      </c>
      <c r="B688" s="3" t="s">
        <v>43</v>
      </c>
      <c r="C688" s="4">
        <v>8</v>
      </c>
    </row>
    <row r="689">
      <c r="A689" s="5">
        <f>HYPERLINK("https://app-web.statementrec.com/app#appuploadfiles/3a021f0d-7d8b-84c9-ee2c-2259e4a2452b","BLAIR COURT SERVICE")</f>
      </c>
      <c r="B689" s="3" t="s">
        <v>15</v>
      </c>
      <c r="C689" s="4">
        <v>3</v>
      </c>
    </row>
    <row r="690">
      <c r="A690" s="5">
        <f>HYPERLINK("https://app-web.statementrec.com/app#appuploadfiles/3a022dc2-0ec1-533e-c7e0-356a9c3b4d7d","The Langham Hotel")</f>
      </c>
      <c r="B690" s="3" t="s">
        <v>18</v>
      </c>
      <c r="C690" s="4">
        <v>71</v>
      </c>
    </row>
    <row r="691">
      <c r="A691" s="5">
        <f>HYPERLINK("https://app-web.statementrec.com/app#appuploadfiles/3a0233f5-d413-27c9-c408-37b2819fbbeb","Sentry Logistics Ltd")</f>
      </c>
      <c r="B691" s="3" t="s">
        <v>52</v>
      </c>
      <c r="C691" s="4">
        <v>10</v>
      </c>
    </row>
    <row r="692">
      <c r="A692" s="5">
        <f>HYPERLINK("https://app-web.statementrec.com/app#appuploadfiles/3a024374-ba07-3e11-bb61-fb6321820e0c","Britannia Roofing Limited")</f>
      </c>
      <c r="B692" s="3" t="s">
        <v>13</v>
      </c>
      <c r="C692" s="4">
        <v>4</v>
      </c>
    </row>
    <row r="693">
      <c r="A693" s="5">
        <f>HYPERLINK("https://app-web.statementrec.com/app#appuploadfiles/3a025a80-5067-0c2a-5f8e-00ba59201709","Nicki Colbran")</f>
      </c>
      <c r="B693" s="3" t="s">
        <v>203</v>
      </c>
      <c r="C693" s="4">
        <v>58</v>
      </c>
    </row>
    <row r="694">
      <c r="A694" s="5">
        <f>HYPERLINK("https://app-web.statementrec.com/app#appuploadfiles/3a025bfa-c991-978c-d637-fc13a630f17a","SAFEY")</f>
      </c>
      <c r="B694" s="3" t="s">
        <v>10</v>
      </c>
      <c r="C694" s="4">
        <v>2</v>
      </c>
    </row>
    <row r="695">
      <c r="A695" s="5">
        <f>HYPERLINK("https://app-web.statementrec.com/app#appuploadfiles/3a026941-5c4e-9395-b2a0-25d957ac0ff5","FLT Connections")</f>
      </c>
      <c r="B695" s="3" t="s">
        <v>181</v>
      </c>
      <c r="C695" s="4">
        <v>2</v>
      </c>
    </row>
    <row r="696">
      <c r="A696" s="5">
        <f>HYPERLINK("https://app-web.statementrec.com/app#appuploadfiles/3a027582-b93e-a8d9-622e-9f0005c8d8a6","Eloise Daniel")</f>
      </c>
      <c r="B696" s="3" t="s">
        <v>153</v>
      </c>
      <c r="C696" s="4">
        <v>7</v>
      </c>
    </row>
    <row r="697">
      <c r="A697" s="5">
        <f>HYPERLINK("https://app-web.statementrec.com/app#appuploadfiles/3a02774b-646d-4f86-f8c4-30f671c0d368","Ben Harte")</f>
      </c>
      <c r="B697" s="3" t="s">
        <v>11</v>
      </c>
      <c r="C697" s="4">
        <v>15</v>
      </c>
    </row>
    <row r="698">
      <c r="A698" s="5">
        <f>HYPERLINK("https://app-web.statementrec.com/app#appuploadfiles/3a027a42-47bd-8144-c4c1-3db7b2f0a6a4","Credit Cards")</f>
      </c>
      <c r="B698" s="3" t="s">
        <v>118</v>
      </c>
      <c r="C698" s="4">
        <v>11</v>
      </c>
    </row>
    <row r="699">
      <c r="A699" s="5">
        <f>HYPERLINK("https://app-web.statementrec.com/app#appuploadfiles/3a027acf-18b6-7c23-47aa-e05059cb64b3","Staffs Building Co Limited")</f>
      </c>
      <c r="B699" s="3" t="s">
        <v>12</v>
      </c>
      <c r="C699" s="4">
        <v>8</v>
      </c>
    </row>
    <row r="700">
      <c r="A700" s="5">
        <f>HYPERLINK("https://app-web.statementrec.com/app#appuploadfiles/3a027afb-d050-91d7-d7ec-bd8863d72652","Content 360")</f>
      </c>
      <c r="B700" s="3" t="s">
        <v>54</v>
      </c>
      <c r="C700" s="4">
        <v>42</v>
      </c>
    </row>
    <row r="701">
      <c r="A701" s="5">
        <f>HYPERLINK("https://app-web.statementrec.com/app#appuploadfiles/3a027c02-35eb-ca1c-8c41-ba0f8d952c3b","THE CAR BUYERZ (NORTH) LIMITED")</f>
      </c>
      <c r="B701" s="3" t="s">
        <v>204</v>
      </c>
      <c r="C701" s="4">
        <v>10</v>
      </c>
    </row>
    <row r="702">
      <c r="A702" s="5">
        <f>HYPERLINK("https://app-web.statementrec.com/app#appuploadfiles/3a028586-25b6-750c-ac8d-134ea54a38bd","Valemint Ltd")</f>
      </c>
      <c r="B702" s="3" t="s">
        <v>15</v>
      </c>
      <c r="C702" s="4">
        <v>8</v>
      </c>
    </row>
    <row r="703">
      <c r="A703" s="5">
        <f>HYPERLINK("https://app-web.statementrec.com/app#appuploadfiles/3a028b7a-442c-1e0a-1a38-2f3073d407fb","Barmouth Rock Shop Ltd")</f>
      </c>
      <c r="B703" s="3" t="s">
        <v>12</v>
      </c>
      <c r="C703" s="4">
        <v>20</v>
      </c>
    </row>
    <row r="704">
      <c r="A704" s="5">
        <f>HYPERLINK("https://app-web.statementrec.com/app#appuploadfiles/3a028bb7-f06c-5d11-318b-1414f1fca81f","Red Dolphin Consultants Ltd")</f>
      </c>
      <c r="B704" s="3" t="s">
        <v>17</v>
      </c>
      <c r="C704" s="4">
        <v>20</v>
      </c>
    </row>
    <row r="705">
      <c r="A705" s="5">
        <f>HYPERLINK("https://app-web.statementrec.com/app#appuploadfiles/3a028c89-474b-cfa8-1ab2-ba45c14391cc","PG")</f>
      </c>
      <c r="B705" s="3" t="s">
        <v>3</v>
      </c>
      <c r="C705" s="4">
        <v>57</v>
      </c>
    </row>
    <row r="706">
      <c r="A706" s="5">
        <f>HYPERLINK("https://app-web.statementrec.com/app#appuploadfiles/3a0299d2-9b0f-5454-46c8-07e4620a0832","A &amp; GE Solutions Limited")</f>
      </c>
      <c r="B706" s="3" t="s">
        <v>70</v>
      </c>
      <c r="C706" s="4">
        <v>1</v>
      </c>
    </row>
    <row r="707">
      <c r="A707" s="5">
        <f>HYPERLINK("https://app-web.statementrec.com/app#appuploadfiles/3a02aaab-e718-4d54-c178-74f55073ab25","Joch Innovations Ltd")</f>
      </c>
      <c r="B707" s="3" t="s">
        <v>26</v>
      </c>
      <c r="C707" s="4">
        <v>4</v>
      </c>
    </row>
    <row r="708">
      <c r="A708" s="5">
        <f>HYPERLINK("https://app-web.statementrec.com/app#appuploadfiles/3a02afe7-7687-889f-dcd7-c964d4641aea","10 Hours Labs Inc")</f>
      </c>
      <c r="B708" s="3" t="s">
        <v>43</v>
      </c>
      <c r="C708" s="4">
        <v>1</v>
      </c>
    </row>
    <row r="709">
      <c r="A709" s="5">
        <f>HYPERLINK("https://app-web.statementrec.com/app#appuploadfiles/3a02c389-dbd0-c4f0-3b6a-b15155425c10","Integra-flame Ltd")</f>
      </c>
      <c r="B709" s="3" t="s">
        <v>3</v>
      </c>
      <c r="C709" s="4">
        <v>7</v>
      </c>
    </row>
    <row r="710">
      <c r="A710" s="5">
        <f>HYPERLINK("https://app-web.statementrec.com/app#appuploadfiles/3a02d27a-d788-a484-0956-f78b8666984c","JCW Quality Used Cars")</f>
      </c>
      <c r="B710" s="3" t="s">
        <v>12</v>
      </c>
      <c r="C710" s="4">
        <v>7</v>
      </c>
    </row>
    <row r="711">
      <c r="A711" s="5">
        <f>HYPERLINK("https://app-web.statementrec.com/app#appuploadfiles/3a02d2ab-bb9b-1c8c-2131-5bdd1b08dfb3","SEARCH MARKETING SUCCESS LIMITED")</f>
      </c>
      <c r="B711" s="3" t="s">
        <v>11</v>
      </c>
      <c r="C711" s="4">
        <v>5</v>
      </c>
    </row>
    <row r="712">
      <c r="A712" s="5">
        <f>HYPERLINK("https://app-web.statementrec.com/app#appuploadfiles/3a02d2f8-3068-6236-adbc-1b59f0a8d471","HW23568 - Merpas (UK) Limited")</f>
      </c>
      <c r="B712" s="3" t="s">
        <v>205</v>
      </c>
      <c r="C712" s="4">
        <v>26</v>
      </c>
    </row>
    <row r="713">
      <c r="A713" s="5">
        <f>HYPERLINK("https://app-web.statementrec.com/app#appuploadfiles/3a02d3ca-5746-971a-f642-bd575c811368","Ad Media Consulting Limited")</f>
      </c>
      <c r="B713" s="3" t="s">
        <v>15</v>
      </c>
      <c r="C713" s="4">
        <v>9</v>
      </c>
    </row>
    <row r="714">
      <c r="A714" s="5">
        <f>HYPERLINK("https://app-web.statementrec.com/app#appuploadfiles/3a02e21b-30f5-0697-36b2-ebc68ef736c4","Mrs RHW McMullen's Settlement on Susan Simpson")</f>
      </c>
      <c r="B714" s="3" t="s">
        <v>81</v>
      </c>
      <c r="C714" s="4">
        <v>2</v>
      </c>
    </row>
    <row r="715">
      <c r="A715" s="5">
        <f>HYPERLINK("https://app-web.statementrec.com/app#appuploadfiles/3a02e2dd-5831-c326-13a3-176061540559","Imperium Syndicate Ltd")</f>
      </c>
      <c r="B715" s="3" t="s">
        <v>89</v>
      </c>
      <c r="C715" s="4">
        <v>16</v>
      </c>
    </row>
    <row r="716">
      <c r="A716" s="5">
        <f>HYPERLINK("https://app-web.statementrec.com/app#appuploadfiles/3a02e32b-3345-b16b-3859-2188afbc09ab","Kardel Health Limited")</f>
      </c>
      <c r="B716" s="3" t="s">
        <v>139</v>
      </c>
      <c r="C716" s="4">
        <v>6</v>
      </c>
    </row>
    <row r="717">
      <c r="A717" s="5">
        <f>HYPERLINK("https://app-web.statementrec.com/app#appuploadfiles/3a02e5d1-43d5-2330-3a00-936726788b53","Greencalm Pty Ltd")</f>
      </c>
      <c r="B717" s="3" t="s">
        <v>60</v>
      </c>
      <c r="C717" s="4">
        <v>3</v>
      </c>
    </row>
    <row r="718">
      <c r="A718" s="5">
        <f>HYPERLINK("https://app-web.statementrec.com/app#appuploadfiles/3a02ea8b-11a6-c860-f95a-ddcb2d6cd1d5","Sassano Interiors")</f>
      </c>
      <c r="B718" s="3" t="s">
        <v>206</v>
      </c>
      <c r="C718" s="4">
        <v>10</v>
      </c>
    </row>
    <row r="719">
      <c r="A719" s="5">
        <f>HYPERLINK("https://app-web.statementrec.com/app#appuploadfiles/3a02fc75-6371-69ef-9f80-b63677ffa9e7","CFS Consulting")</f>
      </c>
      <c r="B719" s="3" t="s">
        <v>181</v>
      </c>
      <c r="C719" s="4">
        <v>2</v>
      </c>
    </row>
    <row r="720">
      <c r="A720" s="5">
        <f>HYPERLINK("https://app-web.statementrec.com/app#appuploadfiles/3a031093-02ce-6f81-8643-e1fa64339a4a","Michelle")</f>
      </c>
      <c r="B720" s="3" t="s">
        <v>207</v>
      </c>
      <c r="C720" s="4">
        <v>30</v>
      </c>
    </row>
    <row r="721">
      <c r="A721" s="5">
        <f>HYPERLINK("https://app-web.statementrec.com/app#appuploadfiles/3a031bcf-7bd6-94fe-6e43-15ea32824626","Phoenix Project Management")</f>
      </c>
      <c r="B721" s="3" t="s">
        <v>17</v>
      </c>
      <c r="C721" s="4">
        <v>6</v>
      </c>
    </row>
    <row r="722">
      <c r="A722" s="5">
        <f>HYPERLINK("https://app-web.statementrec.com/app#appuploadfiles/3a03262b-8666-f3da-e5a1-c184113dcdea","Gurys Market")</f>
      </c>
      <c r="B722" s="3" t="s">
        <v>47</v>
      </c>
      <c r="C722" s="4">
        <v>22</v>
      </c>
    </row>
    <row r="723">
      <c r="A723" s="5">
        <f>HYPERLINK("https://app-web.statementrec.com/app#appuploadfiles/3a032f1d-f4d5-906a-7296-3f3d21cd1426","Newton WIll Writing Ltd")</f>
      </c>
      <c r="B723" s="3" t="s">
        <v>18</v>
      </c>
      <c r="C723" s="4">
        <v>38</v>
      </c>
    </row>
    <row r="724">
      <c r="A724" s="5">
        <f>HYPERLINK("https://app-web.statementrec.com/app#appuploadfiles/3a0334f1-89e1-2fe3-11d1-12ae3fc6efac","Neal Kelleher")</f>
      </c>
      <c r="B724" s="3" t="s">
        <v>75</v>
      </c>
      <c r="C724" s="4">
        <v>4</v>
      </c>
    </row>
    <row r="725">
      <c r="A725" s="5">
        <f>HYPERLINK("https://app-web.statementrec.com/app#appuploadfiles/3a033547-3cd6-6faf-3c36-8886d4ca04b2","Dr P Psychiatry Ltd")</f>
      </c>
      <c r="B725" s="3" t="s">
        <v>56</v>
      </c>
      <c r="C725" s="4">
        <v>2</v>
      </c>
    </row>
    <row r="726">
      <c r="A726" s="5">
        <f>HYPERLINK("https://app-web.statementrec.com/app#appuploadfiles/3a033611-1ce3-1562-1719-b006f649fe4f","AGIT")</f>
      </c>
      <c r="B726" s="3" t="s">
        <v>58</v>
      </c>
      <c r="C726" s="4">
        <v>4</v>
      </c>
    </row>
    <row r="727">
      <c r="A727" s="5">
        <f>HYPERLINK("https://app-web.statementrec.com/app#appuploadfiles/3a033933-317c-0812-15ab-75b3d295ec56","Lt.Col.R.P. McMullen's No1 Dis.Sett. Grd Child")</f>
      </c>
      <c r="B727" s="3" t="s">
        <v>3</v>
      </c>
      <c r="C727" s="4">
        <v>3</v>
      </c>
    </row>
    <row r="728">
      <c r="A728" s="5">
        <f>HYPERLINK("https://app-web.statementrec.com/app#appuploadfiles/3a033939-b80a-daa5-a731-6d5f12cfa6e6","Lt.Col.R.P. McMullen's No2. Dis Settl")</f>
      </c>
      <c r="B728" s="3" t="s">
        <v>81</v>
      </c>
      <c r="C728" s="4">
        <v>2</v>
      </c>
    </row>
    <row r="729">
      <c r="A729" s="5">
        <f>HYPERLINK("https://app-web.statementrec.com/app#appuploadfiles/3a0353a8-6b93-418a-fab1-1d2045644c36","WILDJAC LIMITED")</f>
      </c>
      <c r="B729" s="3" t="s">
        <v>17</v>
      </c>
      <c r="C729" s="4">
        <v>40</v>
      </c>
    </row>
    <row r="730">
      <c r="A730" s="5">
        <f>HYPERLINK("https://app-web.statementrec.com/app#appuploadfiles/3a03789e-91ac-0ec6-069d-1c17a5411ee8","AJ MOBILITY &amp; TRAINING SERVICES LIMITED")</f>
      </c>
      <c r="B730" s="3" t="s">
        <v>53</v>
      </c>
      <c r="C730" s="4">
        <v>217</v>
      </c>
    </row>
    <row r="731">
      <c r="A731" s="5">
        <f>HYPERLINK("https://app-web.statementrec.com/app#appuploadfiles/3a0378b9-1eae-eea5-b2a9-290eb30ec1fb","CHIBLE'S CONSTRUCTION")</f>
      </c>
      <c r="B731" s="3" t="s">
        <v>58</v>
      </c>
      <c r="C731" s="4">
        <v>137</v>
      </c>
    </row>
    <row r="732">
      <c r="A732" s="5">
        <f>HYPERLINK("https://app-web.statementrec.com/app#appuploadfiles/3a037bcf-cb1f-ae8f-5536-8077c3a0d31d","SNS Logistic Services")</f>
      </c>
      <c r="B732" s="3" t="s">
        <v>208</v>
      </c>
      <c r="C732" s="4">
        <v>15</v>
      </c>
    </row>
    <row r="733">
      <c r="A733" s="5">
        <f>HYPERLINK("https://app-web.statementrec.com/app#appuploadfiles/3a037c76-a913-e445-1683-f3aace20fe7d","09/03/2022 - 11/04/2022 Current Acc")</f>
      </c>
      <c r="B733" s="3" t="s">
        <v>209</v>
      </c>
      <c r="C733" s="4">
        <v>11</v>
      </c>
    </row>
    <row r="734">
      <c r="A734" s="5">
        <f>HYPERLINK("https://app-web.statementrec.com/app#appuploadfiles/3a037d02-b221-8fc2-0df1-0b2af388cf16","Moy Transport")</f>
      </c>
      <c r="B734" s="3" t="s">
        <v>21</v>
      </c>
      <c r="C734" s="4">
        <v>14</v>
      </c>
    </row>
    <row r="735">
      <c r="A735" s="5">
        <f>HYPERLINK("https://app-web.statementrec.com/app#appuploadfiles/3a037e03-237c-9a76-e53e-4246d2461cb5","4300")</f>
      </c>
      <c r="B735" s="3" t="s">
        <v>47</v>
      </c>
      <c r="C735" s="4">
        <v>5</v>
      </c>
    </row>
    <row r="736">
      <c r="A736" s="5">
        <f>HYPERLINK("https://app-web.statementrec.com/app#appuploadfiles/3a037e09-cfcd-9281-c9c4-8a62d390cb86","Westmoreland")</f>
      </c>
      <c r="B736" s="3" t="s">
        <v>75</v>
      </c>
      <c r="C736" s="4">
        <v>6</v>
      </c>
    </row>
    <row r="737">
      <c r="A737" s="5">
        <f>HYPERLINK("https://app-web.statementrec.com/app#appuploadfiles/3a037e0d-3b56-734e-ea47-e4d0997f7d85","3795 S St Andrews")</f>
      </c>
      <c r="B737" s="3" t="s">
        <v>47</v>
      </c>
      <c r="C737" s="4">
        <v>5</v>
      </c>
    </row>
    <row r="738">
      <c r="A738" s="5">
        <f>HYPERLINK("https://app-web.statementrec.com/app#appuploadfiles/3a037e0e-9c5f-7542-8500-f445fadf2710","1435 N Ave 47")</f>
      </c>
      <c r="B738" s="3" t="s">
        <v>16</v>
      </c>
      <c r="C738" s="4">
        <v>8</v>
      </c>
    </row>
    <row r="739">
      <c r="A739" s="5">
        <f>HYPERLINK("https://app-web.statementrec.com/app#appuploadfiles/3a0382b4-e90a-ebb1-1bba-0785dcbb2206","McCloskey Farms (Cool) Ltd")</f>
      </c>
      <c r="B739" s="3" t="s">
        <v>21</v>
      </c>
      <c r="C739" s="4">
        <v>10</v>
      </c>
    </row>
    <row r="740">
      <c r="A740" s="5">
        <f>HYPERLINK("https://app-web.statementrec.com/app#appuploadfiles/3a0382fd-4a03-5697-c41a-dcc667d339ac","Silver Publishing London Ltd")</f>
      </c>
      <c r="B740" s="3" t="s">
        <v>43</v>
      </c>
      <c r="C740" s="4">
        <v>3</v>
      </c>
    </row>
    <row r="741">
      <c r="A741" s="5">
        <f>HYPERLINK("https://app-web.statementrec.com/app#appuploadfiles/3a038811-157e-f581-40f5-ceed359bb7c0","American Express")</f>
      </c>
      <c r="B741" s="3" t="s">
        <v>210</v>
      </c>
      <c r="C741" s="4">
        <v>8</v>
      </c>
    </row>
    <row r="742">
      <c r="A742" s="5">
        <f>HYPERLINK("https://app-web.statementrec.com/app#appuploadfiles/3a039c05-6f2c-edd2-4144-0c4175816e0b","apr 22 ca")</f>
      </c>
      <c r="B742" s="3" t="s">
        <v>8</v>
      </c>
      <c r="C742" s="4">
        <v>7</v>
      </c>
    </row>
    <row r="743">
      <c r="A743" s="5">
        <f>HYPERLINK("https://app-web.statementrec.com/app#appuploadfiles/3a039c49-b6d5-9746-2417-2c4e53b62c8b","MXT Swim")</f>
      </c>
      <c r="B743" s="3" t="s">
        <v>84</v>
      </c>
      <c r="C743" s="4">
        <v>24</v>
      </c>
    </row>
    <row r="744">
      <c r="A744" s="5">
        <f>HYPERLINK("https://app-web.statementrec.com/app#appuploadfiles/3a03a048-57d2-7c36-0a94-bffdc5ef40de","Ramji Ltd")</f>
      </c>
      <c r="B744" s="3" t="s">
        <v>10</v>
      </c>
      <c r="C744" s="4">
        <v>16</v>
      </c>
    </row>
    <row r="745">
      <c r="A745" s="5">
        <f>HYPERLINK("https://app-web.statementrec.com/app#appuploadfiles/3a03a127-d49d-857e-86fd-7ce5bf08b93d","Polish")</f>
      </c>
      <c r="B745" s="3" t="s">
        <v>26</v>
      </c>
      <c r="C745" s="4">
        <v>1</v>
      </c>
    </row>
    <row r="746">
      <c r="A746" s="5">
        <f>HYPERLINK("https://app-web.statementrec.com/app#appuploadfiles/3a03a188-6308-f56c-810b-0aa116ae7b8f","Irish Lung Fibrosis Association")</f>
      </c>
      <c r="B746" s="3" t="s">
        <v>3</v>
      </c>
      <c r="C746" s="4">
        <v>3</v>
      </c>
    </row>
    <row r="747">
      <c r="A747" s="5">
        <f>HYPERLINK("https://app-web.statementrec.com/app#appuploadfiles/3a03a1db-82a1-7d2e-9783-1ecebc80ad30","Jonathan Hynes")</f>
      </c>
      <c r="B747" s="3" t="s">
        <v>56</v>
      </c>
      <c r="C747" s="4">
        <v>3</v>
      </c>
    </row>
    <row r="748">
      <c r="A748" s="5">
        <f>HYPERLINK("https://app-web.statementrec.com/app#appuploadfiles/3a03b4e6-5845-cdd3-3605-14512676b5e2","Secom Consulting")</f>
      </c>
      <c r="B748" s="3" t="s">
        <v>84</v>
      </c>
      <c r="C748" s="4">
        <v>22</v>
      </c>
    </row>
    <row r="749">
      <c r="A749" s="5">
        <f>HYPERLINK("https://app-web.statementrec.com/app#appuploadfiles/3a03bfa8-dc99-14e5-26c9-b323e3aa98dc","Manoj Badale")</f>
      </c>
      <c r="B749" s="3" t="s">
        <v>17</v>
      </c>
      <c r="C749" s="4">
        <v>21</v>
      </c>
    </row>
    <row r="750">
      <c r="A750" s="5">
        <f>HYPERLINK("https://app-web.statementrec.com/app#appuploadfiles/3a03bfaa-7f93-b3c0-02e1-e58dcac70038","Charles Mindenhall")</f>
      </c>
      <c r="B750" s="3" t="s">
        <v>211</v>
      </c>
      <c r="C750" s="4">
        <v>5</v>
      </c>
    </row>
    <row r="751">
      <c r="A751" s="5">
        <f>HYPERLINK("https://app-web.statementrec.com/app#appuploadfiles/3a03c0b6-592a-5c99-c1bd-da8f73eb0dd1","East Lothian Fire Extinguishers")</f>
      </c>
      <c r="B751" s="3" t="s">
        <v>13</v>
      </c>
      <c r="C751" s="4">
        <v>6</v>
      </c>
    </row>
    <row r="752">
      <c r="A752" s="5">
        <f>HYPERLINK("https://app-web.statementrec.com/app#appuploadfiles/3a03c402-80ef-f74e-0469-e8cc13928647","Intercadfan Limited")</f>
      </c>
      <c r="B752" s="3" t="s">
        <v>18</v>
      </c>
      <c r="C752" s="4">
        <v>26</v>
      </c>
    </row>
    <row r="753">
      <c r="A753" s="5">
        <f>HYPERLINK("https://app-web.statementrec.com/app#appuploadfiles/3a03c557-5915-0e6f-ed49-f564e04e6426","Greenwood Spirits Limited")</f>
      </c>
      <c r="B753" s="3" t="s">
        <v>13</v>
      </c>
      <c r="C753" s="4">
        <v>6</v>
      </c>
    </row>
    <row r="754">
      <c r="A754" s="5">
        <f>HYPERLINK("https://app-web.statementrec.com/app#appuploadfiles/3a03c594-236b-e1d0-c42e-c2c208252ad9","Greenwood Distillers Limited")</f>
      </c>
      <c r="B754" s="3" t="s">
        <v>18</v>
      </c>
      <c r="C754" s="4">
        <v>2</v>
      </c>
    </row>
    <row r="755">
      <c r="A755" s="5">
        <f>HYPERLINK("https://app-web.statementrec.com/app#appuploadfiles/3a03c5b9-b872-5dfa-e0f0-62432a5a1e65","Miss B R Moloughney")</f>
      </c>
      <c r="B755" s="3" t="s">
        <v>19</v>
      </c>
      <c r="C755" s="4">
        <v>4</v>
      </c>
    </row>
    <row r="756">
      <c r="A756" s="5">
        <f>HYPERLINK("https://app-web.statementrec.com/app#appuploadfiles/3a03c9ea-2c71-de2b-bd9f-ec7958099a41","P1881 A Povey &amp; Son")</f>
      </c>
      <c r="B756" s="3" t="s">
        <v>212</v>
      </c>
      <c r="C756" s="4">
        <v>12</v>
      </c>
    </row>
    <row r="757">
      <c r="A757" s="5">
        <f>HYPERLINK("https://app-web.statementrec.com/app#appuploadfiles/3a03cf34-b15b-6fff-a62d-d79b3db647f9","LakeWood Drive Property Management Ltd")</f>
      </c>
      <c r="B757" s="3" t="s">
        <v>84</v>
      </c>
      <c r="C757" s="4">
        <v>15</v>
      </c>
    </row>
    <row r="758">
      <c r="A758" s="5">
        <f>HYPERLINK("https://app-web.statementrec.com/app#appuploadfiles/3a03d052-f714-22ab-9045-b40a8782ae87","Quarrylands Capital Limited")</f>
      </c>
      <c r="B758" s="3" t="s">
        <v>3</v>
      </c>
      <c r="C758" s="4">
        <v>5</v>
      </c>
    </row>
    <row r="759">
      <c r="A759" s="5">
        <f>HYPERLINK("https://app-web.statementrec.com/app#appuploadfiles/3a03d878-db40-b362-e2f1-b9ade678a4a5","Pluto Distributions")</f>
      </c>
      <c r="B759" s="3" t="s">
        <v>213</v>
      </c>
      <c r="C759" s="4">
        <v>24</v>
      </c>
    </row>
    <row r="760">
      <c r="A760" s="5">
        <f>HYPERLINK("https://app-web.statementrec.com/app#appuploadfiles/3a03df2b-dee5-b2cc-320e-dfa7123b7bfb","Xargle Limited")</f>
      </c>
      <c r="B760" s="3" t="s">
        <v>12</v>
      </c>
      <c r="C760" s="4">
        <v>3</v>
      </c>
    </row>
    <row r="761">
      <c r="A761" s="5">
        <f>HYPERLINK("https://app-web.statementrec.com/app#appuploadfiles/3a03df9d-3705-9890-87a0-b06121268120","Green and Scammell")</f>
      </c>
      <c r="B761" s="3" t="s">
        <v>15</v>
      </c>
      <c r="C761" s="4">
        <v>3</v>
      </c>
    </row>
    <row r="762">
      <c r="A762" s="5">
        <f>HYPERLINK("https://app-web.statementrec.com/app#appuploadfiles/3a03e092-400a-0592-5cd8-727e6e0a901a","K K Bassi Consultancy")</f>
      </c>
      <c r="B762" s="3" t="s">
        <v>17</v>
      </c>
      <c r="C762" s="4">
        <v>5</v>
      </c>
    </row>
    <row r="763">
      <c r="A763" s="5">
        <f>HYPERLINK("https://app-web.statementrec.com/app#appuploadfiles/3a03e486-d472-9776-5b16-0204afafeb27","acepharm")</f>
      </c>
      <c r="B763" s="3" t="s">
        <v>3</v>
      </c>
      <c r="C763" s="4">
        <v>12</v>
      </c>
    </row>
    <row r="764">
      <c r="A764" s="5">
        <f>HYPERLINK("https://app-web.statementrec.com/app#appuploadfiles/3a03e493-167c-1d90-922b-61b1e2df33e0","Fluid Codes Limited")</f>
      </c>
      <c r="B764" s="3" t="s">
        <v>13</v>
      </c>
      <c r="C764" s="4">
        <v>12</v>
      </c>
    </row>
    <row r="765">
      <c r="A765" s="5">
        <f>HYPERLINK("https://app-web.statementrec.com/app#appuploadfiles/3a03e772-6e74-4879-6ca9-a16e8a7a9b6d","The Pole-Barnaby Family Trust")</f>
      </c>
      <c r="B765" s="3" t="s">
        <v>214</v>
      </c>
      <c r="C765" s="4">
        <v>4</v>
      </c>
    </row>
    <row r="766">
      <c r="A766" s="5">
        <f>HYPERLINK("https://app-web.statementrec.com/app#appuploadfiles/3a03e890-1391-9321-b777-3a4c03b87132","Salt Edinburgh Limited")</f>
      </c>
      <c r="B766" s="3" t="s">
        <v>215</v>
      </c>
      <c r="C766" s="4">
        <v>4</v>
      </c>
    </row>
    <row r="767">
      <c r="A767" s="5">
        <f>HYPERLINK("https://app-web.statementrec.com/app#appuploadfiles/3a03e979-35e9-983e-678d-2f67b17b1916","Pat O Regan")</f>
      </c>
      <c r="B767" s="3" t="s">
        <v>10</v>
      </c>
      <c r="C767" s="4">
        <v>12</v>
      </c>
    </row>
    <row r="768">
      <c r="A768" s="5">
        <f>HYPERLINK("https://app-web.statementrec.com/app#appuploadfiles/3a03ef25-02d6-bbb7-5314-262c7e43e02e","River Valley Construction Services Ltd.")</f>
      </c>
      <c r="B768" s="3" t="s">
        <v>216</v>
      </c>
      <c r="C768" s="4">
        <v>11</v>
      </c>
    </row>
    <row r="769">
      <c r="A769" s="5">
        <f>HYPERLINK("https://app-web.statementrec.com/app#appuploadfiles/3a03eff3-2289-4534-fbb1-d5c60eef9c72","Bluebird Building Services Corp")</f>
      </c>
      <c r="B769" s="3" t="s">
        <v>217</v>
      </c>
      <c r="C769" s="4">
        <v>6</v>
      </c>
    </row>
    <row r="770">
      <c r="A770" s="5">
        <f>HYPERLINK("https://app-web.statementrec.com/app#appuploadfiles/3a040072-a57e-bced-691d-f009f444bdcf","Receipt-Books Bookkeeping &amp; Payroll")</f>
      </c>
      <c r="B770" s="3" t="s">
        <v>13</v>
      </c>
      <c r="C770" s="4">
        <v>8</v>
      </c>
    </row>
    <row r="771">
      <c r="A771" s="5">
        <f>HYPERLINK("https://app-web.statementrec.com/app#appuploadfiles/3a04029b-346e-fd99-8f46-3a85ddb089a1","Lt Col. R.P. McMullen No.3 Dist. Sett.")</f>
      </c>
      <c r="B771" s="3" t="s">
        <v>81</v>
      </c>
      <c r="C771" s="4">
        <v>2</v>
      </c>
    </row>
    <row r="772">
      <c r="A772" s="5">
        <f>HYPERLINK("https://app-web.statementrec.com/app#appuploadfiles/3a0402a1-e196-9fef-b1f5-1103f2943dcd","Morrotec Limited")</f>
      </c>
      <c r="B772" s="3" t="s">
        <v>13</v>
      </c>
      <c r="C772" s="4">
        <v>12</v>
      </c>
    </row>
    <row r="773">
      <c r="A773" s="5">
        <f>HYPERLINK("https://app-web.statementrec.com/app#appuploadfiles/3a04038d-f38d-fec2-9f99-74bfe4546fb9","McCartan Bros")</f>
      </c>
      <c r="B773" s="3" t="s">
        <v>3</v>
      </c>
      <c r="C773" s="4">
        <v>7</v>
      </c>
    </row>
    <row r="774">
      <c r="A774" s="5">
        <f>HYPERLINK("https://app-web.statementrec.com/app#appuploadfiles/3a040cbe-8183-6ae8-ca56-3c49f935334b","E W Williams")</f>
      </c>
      <c r="B774" s="3" t="s">
        <v>12</v>
      </c>
      <c r="C774" s="4">
        <v>2</v>
      </c>
    </row>
    <row r="775">
      <c r="A775" s="5">
        <f>HYPERLINK("https://app-web.statementrec.com/app#appuploadfiles/3a040dc5-9af3-dfd8-e649-6e6280212625","KEY PROFESSIONAL PARTNERSHIP LTD")</f>
      </c>
      <c r="B775" s="3" t="s">
        <v>11</v>
      </c>
      <c r="C775" s="4">
        <v>80</v>
      </c>
    </row>
    <row r="776">
      <c r="A776" s="5">
        <f>HYPERLINK("https://app-web.statementrec.com/app#appuploadfiles/3a040e1b-5a0f-901f-f6b2-87f6c61af79a","Anna Campbell Jan to Mar")</f>
      </c>
      <c r="B776" s="3" t="s">
        <v>11</v>
      </c>
      <c r="C776" s="4">
        <v>114</v>
      </c>
    </row>
    <row r="777">
      <c r="A777" s="5">
        <f>HYPERLINK("https://app-web.statementrec.com/app#appuploadfiles/3a04132a-3694-5567-fd8f-acbaab43e802","B1176 - Joe Brierley")</f>
      </c>
      <c r="B777" s="3" t="s">
        <v>12</v>
      </c>
      <c r="C777" s="4">
        <v>12</v>
      </c>
    </row>
    <row r="778">
      <c r="A778" s="5">
        <f>HYPERLINK("https://app-web.statementrec.com/app#appuploadfiles/3a0416fa-2b3d-6a59-0354-0c300fed731e","so sweet bude")</f>
      </c>
      <c r="B778" s="3" t="s">
        <v>17</v>
      </c>
      <c r="C778" s="4">
        <v>4</v>
      </c>
    </row>
    <row r="779">
      <c r="A779" s="5">
        <f>HYPERLINK("https://app-web.statementrec.com/app#appuploadfiles/3a04170d-b9c9-1552-b5b4-dbf8262ae2e8","So Sweet Candy Store")</f>
      </c>
      <c r="B779" s="3" t="s">
        <v>17</v>
      </c>
      <c r="C779" s="4">
        <v>3</v>
      </c>
    </row>
    <row r="780">
      <c r="A780" s="5">
        <f>HYPERLINK("https://app-web.statementrec.com/app#appuploadfiles/3a041735-7058-6dba-3499-a9769826c2b1","Mattersmith")</f>
      </c>
      <c r="B780" s="3" t="s">
        <v>81</v>
      </c>
      <c r="C780" s="4">
        <v>6</v>
      </c>
    </row>
    <row r="781">
      <c r="A781" s="5">
        <f>HYPERLINK("https://app-web.statementrec.com/app#appuploadfiles/3a041766-8347-dbb7-27a6-0a864a537067","Wellington Pension Fund")</f>
      </c>
      <c r="B781" s="3" t="s">
        <v>12</v>
      </c>
      <c r="C781" s="4">
        <v>4</v>
      </c>
    </row>
    <row r="782">
      <c r="A782" s="5">
        <f>HYPERLINK("https://app-web.statementrec.com/app#appuploadfiles/3a041768-a457-f6eb-70c2-b9f627a26fea","Wellington Business &amp; Property Consultants Ltd")</f>
      </c>
      <c r="B782" s="3" t="s">
        <v>12</v>
      </c>
      <c r="C782" s="4">
        <v>4</v>
      </c>
    </row>
    <row r="783">
      <c r="A783" s="5">
        <f>HYPERLINK("https://app-web.statementrec.com/app#appuploadfiles/3a04180c-2b44-238a-c5c0-3af04c77e473","Treltec Ltd")</f>
      </c>
      <c r="B783" s="3" t="s">
        <v>11</v>
      </c>
      <c r="C783" s="4">
        <v>2</v>
      </c>
    </row>
    <row r="784">
      <c r="A784" s="5">
        <f>HYPERLINK("https://app-web.statementrec.com/app#appuploadfiles/3a041940-f271-ae54-0c32-f544676315de","VM La Sultana")</f>
      </c>
      <c r="B784" s="3" t="s">
        <v>218</v>
      </c>
      <c r="C784" s="4">
        <v>96</v>
      </c>
    </row>
    <row r="785">
      <c r="A785" s="5">
        <f>HYPERLINK("https://app-web.statementrec.com/app#appuploadfiles/3a04227c-4615-9047-f94c-30c8c21cc62a","Kakanyo Business Solutions")</f>
      </c>
      <c r="B785" s="3" t="s">
        <v>219</v>
      </c>
      <c r="C785" s="4">
        <v>14</v>
      </c>
    </row>
    <row r="786">
      <c r="A786" s="5">
        <f>HYPERLINK("https://app-web.statementrec.com/app#appuploadfiles/3a0422a9-40a1-56a6-d7fd-961f439a082d","Rejuvenate Medical Clinic Ltd")</f>
      </c>
      <c r="B786" s="3" t="s">
        <v>220</v>
      </c>
      <c r="C786" s="4">
        <v>6</v>
      </c>
    </row>
    <row r="787">
      <c r="A787" s="5">
        <f>HYPERLINK("https://app-web.statementrec.com/app#appuploadfiles/3a042560-6d9f-f051-f348-d55229eb9d3b","Team I am Love")</f>
      </c>
      <c r="B787" s="3" t="s">
        <v>221</v>
      </c>
      <c r="C787" s="4">
        <v>13</v>
      </c>
    </row>
    <row r="788">
      <c r="A788" s="5">
        <f>HYPERLINK("https://app-web.statementrec.com/app#appuploadfiles/3a0426da-0a7d-dc33-e015-175713b9c809","GCRE Limited")</f>
      </c>
      <c r="B788" s="3" t="s">
        <v>222</v>
      </c>
      <c r="C788" s="4">
        <v>6</v>
      </c>
    </row>
    <row r="789">
      <c r="A789" s="5">
        <f>HYPERLINK("https://app-web.statementrec.com/app#appuploadfiles/3a0427cf-801d-e10f-23e8-b9ad50c5bd1c","TEDDY TASTIC BEAR CO LTD")</f>
      </c>
      <c r="B789" s="3" t="s">
        <v>17</v>
      </c>
      <c r="C789" s="4">
        <v>7</v>
      </c>
    </row>
    <row r="790">
      <c r="A790" s="5">
        <f>HYPERLINK("https://app-web.statementrec.com/app#appuploadfiles/3a042b80-27f7-2eae-e774-89f107e7bd5d","Kai Wells")</f>
      </c>
      <c r="B790" s="3" t="s">
        <v>12</v>
      </c>
      <c r="C790" s="4">
        <v>21</v>
      </c>
    </row>
    <row r="791">
      <c r="A791" s="5">
        <f>HYPERLINK("https://app-web.statementrec.com/app#appuploadfiles/3a042bd3-b978-8f3a-0c49-5dac048b9e1e","London Plumbing and Heating")</f>
      </c>
      <c r="B791" s="3" t="s">
        <v>17</v>
      </c>
      <c r="C791" s="4">
        <v>4</v>
      </c>
    </row>
    <row r="792">
      <c r="A792" s="5">
        <f>HYPERLINK("https://app-web.statementrec.com/app#appuploadfiles/3a042cf0-fd04-2d32-1a8f-044b6c299753","")</f>
      </c>
      <c r="B792" s="3" t="s">
        <v>11</v>
      </c>
      <c r="C792" s="4">
        <v>489</v>
      </c>
    </row>
    <row r="793">
      <c r="A793" s="5">
        <f>HYPERLINK("https://app-web.statementrec.com/app#appuploadfiles/3a043aa0-d2a4-f0ae-5874-80619e288381","Admiral Residential Property Management Ltd.")</f>
      </c>
      <c r="B793" s="3" t="s">
        <v>17</v>
      </c>
      <c r="C793" s="4">
        <v>60</v>
      </c>
    </row>
    <row r="794">
      <c r="A794" s="5">
        <f>HYPERLINK("https://app-web.statementrec.com/app#appuploadfiles/3a043b89-6237-8b05-b40f-ccabb87a55cb","JDNE Bookkeeping &amp; Consulting CC")</f>
      </c>
      <c r="B794" s="3" t="s">
        <v>80</v>
      </c>
      <c r="C794" s="4">
        <v>52</v>
      </c>
    </row>
    <row r="795">
      <c r="A795" s="5">
        <f>HYPERLINK("https://app-web.statementrec.com/app#appuploadfiles/3a043bdc-d90c-43f3-4d5f-5db6aedf8d09","Sakhela Inc")</f>
      </c>
      <c r="B795" s="3" t="s">
        <v>80</v>
      </c>
      <c r="C795" s="4">
        <v>22</v>
      </c>
    </row>
    <row r="796">
      <c r="A796" s="5">
        <f>HYPERLINK("https://app-web.statementrec.com/app#appuploadfiles/3a044a8f-dee2-dec9-faaa-af67ef9a5dfb","Takoma Estates (UK)")</f>
      </c>
      <c r="B796" s="3" t="s">
        <v>223</v>
      </c>
      <c r="C796" s="4">
        <v>2</v>
      </c>
    </row>
    <row r="797">
      <c r="A797" s="5">
        <f>HYPERLINK("https://app-web.statementrec.com/app#appuploadfiles/3a044a9b-dbb5-1c00-7dc8-154816d6476b","A&amp;O Hostel and Hotel Edinburgh Ltd")</f>
      </c>
      <c r="B797" s="3" t="s">
        <v>224</v>
      </c>
      <c r="C797" s="4">
        <v>46</v>
      </c>
    </row>
    <row r="798">
      <c r="A798" s="5">
        <f>HYPERLINK("https://app-web.statementrec.com/app#appuploadfiles/3a044b41-b340-2dbe-8ec7-c371efb0b6ec","Balance Out")</f>
      </c>
      <c r="B798" s="3" t="s">
        <v>225</v>
      </c>
      <c r="C798" s="4">
        <v>44</v>
      </c>
    </row>
    <row r="799">
      <c r="A799" s="5">
        <f>HYPERLINK("https://app-web.statementrec.com/app#appuploadfiles/3a044d96-3ebf-f11b-43d3-6bcc11ff52ff","April")</f>
      </c>
      <c r="B799" s="3" t="s">
        <v>124</v>
      </c>
      <c r="C799" s="4">
        <v>7</v>
      </c>
    </row>
    <row r="800">
      <c r="A800" s="5">
        <f>HYPERLINK("https://app-web.statementrec.com/app#appuploadfiles/3a044f6e-d91f-a920-c44e-57fd16710f55","Sanderson Steel Structures Ltd")</f>
      </c>
      <c r="B800" s="3" t="s">
        <v>226</v>
      </c>
      <c r="C800" s="4">
        <v>10</v>
      </c>
    </row>
    <row r="801">
      <c r="A801" s="5">
        <f>HYPERLINK("https://app-web.statementrec.com/app#appuploadfiles/3a0455be-b3b4-348f-ecb2-97ce0a5b31bc","Lymer Properties")</f>
      </c>
      <c r="B801" s="3" t="s">
        <v>17</v>
      </c>
      <c r="C801" s="4">
        <v>4</v>
      </c>
    </row>
    <row r="802">
      <c r="A802" s="5">
        <f>HYPERLINK("https://app-web.statementrec.com/app#appuploadfiles/3a0456b1-bdd6-dab4-d947-9d8a353f4cc0","March")</f>
      </c>
      <c r="B802" s="3" t="s">
        <v>60</v>
      </c>
      <c r="C802" s="4">
        <v>3</v>
      </c>
    </row>
    <row r="803">
      <c r="A803" s="5">
        <f>HYPERLINK("https://app-web.statementrec.com/app#appuploadfiles/3a045a66-34e4-ddc8-8155-149bc79a1116","CG Landscaping")</f>
      </c>
      <c r="B803" s="3" t="s">
        <v>12</v>
      </c>
      <c r="C803" s="4">
        <v>21</v>
      </c>
    </row>
    <row r="804">
      <c r="A804" s="5">
        <f>HYPERLINK("https://app-web.statementrec.com/app#appuploadfiles/3a045b20-92a1-3171-c209-0b091703bef0","Mr Michael Valks")</f>
      </c>
      <c r="B804" s="3" t="s">
        <v>8</v>
      </c>
      <c r="C804" s="4">
        <v>2</v>
      </c>
    </row>
    <row r="805">
      <c r="A805" s="5">
        <f>HYPERLINK("https://app-web.statementrec.com/app#appuploadfiles/3a046e6f-45bb-879d-f72c-e306076d77f9","Other bankstatements")</f>
      </c>
      <c r="B805" s="3" t="s">
        <v>227</v>
      </c>
      <c r="C805" s="4">
        <v>13</v>
      </c>
    </row>
    <row r="806">
      <c r="A806" s="5">
        <f>HYPERLINK("https://app-web.statementrec.com/app#appuploadfiles/3a0478c5-c2b1-5940-1af4-818c48a8b698","JJ Taylor Ltd")</f>
      </c>
      <c r="B806" s="3" t="s">
        <v>29</v>
      </c>
      <c r="C806" s="4">
        <v>4</v>
      </c>
    </row>
    <row r="807">
      <c r="A807" s="5">
        <f>HYPERLINK("https://app-web.statementrec.com/app#appuploadfiles/3a047dd0-eef3-9069-77f7-aac31231c819","CPF Limited")</f>
      </c>
      <c r="B807" s="3" t="s">
        <v>13</v>
      </c>
      <c r="C807" s="4">
        <v>15</v>
      </c>
    </row>
    <row r="808">
      <c r="A808" s="5">
        <f>HYPERLINK("https://app-web.statementrec.com/app#appuploadfiles/3a049280-1479-8ed2-d412-08d84c718f84","2021")</f>
      </c>
      <c r="B808" s="3" t="s">
        <v>21</v>
      </c>
      <c r="C808" s="4">
        <v>56</v>
      </c>
    </row>
    <row r="809">
      <c r="A809" s="5">
        <f>HYPERLINK("https://app-web.statementrec.com/app#appuploadfiles/3a0495e4-c37d-2078-d2af-2bfc5baee957","Canco 508 Onestop")</f>
      </c>
      <c r="B809" s="3" t="s">
        <v>228</v>
      </c>
      <c r="C809" s="4">
        <v>7</v>
      </c>
    </row>
    <row r="810">
      <c r="A810" s="5">
        <f>HYPERLINK("https://app-web.statementrec.com/app#appuploadfiles/3a04a1a1-2eb2-58cb-330c-92ad31ff01e8","Coetzee Spyseniers")</f>
      </c>
      <c r="B810" s="3" t="s">
        <v>80</v>
      </c>
      <c r="C810" s="4">
        <v>16</v>
      </c>
    </row>
    <row r="811">
      <c r="A811" s="5">
        <f>HYPERLINK("https://app-web.statementrec.com/app#appuploadfiles/3a04a1a9-3748-6d8e-b0f2-4fa70720d847","Graham Leigh")</f>
      </c>
      <c r="B811" s="3" t="s">
        <v>19</v>
      </c>
      <c r="C811" s="4">
        <v>10</v>
      </c>
    </row>
    <row r="812">
      <c r="A812" s="5">
        <f>HYPERLINK("https://app-web.statementrec.com/app#appuploadfiles/3a04a299-4ab2-de08-c760-20b2348b5a30","JASP LTD")</f>
      </c>
      <c r="B812" s="3" t="s">
        <v>229</v>
      </c>
      <c r="C812" s="4">
        <v>4</v>
      </c>
    </row>
    <row r="813">
      <c r="A813" s="5">
        <f>HYPERLINK("https://app-web.statementrec.com/app#appuploadfiles/3a04a7ab-2468-9fac-94c7-c148d9947052","41525/L Alister and Kathleen Laird Limited")</f>
      </c>
      <c r="B813" s="3" t="s">
        <v>15</v>
      </c>
      <c r="C813" s="4">
        <v>1</v>
      </c>
    </row>
    <row r="814">
      <c r="A814" s="5">
        <f>HYPERLINK("https://app-web.statementrec.com/app#appuploadfiles/3a04c5fe-d70d-b9e0-6727-4c5f04348df0","Inkutsalo")</f>
      </c>
      <c r="B814" s="3" t="s">
        <v>48</v>
      </c>
      <c r="C814" s="4">
        <v>55</v>
      </c>
    </row>
    <row r="815">
      <c r="A815" s="5">
        <f>HYPERLINK("https://app-web.statementrec.com/app#appuploadfiles/3a04cc61-f6bb-4a94-5fe7-7d5e6f190b51","Damon Wren")</f>
      </c>
      <c r="B815" s="3" t="s">
        <v>13</v>
      </c>
      <c r="C815" s="4">
        <v>65</v>
      </c>
    </row>
    <row r="816">
      <c r="A816" s="5">
        <f>HYPERLINK("https://app-web.statementrec.com/app#appuploadfiles/3a04cc8c-341f-dce5-4a7e-a7942a984a28","C Iles")</f>
      </c>
      <c r="B816" s="3" t="s">
        <v>12</v>
      </c>
      <c r="C816" s="4">
        <v>1</v>
      </c>
    </row>
    <row r="817">
      <c r="A817" s="5">
        <f>HYPERLINK("https://app-web.statementrec.com/app#appuploadfiles/3a04d77a-febf-b22e-46a4-78671e5ea4f9","Cato Couriers Ltd")</f>
      </c>
      <c r="B817" s="3" t="s">
        <v>17</v>
      </c>
      <c r="C817" s="4">
        <v>11</v>
      </c>
    </row>
    <row r="818">
      <c r="A818" s="5">
        <f>HYPERLINK("https://app-web.statementrec.com/app#appuploadfiles/3a04e02b-211b-48b6-9126-211dd115b0a4","Penther Interpreting")</f>
      </c>
      <c r="B818" s="3" t="s">
        <v>43</v>
      </c>
      <c r="C818" s="4">
        <v>3</v>
      </c>
    </row>
    <row r="819">
      <c r="A819" s="5">
        <f>HYPERLINK("https://app-web.statementrec.com/app#appuploadfiles/3a04eee8-f104-b51c-fdeb-44ee431fb256","HAYES COMMODITIES UK LIMITED")</f>
      </c>
      <c r="B819" s="3" t="s">
        <v>17</v>
      </c>
      <c r="C819" s="4">
        <v>23</v>
      </c>
    </row>
    <row r="820">
      <c r="A820" s="5">
        <f>HYPERLINK("https://app-web.statementrec.com/app#appuploadfiles/3a04fe79-aa2c-0607-876f-5d3cb87f522c","INTEREURO DA")</f>
      </c>
      <c r="B820" s="3" t="s">
        <v>26</v>
      </c>
      <c r="C820" s="4">
        <v>7</v>
      </c>
    </row>
    <row r="821">
      <c r="A821" s="5">
        <f>HYPERLINK("https://app-web.statementrec.com/app#appuploadfiles/3a0503a1-4672-d271-726a-a9b841f6e82e","Blank")</f>
      </c>
      <c r="B821" s="3" t="s">
        <v>230</v>
      </c>
      <c r="C821" s="4">
        <v>24</v>
      </c>
    </row>
    <row r="822">
      <c r="A822" s="5">
        <f>HYPERLINK("https://app-web.statementrec.com/app#appuploadfiles/3a050922-fe09-3fbf-cd5a-838845130704","Plunkett Tuohey")</f>
      </c>
      <c r="B822" s="3" t="s">
        <v>19</v>
      </c>
      <c r="C822" s="4">
        <v>4</v>
      </c>
    </row>
    <row r="823">
      <c r="A823" s="5">
        <f>HYPERLINK("https://app-web.statementrec.com/app#appuploadfiles/3a050a05-ea87-c802-1651-f6cd5d2abc6e","Aluminium Windows")</f>
      </c>
      <c r="B823" s="3" t="s">
        <v>12</v>
      </c>
      <c r="C823" s="4">
        <v>7</v>
      </c>
    </row>
    <row r="824">
      <c r="A824" s="5">
        <f>HYPERLINK("https://app-web.statementrec.com/app#appuploadfiles/3a050a5e-5427-17ca-b380-7595eba83609","Meridian Land Surveys Ltd")</f>
      </c>
      <c r="B824" s="3" t="s">
        <v>12</v>
      </c>
      <c r="C824" s="4">
        <v>2</v>
      </c>
    </row>
    <row r="825">
      <c r="A825" s="5">
        <f>HYPERLINK("https://app-web.statementrec.com/app#appuploadfiles/3a0527c3-466b-765b-668f-54cec4b7992e","E Shields")</f>
      </c>
      <c r="B825" s="3" t="s">
        <v>43</v>
      </c>
      <c r="C825" s="4">
        <v>12</v>
      </c>
    </row>
    <row r="826">
      <c r="A826" s="5">
        <f>HYPERLINK("https://app-web.statementrec.com/app#appuploadfiles/3a053274-3ad7-3e21-4400-78a2f83cfb29","Altair")</f>
      </c>
      <c r="B826" s="3" t="s">
        <v>69</v>
      </c>
      <c r="C826" s="4">
        <v>2</v>
      </c>
    </row>
    <row r="827">
      <c r="A827" s="5">
        <f>HYPERLINK("https://app-web.statementrec.com/app#appuploadfiles/3a053742-7bf4-3bfa-4a4d-eddbce9c2f75","VIR ELECTRICAL LIMITED-2022-07-22 08-45-51")</f>
      </c>
      <c r="B827" s="3" t="s">
        <v>84</v>
      </c>
      <c r="C827" s="4">
        <v>14</v>
      </c>
    </row>
    <row r="828">
      <c r="A828" s="5">
        <f>HYPERLINK("https://app-web.statementrec.com/app#appuploadfiles/3a0546e8-f517-11d4-f11f-349ed4cb74a8","Charnley Consultancy")</f>
      </c>
      <c r="B828" s="3" t="s">
        <v>231</v>
      </c>
      <c r="C828" s="4">
        <v>116</v>
      </c>
    </row>
    <row r="829">
      <c r="A829" s="5">
        <f>HYPERLINK("https://app-web.statementrec.com/app#appuploadfiles/3a0552d6-16e2-8f75-870a-5471ada6099c","Empower and Excel")</f>
      </c>
      <c r="B829" s="3" t="s">
        <v>12</v>
      </c>
      <c r="C829" s="4">
        <v>10</v>
      </c>
    </row>
    <row r="830">
      <c r="A830" s="5">
        <f>HYPERLINK("https://app-web.statementrec.com/app#appuploadfiles/3a055a8b-95ac-9c3a-f4ad-6a81eff9a2a3","Hawk Consulting Ltd Global")</f>
      </c>
      <c r="B830" s="3" t="s">
        <v>43</v>
      </c>
      <c r="C830" s="4">
        <v>33</v>
      </c>
    </row>
    <row r="831">
      <c r="A831" s="5">
        <f>HYPERLINK("https://app-web.statementrec.com/app#appuploadfiles/3a055c8e-41df-fc87-ab21-61411c66e745","Ami Pepper")</f>
      </c>
      <c r="B831" s="3" t="s">
        <v>15</v>
      </c>
      <c r="C831" s="4">
        <v>14</v>
      </c>
    </row>
    <row r="832">
      <c r="A832" s="5">
        <f>HYPERLINK("https://app-web.statementrec.com/app#appuploadfiles/3a055c8f-44e7-a899-d73d-4048b98a3378","Moonshine")</f>
      </c>
      <c r="B832" s="3" t="s">
        <v>12</v>
      </c>
      <c r="C832" s="4">
        <v>86</v>
      </c>
    </row>
    <row r="833">
      <c r="A833" s="5">
        <f>HYPERLINK("https://app-web.statementrec.com/app#appuploadfiles/3a055f40-e8c3-f4a0-ac7c-cb2182a7de37","U Multicultural")</f>
      </c>
      <c r="B833" s="3" t="s">
        <v>47</v>
      </c>
      <c r="C833" s="4">
        <v>5</v>
      </c>
    </row>
    <row r="834">
      <c r="A834" s="5">
        <f>HYPERLINK("https://app-web.statementrec.com/app#appuploadfiles/3a056d17-5231-7290-cc87-b775448ce95a","Unity Consulting Ltd")</f>
      </c>
      <c r="B834" s="3" t="s">
        <v>19</v>
      </c>
      <c r="C834" s="4">
        <v>2</v>
      </c>
    </row>
    <row r="835">
      <c r="A835" s="5">
        <f>HYPERLINK("https://app-web.statementrec.com/app#appuploadfiles/3a0570c3-3ac2-2888-25b1-1380e7af1475","ADEPT VEHICLE SOLUTIONS LIMITED")</f>
      </c>
      <c r="B835" s="3" t="s">
        <v>86</v>
      </c>
      <c r="C835" s="4">
        <v>58</v>
      </c>
    </row>
    <row r="836">
      <c r="A836" s="5">
        <f>HYPERLINK("https://app-web.statementrec.com/app#appuploadfiles/3a0574fa-9cb0-6ea4-a28a-3356e2779445","Roger Hammond Property Services")</f>
      </c>
      <c r="B836" s="3" t="s">
        <v>17</v>
      </c>
      <c r="C836" s="4">
        <v>4</v>
      </c>
    </row>
    <row r="837">
      <c r="A837" s="5">
        <f>HYPERLINK("https://app-web.statementrec.com/app#appuploadfiles/3a05762a-5509-5eb8-c8fd-d85f19d70f35","Mea Is Ltd")</f>
      </c>
      <c r="B837" s="3" t="s">
        <v>232</v>
      </c>
      <c r="C837" s="4">
        <v>9</v>
      </c>
    </row>
    <row r="838">
      <c r="A838" s="5">
        <f>HYPERLINK("https://app-web.statementrec.com/app#appuploadfiles/3a057b2f-beb6-f440-c85c-d2ab929da287","Rosy Jeffery Ltd")</f>
      </c>
      <c r="B838" s="3" t="s">
        <v>233</v>
      </c>
      <c r="C838" s="4">
        <v>83</v>
      </c>
    </row>
    <row r="839">
      <c r="A839" s="5">
        <f>HYPERLINK("https://app-web.statementrec.com/app#appuploadfiles/3a057c71-6f3a-712d-6f0a-7f1df1495ede","W296 J R WMS AI FAB")</f>
      </c>
      <c r="B839" s="3" t="s">
        <v>17</v>
      </c>
      <c r="C839" s="4">
        <v>4</v>
      </c>
    </row>
    <row r="840">
      <c r="A840" s="5">
        <f>HYPERLINK("https://app-web.statementrec.com/app#appuploadfiles/3a057fa9-ca13-6405-adc5-d7828921d2d4","Bank Statements Limited")</f>
      </c>
      <c r="B840" s="3" t="s">
        <v>43</v>
      </c>
      <c r="C840" s="4">
        <v>5</v>
      </c>
    </row>
    <row r="841">
      <c r="A841" s="5">
        <f>HYPERLINK("https://app-web.statementrec.com/app#appuploadfiles/3a05877e-497b-66c0-e4e6-86adf27182e4","Mon Beau Pays, 9434-8869 Quebec Inc")</f>
      </c>
      <c r="B841" s="3" t="s">
        <v>234</v>
      </c>
      <c r="C841" s="4">
        <v>4</v>
      </c>
    </row>
    <row r="842">
      <c r="A842" s="5">
        <f>HYPERLINK("https://app-web.statementrec.com/app#appuploadfiles/3a058f11-6a9e-3bc9-9348-7f55a6c34a0d","Moon Predictions Limited")</f>
      </c>
      <c r="B842" s="3" t="s">
        <v>17</v>
      </c>
      <c r="C842" s="4">
        <v>28</v>
      </c>
    </row>
    <row r="843">
      <c r="A843" s="5">
        <f>HYPERLINK("https://app-web.statementrec.com/app#appuploadfiles/3a059498-44ec-82a6-d1e3-3dd2b913b920","LIV012 - Living Hospitality Limited")</f>
      </c>
      <c r="B843" s="3" t="s">
        <v>17</v>
      </c>
      <c r="C843" s="4">
        <v>10</v>
      </c>
    </row>
    <row r="844">
      <c r="A844" s="5">
        <f>HYPERLINK("https://app-web.statementrec.com/app#appuploadfiles/3a05954a-e21d-5239-a031-7095d1f9b8b7","Brook Mr J")</f>
      </c>
      <c r="B844" s="3" t="s">
        <v>12</v>
      </c>
      <c r="C844" s="4">
        <v>31</v>
      </c>
    </row>
    <row r="845">
      <c r="A845" s="5">
        <f>HYPERLINK("https://app-web.statementrec.com/app#appuploadfiles/3a05b2d8-3c56-68a9-8d7f-8e6051637103","Oliver McElroy")</f>
      </c>
      <c r="B845" s="3" t="s">
        <v>19</v>
      </c>
      <c r="C845" s="4">
        <v>12</v>
      </c>
    </row>
    <row r="846">
      <c r="A846" s="5">
        <f>HYPERLINK("https://app-web.statementrec.com/app#appuploadfiles/3a05b378-5049-96f5-ac7f-be0cf989c384","Beshore Scaffolding Limited")</f>
      </c>
      <c r="B846" s="3" t="s">
        <v>40</v>
      </c>
      <c r="C846" s="4">
        <v>5</v>
      </c>
    </row>
    <row r="847">
      <c r="A847" s="5">
        <f>HYPERLINK("https://app-web.statementrec.com/app#appuploadfiles/3a05b39a-45b0-5a4e-929f-494a3f675e0a","Student Sponsorship Programme")</f>
      </c>
      <c r="B847" s="3" t="s">
        <v>118</v>
      </c>
      <c r="C847" s="4">
        <v>2</v>
      </c>
    </row>
    <row r="848">
      <c r="A848" s="5">
        <f>HYPERLINK("https://app-web.statementrec.com/app#appuploadfiles/3a05b3a1-df7a-a01a-d0d6-b04ebfa20059","Energy Clothing Limited")</f>
      </c>
      <c r="B848" s="3" t="s">
        <v>17</v>
      </c>
      <c r="C848" s="4">
        <v>9</v>
      </c>
    </row>
    <row r="849">
      <c r="A849" s="5">
        <f>HYPERLINK("https://app-web.statementrec.com/app#appuploadfiles/3a05b675-3aa8-9a55-3142-7c6a0d5e2de2","Reines 12 Inc")</f>
      </c>
      <c r="B849" s="3" t="s">
        <v>43</v>
      </c>
      <c r="C849" s="4">
        <v>5</v>
      </c>
    </row>
    <row r="850">
      <c r="A850" s="5">
        <f>HYPERLINK("https://app-web.statementrec.com/app#appuploadfiles/3a05c23d-ba40-65a3-6eec-ed9cd0874731","V042 - Viabell Limited")</f>
      </c>
      <c r="B850" s="3" t="s">
        <v>17</v>
      </c>
      <c r="C850" s="4">
        <v>45</v>
      </c>
    </row>
    <row r="851">
      <c r="A851" s="5">
        <f>HYPERLINK("https://app-web.statementrec.com/app#appuploadfiles/3a05c7dc-946a-0e60-d194-794d5fb27732","W4 Games")</f>
      </c>
      <c r="B851" s="3" t="s">
        <v>43</v>
      </c>
      <c r="C851" s="4">
        <v>22</v>
      </c>
    </row>
    <row r="852">
      <c r="A852" s="5">
        <f>HYPERLINK("https://app-web.statementrec.com/app#appuploadfiles/3a05c8ac-7114-8d48-1489-ee79a1e5c7be","Cowran Estate")</f>
      </c>
      <c r="B852" s="3" t="s">
        <v>17</v>
      </c>
      <c r="C852" s="4">
        <v>4</v>
      </c>
    </row>
    <row r="853">
      <c r="A853" s="5">
        <f>HYPERLINK("https://app-web.statementrec.com/app#appuploadfiles/3a05c938-092c-3bb8-28d5-59357b9921b0","TT Accountancy")</f>
      </c>
      <c r="B853" s="3" t="s">
        <v>16</v>
      </c>
      <c r="C853" s="4">
        <v>5</v>
      </c>
    </row>
    <row r="854">
      <c r="A854" s="5">
        <f>HYPERLINK("https://app-web.statementrec.com/app#appuploadfiles/3a05ca8f-90bc-274d-175a-3705479adbc1","Lakeside Tempo")</f>
      </c>
      <c r="B854" s="3" t="s">
        <v>40</v>
      </c>
      <c r="C854" s="4">
        <v>49</v>
      </c>
    </row>
    <row r="855">
      <c r="A855" s="5">
        <f>HYPERLINK("https://app-web.statementrec.com/app#appuploadfiles/3a05d7c8-4d2c-ce97-3636-a8d0f56c7ec1","G &amp; P Johnson ltd")</f>
      </c>
      <c r="B855" s="3" t="s">
        <v>17</v>
      </c>
      <c r="C855" s="4">
        <v>42</v>
      </c>
    </row>
    <row r="856">
      <c r="A856" s="5">
        <f>HYPERLINK("https://app-web.statementrec.com/app#appuploadfiles/3a05dc68-4de2-68c9-a93b-90f1c2181480","Mulbury Project Services")</f>
      </c>
      <c r="B856" s="3" t="s">
        <v>70</v>
      </c>
      <c r="C856" s="4">
        <v>5</v>
      </c>
    </row>
    <row r="857">
      <c r="A857" s="5">
        <f>HYPERLINK("https://app-web.statementrec.com/app#appuploadfiles/3a05dd65-4174-dd23-7227-e61a8e6ec1dd","Victor Mendes")</f>
      </c>
      <c r="B857" s="3" t="s">
        <v>15</v>
      </c>
      <c r="C857" s="4">
        <v>6</v>
      </c>
    </row>
    <row r="858">
      <c r="A858" s="5">
        <f>HYPERLINK("https://app-web.statementrec.com/app#appuploadfiles/3a05e717-35ab-78c2-d55b-8bcbda024a2d","Lister House Dental Centre")</f>
      </c>
      <c r="B858" s="3" t="s">
        <v>16</v>
      </c>
      <c r="C858" s="4">
        <v>10</v>
      </c>
    </row>
    <row r="859">
      <c r="A859" s="5">
        <f>HYPERLINK("https://app-web.statementrec.com/app#appuploadfiles/3a0606c1-c663-4404-3751-e65d007c3286","M R Invest Ltd")</f>
      </c>
      <c r="B859" s="3" t="s">
        <v>18</v>
      </c>
      <c r="C859" s="4">
        <v>57</v>
      </c>
    </row>
    <row r="860">
      <c r="A860" s="5">
        <f>HYPERLINK("https://app-web.statementrec.com/app#appuploadfiles/3a060a73-3ed6-52f3-0acc-eb6b84944b28","AK Contracting")</f>
      </c>
      <c r="B860" s="3" t="s">
        <v>15</v>
      </c>
      <c r="C860" s="4">
        <v>2</v>
      </c>
    </row>
    <row r="861">
      <c r="A861" s="5">
        <f>HYPERLINK("https://app-web.statementrec.com/app#appuploadfiles/3a060bdb-358f-5a35-404e-1577a146c853","Bright Point International Financial Ltd")</f>
      </c>
      <c r="B861" s="3" t="s">
        <v>48</v>
      </c>
      <c r="C861" s="4">
        <v>11</v>
      </c>
    </row>
    <row r="862">
      <c r="A862" s="5">
        <f>HYPERLINK("https://app-web.statementrec.com/app#appuploadfiles/3a060e00-001a-6311-0f90-daa1da1d27dc","ALP005 - Majuba King Petroleum")</f>
      </c>
      <c r="B862" s="3" t="s">
        <v>140</v>
      </c>
      <c r="C862" s="4">
        <v>2</v>
      </c>
    </row>
    <row r="863">
      <c r="A863" s="5">
        <f>HYPERLINK("https://app-web.statementrec.com/app#appuploadfiles/3a0610e7-06a3-6b9e-bcbb-51fe96a6e5a6","SD West Ltd")</f>
      </c>
      <c r="B863" s="3" t="s">
        <v>33</v>
      </c>
      <c r="C863" s="4">
        <v>4</v>
      </c>
    </row>
    <row r="864">
      <c r="A864" s="5">
        <f>HYPERLINK("https://app-web.statementrec.com/app#appuploadfiles/3a06161e-9942-a747-8d53-3401a5a4ed73","Matthew Miller")</f>
      </c>
      <c r="B864" s="3" t="s">
        <v>11</v>
      </c>
      <c r="C864" s="4">
        <v>35</v>
      </c>
    </row>
    <row r="865">
      <c r="A865" s="5">
        <f>HYPERLINK("https://app-web.statementrec.com/app#appuploadfiles/3a0624b3-2748-6735-4611-886271696e2f","Rebecca Foden")</f>
      </c>
      <c r="B865" s="3" t="s">
        <v>17</v>
      </c>
      <c r="C865" s="4">
        <v>14</v>
      </c>
    </row>
    <row r="866">
      <c r="A866" s="5">
        <f>HYPERLINK("https://app-web.statementrec.com/app#appuploadfiles/3a062638-3cfc-9610-05db-2dbc672868b5","Hudson Hope Tempo")</f>
      </c>
      <c r="B866" s="3" t="s">
        <v>40</v>
      </c>
      <c r="C866" s="4">
        <v>8</v>
      </c>
    </row>
    <row r="867">
      <c r="A867" s="5">
        <f>HYPERLINK("https://app-web.statementrec.com/app#appuploadfiles/3a06343e-d12e-9235-b72e-42438257d5bd","Peter Cook")</f>
      </c>
      <c r="B867" s="3" t="s">
        <v>19</v>
      </c>
      <c r="C867" s="4">
        <v>18</v>
      </c>
    </row>
    <row r="868">
      <c r="A868" s="5">
        <f>HYPERLINK("https://app-web.statementrec.com/app#appuploadfiles/3a064318-d4f3-7c1a-75f1-59a3a5299f9d","MK48977 - C.M.C. Machinery UK Ltd")</f>
      </c>
      <c r="B868" s="3" t="s">
        <v>235</v>
      </c>
      <c r="C868" s="4">
        <v>9</v>
      </c>
    </row>
    <row r="869">
      <c r="A869" s="5">
        <f>HYPERLINK("https://app-web.statementrec.com/app#appuploadfiles/3a06532d-47fc-7572-37e4-1184e5cd93dd","Testing &amp; Complianc Ltd")</f>
      </c>
      <c r="B869" s="3" t="s">
        <v>12</v>
      </c>
      <c r="C869" s="4">
        <v>3</v>
      </c>
    </row>
    <row r="870">
      <c r="A870" s="5">
        <f>HYPERLINK("https://app-web.statementrec.com/app#appuploadfiles/3a065790-f646-0421-ceb9-ac1e061312e0","1903 Coffee Shop")</f>
      </c>
      <c r="B870" s="3" t="s">
        <v>26</v>
      </c>
      <c r="C870" s="4">
        <v>6</v>
      </c>
    </row>
    <row r="871">
      <c r="A871" s="5">
        <f>HYPERLINK("https://app-web.statementrec.com/app#appuploadfiles/3a0657b0-8fa4-076e-8d5f-5957ff39a005","Hibbereen Pharmacy Ltd")</f>
      </c>
      <c r="B871" s="3" t="s">
        <v>3</v>
      </c>
      <c r="C871" s="4">
        <v>4</v>
      </c>
    </row>
    <row r="872">
      <c r="A872" s="5">
        <f>HYPERLINK("https://app-web.statementrec.com/app#appuploadfiles/3a065911-7878-db89-10b2-899a02c8844b","Givens LLP Chartered Professional Accountants")</f>
      </c>
      <c r="B872" s="3" t="s">
        <v>201</v>
      </c>
      <c r="C872" s="4">
        <v>14</v>
      </c>
    </row>
    <row r="873">
      <c r="A873" s="5">
        <f>HYPERLINK("https://app-web.statementrec.com/app#appuploadfiles/3a066bd9-63f7-d126-8502-ea7e21853d1e","Monica Russell")</f>
      </c>
      <c r="B873" s="3" t="s">
        <v>168</v>
      </c>
      <c r="C873" s="4">
        <v>4</v>
      </c>
    </row>
    <row r="874">
      <c r="A874" s="5">
        <f>HYPERLINK("https://app-web.statementrec.com/app#appuploadfiles/3a067709-376b-1e5b-fb1f-c0a03d0fd2ea","ECOLIVING TRADING LTD")</f>
      </c>
      <c r="B874" s="3" t="s">
        <v>17</v>
      </c>
      <c r="C874" s="4">
        <v>61</v>
      </c>
    </row>
    <row r="875">
      <c r="A875" s="5">
        <f>HYPERLINK("https://app-web.statementrec.com/app#appuploadfiles/3a067cfc-952e-1928-bcf2-bf9b27bb5ef8","Bank Spreadsheet")</f>
      </c>
      <c r="B875" s="3" t="s">
        <v>187</v>
      </c>
      <c r="C875" s="4">
        <v>32</v>
      </c>
    </row>
    <row r="876">
      <c r="A876" s="5">
        <f>HYPERLINK("https://app-web.statementrec.com/app#appuploadfiles/3a068b2c-d470-a714-0129-c265958c7717","Global Greenergy Group Ltd")</f>
      </c>
      <c r="B876" s="3" t="s">
        <v>11</v>
      </c>
      <c r="C876" s="4">
        <v>2</v>
      </c>
    </row>
    <row r="877">
      <c r="A877" s="5">
        <f>HYPERLINK("https://app-web.statementrec.com/app#appuploadfiles/3a068b58-e943-c4fe-299c-e81ef904a18a","CHELVAA HOMES (PVT) LTD")</f>
      </c>
      <c r="B877" s="3" t="s">
        <v>15</v>
      </c>
      <c r="C877" s="4">
        <v>50</v>
      </c>
    </row>
    <row r="878">
      <c r="A878" s="5">
        <f>HYPERLINK("https://app-web.statementrec.com/app#appuploadfiles/3a068b6c-94a8-98fe-346d-0614055987cd","Donal Lynch L1013")</f>
      </c>
      <c r="B878" s="3" t="s">
        <v>10</v>
      </c>
      <c r="C878" s="4">
        <v>18</v>
      </c>
    </row>
    <row r="879">
      <c r="A879" s="5">
        <f>HYPERLINK("https://app-web.statementrec.com/app#appuploadfiles/3a068c35-6f2e-3dfd-a369-f529721cef7c","Simon Lake")</f>
      </c>
      <c r="B879" s="3" t="s">
        <v>116</v>
      </c>
      <c r="C879" s="4">
        <v>1</v>
      </c>
    </row>
    <row r="880">
      <c r="A880" s="5">
        <f>HYPERLINK("https://app-web.statementrec.com/app#appuploadfiles/3a068cec-de43-5939-7015-91b30cb953a7","MF Cladding Ltd")</f>
      </c>
      <c r="B880" s="3" t="s">
        <v>236</v>
      </c>
      <c r="C880" s="4">
        <v>4</v>
      </c>
    </row>
    <row r="881">
      <c r="A881" s="5">
        <f>HYPERLINK("https://app-web.statementrec.com/app#appuploadfiles/3a068e09-5b57-9b94-d625-2cde94129a6c","75-02 La Abundancia Bakeyr")</f>
      </c>
      <c r="B881" s="3" t="s">
        <v>46</v>
      </c>
      <c r="C881" s="4">
        <v>18</v>
      </c>
    </row>
    <row r="882">
      <c r="A882" s="5">
        <f>HYPERLINK("https://app-web.statementrec.com/app#appuploadfiles/3a06907a-f6da-83f8-59e4-2b585f14354b","AMC Building Services Ltd")</f>
      </c>
      <c r="B882" s="3" t="s">
        <v>15</v>
      </c>
      <c r="C882" s="4">
        <v>6</v>
      </c>
    </row>
    <row r="883">
      <c r="A883" s="5">
        <f>HYPERLINK("https://app-web.statementrec.com/app#appuploadfiles/3a069194-26c1-cb08-6dd4-935cb463c020","MyRaceHorse")</f>
      </c>
      <c r="B883" s="3" t="s">
        <v>89</v>
      </c>
      <c r="C883" s="4">
        <v>3</v>
      </c>
    </row>
    <row r="884">
      <c r="A884" s="5">
        <f>HYPERLINK("https://app-web.statementrec.com/app#appuploadfiles/3a06a040-49e8-2c64-4f9b-7282a2d3f662","Bikmo Limited")</f>
      </c>
      <c r="B884" s="3" t="s">
        <v>237</v>
      </c>
      <c r="C884" s="4">
        <v>10</v>
      </c>
    </row>
    <row r="885">
      <c r="A885" s="5">
        <f>HYPERLINK("https://app-web.statementrec.com/app#appuploadfiles/3a06a04a-4b21-46d2-dbb8-7445652b9e65","Bikmo GmbH")</f>
      </c>
      <c r="B885" s="3" t="s">
        <v>238</v>
      </c>
      <c r="C885" s="4">
        <v>46</v>
      </c>
    </row>
    <row r="886">
      <c r="A886" s="5">
        <f>HYPERLINK("https://app-web.statementrec.com/app#appuploadfiles/3a06a121-090c-c2e5-b882-780ecaa0e383","PPM Builders Northampton Limited")</f>
      </c>
      <c r="B886" s="3" t="s">
        <v>239</v>
      </c>
      <c r="C886" s="4">
        <v>3</v>
      </c>
    </row>
    <row r="887">
      <c r="A887" s="5">
        <f>HYPERLINK("https://app-web.statementrec.com/app#appuploadfiles/3a06b9f1-d672-b760-101d-199396a76ac3","ONIT LOGISTICS GROUP LIMITED")</f>
      </c>
      <c r="B887" s="3" t="s">
        <v>17</v>
      </c>
      <c r="C887" s="4">
        <v>20</v>
      </c>
    </row>
    <row r="888">
      <c r="A888" s="5">
        <f>HYPERLINK("https://app-web.statementrec.com/app#appuploadfiles/3a06c186-b186-98ec-dc8c-5caf091fb1bb","Blizzard Heating &amp; Cooling")</f>
      </c>
      <c r="B888" s="3" t="s">
        <v>240</v>
      </c>
      <c r="C888" s="4">
        <v>55</v>
      </c>
    </row>
    <row r="889">
      <c r="A889" s="5">
        <f>HYPERLINK("https://app-web.statementrec.com/app#appuploadfiles/3a06c3b7-d698-3a33-197f-521d337e4def","Star Carpets North Wales Ltd")</f>
      </c>
      <c r="B889" s="3" t="s">
        <v>13</v>
      </c>
      <c r="C889" s="4">
        <v>12</v>
      </c>
    </row>
    <row r="890">
      <c r="A890" s="5">
        <f>HYPERLINK("https://app-web.statementrec.com/app#appuploadfiles/3a06d321-ed43-d691-e624-c9673465a3df","A C CONSTRUCTION (COLCHESTER) LIMITED-2022-10-10 08-13-50")</f>
      </c>
      <c r="B890" s="3" t="s">
        <v>241</v>
      </c>
      <c r="C890" s="4">
        <v>111</v>
      </c>
    </row>
    <row r="891">
      <c r="A891" s="5">
        <f>HYPERLINK("https://app-web.statementrec.com/app#appuploadfiles/3a06df90-6137-aa39-fa91-702eb82b5a89","Formulate Accountancy Ltd")</f>
      </c>
      <c r="B891" s="3" t="s">
        <v>11</v>
      </c>
      <c r="C891" s="4">
        <v>8</v>
      </c>
    </row>
    <row r="892">
      <c r="A892" s="5">
        <f>HYPERLINK("https://app-web.statementrec.com/app#appuploadfiles/3a06dfdc-3cfd-43f8-46c0-22a65a8e85bc","TW Towing and Recovery LLC")</f>
      </c>
      <c r="B892" s="3" t="s">
        <v>47</v>
      </c>
      <c r="C892" s="4">
        <v>100</v>
      </c>
    </row>
    <row r="893">
      <c r="A893" s="5">
        <f>HYPERLINK("https://app-web.statementrec.com/app#appuploadfiles/3a06e2f1-8876-90bd-9b32-4f323c9cc7eb","MR T Collaborations")</f>
      </c>
      <c r="B893" s="3" t="s">
        <v>200</v>
      </c>
      <c r="C893" s="4">
        <v>4</v>
      </c>
    </row>
    <row r="894">
      <c r="A894" s="5">
        <f>HYPERLINK("https://app-web.statementrec.com/app#appuploadfiles/3a06e8e4-4ee7-fcb7-9e04-05956675bb4e","ESGCT")</f>
      </c>
      <c r="B894" s="3" t="s">
        <v>10</v>
      </c>
      <c r="C894" s="4">
        <v>1</v>
      </c>
    </row>
    <row r="895">
      <c r="A895" s="5">
        <f>HYPERLINK("https://app-web.statementrec.com/app#appuploadfiles/3a06f715-f347-523d-79c4-a86ea2dda0f7","IMPERIUM ENGINEERING LTD-2022-10-17 07-47-05")</f>
      </c>
      <c r="B895" s="3" t="s">
        <v>17</v>
      </c>
      <c r="C895" s="4">
        <v>20</v>
      </c>
    </row>
    <row r="896">
      <c r="A896" s="5">
        <f>HYPERLINK("https://app-web.statementrec.com/app#appuploadfiles/3a06f763-6e80-b072-c792-8f55d8cc8a66","Gerald McDaid")</f>
      </c>
      <c r="B896" s="3" t="s">
        <v>11</v>
      </c>
      <c r="C896" s="4">
        <v>2</v>
      </c>
    </row>
    <row r="897">
      <c r="A897" s="5">
        <f>HYPERLINK("https://app-web.statementrec.com/app#appuploadfiles/3a06f76d-c5a2-e8b6-0299-cfc44c0e6914","Peter Cutliffe")</f>
      </c>
      <c r="B897" s="3" t="s">
        <v>75</v>
      </c>
      <c r="C897" s="4">
        <v>7</v>
      </c>
    </row>
    <row r="898">
      <c r="A898" s="5">
        <f>HYPERLINK("https://app-web.statementrec.com/app#appuploadfiles/3a070165-01b2-e26c-35f6-a4510634174e","JLB Law Ltd")</f>
      </c>
      <c r="B898" s="3" t="s">
        <v>242</v>
      </c>
      <c r="C898" s="4">
        <v>2</v>
      </c>
    </row>
    <row r="899">
      <c r="A899" s="5">
        <f>HYPERLINK("https://app-web.statementrec.com/app#appuploadfiles/3a070c3d-d4af-7d73-d12e-f59036bb454b","Hear This Limited")</f>
      </c>
      <c r="B899" s="3" t="s">
        <v>243</v>
      </c>
      <c r="C899" s="4">
        <v>11</v>
      </c>
    </row>
    <row r="900">
      <c r="A900" s="5">
        <f>HYPERLINK("https://app-web.statementrec.com/app#appuploadfiles/3a070d2c-a217-d669-f425-824d438cc817","PR ELLIOT")</f>
      </c>
      <c r="B900" s="3" t="s">
        <v>19</v>
      </c>
      <c r="C900" s="4">
        <v>102</v>
      </c>
    </row>
    <row r="901">
      <c r="A901" s="5">
        <f>HYPERLINK("https://app-web.statementrec.com/app#appuploadfiles/3a07112f-dcb4-0ecf-27ae-540e20a8690e","Dan Hodnett H185")</f>
      </c>
      <c r="B901" s="3" t="s">
        <v>10</v>
      </c>
      <c r="C901" s="4">
        <v>70</v>
      </c>
    </row>
    <row r="902">
      <c r="A902" s="5">
        <f>HYPERLINK("https://app-web.statementrec.com/app#appuploadfiles/3a071fde-70c7-41f5-ba3c-c2724e03081c","Michael Vaslaz")</f>
      </c>
      <c r="B902" s="3" t="s">
        <v>16</v>
      </c>
      <c r="C902" s="4">
        <v>20</v>
      </c>
    </row>
    <row r="903">
      <c r="A903" s="5">
        <f>HYPERLINK("https://app-web.statementrec.com/app#appuploadfiles/3a0721df-2c2a-6c90-ab1e-320349fbf1ad","Wesley Hallawell")</f>
      </c>
      <c r="B903" s="3" t="s">
        <v>18</v>
      </c>
      <c r="C903" s="4">
        <v>13</v>
      </c>
    </row>
    <row r="904">
      <c r="A904" s="5">
        <f>HYPERLINK("https://app-web.statementrec.com/app#appuploadfiles/3a072b0d-9f1f-2690-3b72-07cd1d4c2cf7","MODISH COSMETICS LIMITED")</f>
      </c>
      <c r="B904" s="3" t="s">
        <v>17</v>
      </c>
      <c r="C904" s="4">
        <v>59</v>
      </c>
    </row>
    <row r="905">
      <c r="A905" s="5">
        <f>HYPERLINK("https://app-web.statementrec.com/app#appuploadfiles/3a072c04-9dfc-1578-c1ca-32ea2d470f84","Auto Trade Centre")</f>
      </c>
      <c r="B905" s="3" t="s">
        <v>16</v>
      </c>
      <c r="C905" s="4">
        <v>2</v>
      </c>
    </row>
    <row r="906">
      <c r="A906" s="5">
        <f>HYPERLINK("https://app-web.statementrec.com/app#appuploadfiles/3a07309b-d2fd-dd73-b987-8f39c87e22d1","Georgina Campbell Guides")</f>
      </c>
      <c r="B906" s="3" t="s">
        <v>13</v>
      </c>
      <c r="C906" s="4">
        <v>3</v>
      </c>
    </row>
    <row r="907">
      <c r="A907" s="5">
        <f>HYPERLINK("https://app-web.statementrec.com/app#appuploadfiles/3a074127-1db5-4038-204e-1a37041392db","One Step Ahead")</f>
      </c>
      <c r="B907" s="3" t="s">
        <v>12</v>
      </c>
      <c r="C907" s="4">
        <v>24</v>
      </c>
    </row>
    <row r="908">
      <c r="A908" s="5">
        <f>HYPERLINK("https://app-web.statementrec.com/app#appuploadfiles/3a074b48-de80-6218-9c24-087b53d61751","amy hannyngton")</f>
      </c>
      <c r="B908" s="3" t="s">
        <v>19</v>
      </c>
      <c r="C908" s="4">
        <v>54</v>
      </c>
    </row>
    <row r="909">
      <c r="A909" s="5">
        <f>HYPERLINK("https://app-web.statementrec.com/app#appuploadfiles/3a0756e2-2130-6dca-a802-ffd2fb24351e","Pluscarden Abbey")</f>
      </c>
      <c r="B909" s="3" t="s">
        <v>29</v>
      </c>
      <c r="C909" s="4">
        <v>12</v>
      </c>
    </row>
    <row r="910">
      <c r="A910" s="5">
        <f>HYPERLINK("https://app-web.statementrec.com/app#appuploadfiles/3a0763c7-26ef-1a21-3900-27dabb32e0f6","The Theo Jackson Jeppe Trust")</f>
      </c>
      <c r="B910" s="3" t="s">
        <v>244</v>
      </c>
      <c r="C910" s="4">
        <v>9</v>
      </c>
    </row>
    <row r="911">
      <c r="A911" s="5">
        <f>HYPERLINK("https://app-web.statementrec.com/app#appuploadfiles/3a0768d8-508f-48c4-ce11-9fc05b6fa442","Elworth Plant Ltd")</f>
      </c>
      <c r="B911" s="3" t="s">
        <v>13</v>
      </c>
      <c r="C911" s="4">
        <v>8</v>
      </c>
    </row>
    <row r="912">
      <c r="A912" s="5">
        <f>HYPERLINK("https://app-web.statementrec.com/app#appuploadfiles/3a0768f0-2242-936d-8e85-2aa52b6c069b","The 9th Lough Takeaway")</f>
      </c>
      <c r="B912" s="3" t="s">
        <v>56</v>
      </c>
      <c r="C912" s="4">
        <v>5</v>
      </c>
    </row>
    <row r="913">
      <c r="A913" s="5">
        <f>HYPERLINK("https://app-web.statementrec.com/app#appuploadfiles/3a076e17-e0ab-25ce-ff19-5f42f635780b","SW - Mercury Labs Ltd")</f>
      </c>
      <c r="B913" s="3" t="s">
        <v>13</v>
      </c>
      <c r="C913" s="4">
        <v>47</v>
      </c>
    </row>
    <row r="914">
      <c r="A914" s="5">
        <f>HYPERLINK("https://app-web.statementrec.com/app#appuploadfiles/3a077346-92ce-3e77-7013-6e3ad66c65c6","A1 MINI MIX CONCRETE LIMITED")</f>
      </c>
      <c r="B914" s="3" t="s">
        <v>26</v>
      </c>
      <c r="C914" s="4">
        <v>6</v>
      </c>
    </row>
    <row r="915">
      <c r="A915" s="5">
        <f>HYPERLINK("https://app-web.statementrec.com/app#appuploadfiles/3a077360-883e-5f56-b730-5a6aba98f985","2022")</f>
      </c>
      <c r="B915" s="3" t="s">
        <v>40</v>
      </c>
      <c r="C915" s="4">
        <v>14</v>
      </c>
    </row>
    <row r="916">
      <c r="A916" s="5">
        <f>HYPERLINK("https://app-web.statementrec.com/app#appuploadfiles/3a078840-bc41-3ad8-89c4-e0b112931d60","QJ WIlliams &amp; Associates")</f>
      </c>
      <c r="B916" s="3" t="s">
        <v>80</v>
      </c>
      <c r="C916" s="4">
        <v>6</v>
      </c>
    </row>
    <row r="917">
      <c r="A917" s="5">
        <f>HYPERLINK("https://app-web.statementrec.com/app#appuploadfiles/3a078a66-001b-ba18-be9c-9defd9254b00","Hayward Home Improvements Limited")</f>
      </c>
      <c r="B917" s="3" t="s">
        <v>47</v>
      </c>
      <c r="C917" s="4">
        <v>16</v>
      </c>
    </row>
    <row r="918">
      <c r="A918" s="5">
        <f>HYPERLINK("https://app-web.statementrec.com/app#appuploadfiles/3a078cfc-b43e-cad5-54e7-09fa65087cb5","Lifestyle Pharmacy Westgate Limited")</f>
      </c>
      <c r="B918" s="3" t="s">
        <v>123</v>
      </c>
      <c r="C918" s="4">
        <v>2</v>
      </c>
    </row>
    <row r="919">
      <c r="A919" s="5">
        <f>HYPERLINK("https://app-web.statementrec.com/app#appuploadfiles/3a078e38-9321-dbb1-819d-2d2710781ebb","CARAVANS DIRECT (NW) LIMITED")</f>
      </c>
      <c r="B919" s="3" t="s">
        <v>17</v>
      </c>
      <c r="C919" s="4">
        <v>22</v>
      </c>
    </row>
    <row r="920">
      <c r="A920" s="5">
        <f>HYPERLINK("https://app-web.statementrec.com/app#appuploadfiles/3a07913c-ac64-0520-b501-c2b7407cbf94","superior hanna")</f>
      </c>
      <c r="B920" s="3" t="s">
        <v>214</v>
      </c>
      <c r="C920" s="4">
        <v>8</v>
      </c>
    </row>
    <row r="921">
      <c r="A921" s="5">
        <f>HYPERLINK("https://app-web.statementrec.com/app#appuploadfiles/3a07983c-35ef-1add-6bc8-195baa8ea3f2","Ripley Busteed (B1030)")</f>
      </c>
      <c r="B921" s="3" t="s">
        <v>3</v>
      </c>
      <c r="C921" s="4">
        <v>51</v>
      </c>
    </row>
    <row r="922">
      <c r="A922" s="5">
        <f>HYPERLINK("https://app-web.statementrec.com/app#appuploadfiles/3a0798fb-fed9-03e0-64fe-a29a60c8bc21","Shining Waters Family Fun Park Ltd.")</f>
      </c>
      <c r="B922" s="3" t="s">
        <v>245</v>
      </c>
      <c r="C922" s="4">
        <v>3</v>
      </c>
    </row>
    <row r="923">
      <c r="A923" s="5">
        <f>HYPERLINK("https://app-web.statementrec.com/app#appuploadfiles/3a079bf1-91d5-8fba-1567-5f308a9c8bd8","146288 - Munro Property")</f>
      </c>
      <c r="B923" s="3" t="s">
        <v>246</v>
      </c>
      <c r="C923" s="4">
        <v>1</v>
      </c>
    </row>
    <row r="924">
      <c r="A924" s="5">
        <f>HYPERLINK("https://app-web.statementrec.com/app#appuploadfiles/3a079d5c-1388-3942-536c-b340836f78ea","Keith Chapman Productions Ltd")</f>
      </c>
      <c r="B924" s="3" t="s">
        <v>247</v>
      </c>
      <c r="C924" s="4">
        <v>30</v>
      </c>
    </row>
    <row r="925">
      <c r="A925" s="5">
        <f>HYPERLINK("https://app-web.statementrec.com/app#appuploadfiles/3a07ac51-a0bb-840a-8169-91dfe8611306","Janine Barry CC")</f>
      </c>
      <c r="B925" s="3" t="s">
        <v>38</v>
      </c>
      <c r="C925" s="4">
        <v>16</v>
      </c>
    </row>
    <row r="926">
      <c r="A926" s="5">
        <f>HYPERLINK("https://app-web.statementrec.com/app#appuploadfiles/3a07b0ac-0531-68d3-707a-abe4e3fef4e0","John")</f>
      </c>
      <c r="B926" s="3" t="s">
        <v>248</v>
      </c>
      <c r="C926" s="4">
        <v>10</v>
      </c>
    </row>
    <row r="927">
      <c r="A927" s="5">
        <f>HYPERLINK("https://app-web.statementrec.com/app#appuploadfiles/3a07b0e4-c6fd-a636-41ed-5a5de6a75b9a","Fala Achievements Limited")</f>
      </c>
      <c r="B927" s="3" t="s">
        <v>17</v>
      </c>
      <c r="C927" s="4">
        <v>3</v>
      </c>
    </row>
    <row r="928">
      <c r="A928" s="5">
        <f>HYPERLINK("https://app-web.statementrec.com/app#appuploadfiles/3a07b17f-475a-67fe-33ed-b1f6d042d298","Ecolec Maintenance Installation Services Limited")</f>
      </c>
      <c r="B928" s="3" t="s">
        <v>17</v>
      </c>
      <c r="C928" s="4">
        <v>29</v>
      </c>
    </row>
    <row r="929">
      <c r="A929" s="5">
        <f>HYPERLINK("https://app-web.statementrec.com/app#appuploadfiles/3a07cf54-b3bb-c947-994e-e726db1071af","Immaculate Brand")</f>
      </c>
      <c r="B929" s="3" t="s">
        <v>80</v>
      </c>
      <c r="C929" s="4">
        <v>132</v>
      </c>
    </row>
    <row r="930">
      <c r="A930" s="5">
        <f>HYPERLINK("https://app-web.statementrec.com/app#appuploadfiles/3a07d032-b5db-584f-85e1-609051bf0df7","Captive8 Media")</f>
      </c>
      <c r="B930" s="3" t="s">
        <v>43</v>
      </c>
      <c r="C930" s="4">
        <v>8</v>
      </c>
    </row>
    <row r="931">
      <c r="A931" s="5">
        <f>HYPERLINK("https://app-web.statementrec.com/app#appuploadfiles/3a07db3b-49de-7209-bb6a-994ce6a5fe7f","Garage Doors London Ltd")</f>
      </c>
      <c r="B931" s="3" t="s">
        <v>17</v>
      </c>
      <c r="C931" s="4">
        <v>36</v>
      </c>
    </row>
    <row r="932">
      <c r="A932" s="5">
        <f>HYPERLINK("https://app-web.statementrec.com/app#appuploadfiles/3a07db7f-e588-a94f-f9e3-885deea6c302","Suite 12 Cardiology Unlimited")</f>
      </c>
      <c r="B932" s="3" t="s">
        <v>170</v>
      </c>
      <c r="C932" s="4">
        <v>25</v>
      </c>
    </row>
    <row r="933">
      <c r="A933" s="5">
        <f>HYPERLINK("https://app-web.statementrec.com/app#appuploadfiles/3a07df51-ea10-dc4f-7fee-f3afacb73d2d","Barrys")</f>
      </c>
      <c r="B933" s="3" t="s">
        <v>3</v>
      </c>
      <c r="C933" s="4">
        <v>5</v>
      </c>
    </row>
    <row r="934">
      <c r="A934" s="5">
        <f>HYPERLINK("https://app-web.statementrec.com/app#appuploadfiles/3a07dff5-6f01-e1c2-fc4f-6da07aa5e497","Fidelity Store Ltd")</f>
      </c>
      <c r="B934" s="3" t="s">
        <v>249</v>
      </c>
      <c r="C934" s="4">
        <v>35</v>
      </c>
    </row>
    <row r="935">
      <c r="A935" s="5">
        <f>HYPERLINK("https://app-web.statementrec.com/app#appuploadfiles/3a07e03e-405c-ed34-6bb7-b97c13d37cda","Sandspit Entertainment Ltd.")</f>
      </c>
      <c r="B935" s="3" t="s">
        <v>201</v>
      </c>
      <c r="C935" s="4">
        <v>10</v>
      </c>
    </row>
    <row r="936">
      <c r="A936" s="5">
        <f>HYPERLINK("https://app-web.statementrec.com/app#appuploadfiles/3a07e50c-c89a-64d3-132f-f3b8f23cbb34","Wishmill Limited")</f>
      </c>
      <c r="B936" s="3" t="s">
        <v>11</v>
      </c>
      <c r="C936" s="4">
        <v>31</v>
      </c>
    </row>
    <row r="937">
      <c r="A937" s="5">
        <f>HYPERLINK("https://app-web.statementrec.com/app#appuploadfiles/3a07eb64-67ab-0655-5361-d8ba016e9b34","Samara Fashion Limited")</f>
      </c>
      <c r="B937" s="3" t="s">
        <v>250</v>
      </c>
      <c r="C937" s="4">
        <v>6</v>
      </c>
    </row>
    <row r="938">
      <c r="A938" s="5">
        <f>HYPERLINK("https://app-web.statementrec.com/app#appuploadfiles/3a07f688-e67a-67e9-9e0e-41bc87ee9095","Greenfield Capital Inc.")</f>
      </c>
      <c r="B938" s="3" t="s">
        <v>92</v>
      </c>
      <c r="C938" s="4">
        <v>5</v>
      </c>
    </row>
    <row r="939">
      <c r="A939" s="5">
        <f>HYPERLINK("https://app-web.statementrec.com/app#appuploadfiles/3a07f876-7747-796d-6156-b949ffe68836","Table View Football Club")</f>
      </c>
      <c r="B939" s="3" t="s">
        <v>38</v>
      </c>
      <c r="C939" s="4">
        <v>14</v>
      </c>
    </row>
    <row r="940">
      <c r="A940" s="5">
        <f>HYPERLINK("https://app-web.statementrec.com/app#appuploadfiles/3a07f8d3-0833-7d16-1202-15692417f77b","Easy Winnings")</f>
      </c>
      <c r="B940" s="3" t="s">
        <v>251</v>
      </c>
      <c r="C940" s="4">
        <v>31</v>
      </c>
    </row>
    <row r="941">
      <c r="A941" s="5">
        <f>HYPERLINK("https://app-web.statementrec.com/app#appuploadfiles/3a07fddb-8fb9-31a0-8e9f-4badd9227433","Kensington Superstore Ltd")</f>
      </c>
      <c r="B941" s="3" t="s">
        <v>17</v>
      </c>
      <c r="C941" s="4">
        <v>14</v>
      </c>
    </row>
    <row r="942">
      <c r="A942" s="5">
        <f>HYPERLINK("https://app-web.statementrec.com/app#appuploadfiles/3a0817fc-0eb8-7c68-2a6d-7a7fa97022a2","Miss E Murphy")</f>
      </c>
      <c r="B942" s="3" t="s">
        <v>17</v>
      </c>
      <c r="C942" s="4">
        <v>41</v>
      </c>
    </row>
    <row r="943">
      <c r="A943" s="5">
        <f>HYPERLINK("https://app-web.statementrec.com/app#appuploadfiles/3a081861-f40c-9997-8fa8-99e69358c69b","MOBILITY YOUR WAY LTD")</f>
      </c>
      <c r="B943" s="3" t="s">
        <v>18</v>
      </c>
      <c r="C943" s="4">
        <v>25</v>
      </c>
    </row>
    <row r="944">
      <c r="A944" s="5">
        <f>HYPERLINK("https://app-web.statementrec.com/app#appuploadfiles/3a082269-29a4-4cfc-9f71-c0b6ecc425f4","Venture Risks Group")</f>
      </c>
      <c r="B944" s="3" t="s">
        <v>13</v>
      </c>
      <c r="C944" s="4">
        <v>1</v>
      </c>
    </row>
    <row r="945">
      <c r="A945" s="5">
        <f>HYPERLINK("https://app-web.statementrec.com/app#appuploadfiles/3a0822fd-f90f-6e4d-702a-104a86d2772c","YORKSHIRE ENERGY SYSTEMS LTD")</f>
      </c>
      <c r="B945" s="3" t="s">
        <v>17</v>
      </c>
      <c r="C945" s="4">
        <v>8</v>
      </c>
    </row>
    <row r="946">
      <c r="A946" s="5">
        <f>HYPERLINK("https://app-web.statementrec.com/app#appuploadfiles/3a0828c6-1640-5e89-61e5-aed8dc91f91a","R E Jones Limited")</f>
      </c>
      <c r="B946" s="3" t="s">
        <v>17</v>
      </c>
      <c r="C946" s="4">
        <v>33</v>
      </c>
    </row>
    <row r="947">
      <c r="A947" s="5">
        <f>HYPERLINK("https://app-web.statementrec.com/app#appuploadfiles/3a082c45-f179-adb8-1383-1b26d366fc4b","ESGCT Congress")</f>
      </c>
      <c r="B947" s="3" t="s">
        <v>47</v>
      </c>
      <c r="C947" s="4">
        <v>4</v>
      </c>
    </row>
    <row r="948">
      <c r="A948" s="5">
        <f>HYPERLINK("https://app-web.statementrec.com/app#appuploadfiles/3a08896c-480e-64d7-d618-0529cae8f887","Adv P Shoeman")</f>
      </c>
      <c r="B948" s="3" t="s">
        <v>252</v>
      </c>
      <c r="C948" s="4">
        <v>6</v>
      </c>
    </row>
    <row r="949">
      <c r="A949" s="5">
        <f>HYPERLINK("https://app-web.statementrec.com/app#appuploadfiles/3a0889de-4854-de0e-7da1-c64bae89c843","Carl Malcolm John Griffiths")</f>
      </c>
      <c r="B949" s="3" t="s">
        <v>17</v>
      </c>
      <c r="C949" s="4">
        <v>3</v>
      </c>
    </row>
    <row r="950">
      <c r="A950" s="5">
        <f>HYPERLINK("https://app-web.statementrec.com/app#appuploadfiles/3a088a30-4a35-e14a-3c6f-ce74a7122bd2","Richard Whalley")</f>
      </c>
      <c r="B950" s="3" t="s">
        <v>18</v>
      </c>
      <c r="C950" s="4">
        <v>9</v>
      </c>
    </row>
    <row r="951">
      <c r="A951" s="5">
        <f>HYPERLINK("https://app-web.statementrec.com/app#appuploadfiles/3a0894a6-0993-a045-9a0c-835b69f3517e","Sean Wilson")</f>
      </c>
      <c r="B951" s="3" t="s">
        <v>15</v>
      </c>
      <c r="C951" s="4">
        <v>4</v>
      </c>
    </row>
    <row r="952">
      <c r="A952" s="5">
        <f>HYPERLINK("https://app-web.statementrec.com/app#appuploadfiles/3a08a7f8-3e4f-5e19-e2d1-253bf9b2e9e5","Ben Default")</f>
      </c>
      <c r="B952" s="3" t="s">
        <v>13</v>
      </c>
      <c r="C952" s="4">
        <v>24</v>
      </c>
    </row>
    <row r="953">
      <c r="A953" s="5">
        <f>HYPERLINK("https://app-web.statementrec.com/app#appuploadfiles/3a08a8c4-9846-f3f2-4613-32d76d0086c2","OTHER")</f>
      </c>
      <c r="B953" s="3" t="s">
        <v>13</v>
      </c>
      <c r="C953" s="4">
        <v>6</v>
      </c>
    </row>
    <row r="954">
      <c r="A954" s="5">
        <f>HYPERLINK("https://app-web.statementrec.com/app#appuploadfiles/3a08ad8c-874f-317f-84e0-cdb8bf347f06","Marty McNally")</f>
      </c>
      <c r="B954" s="3" t="s">
        <v>36</v>
      </c>
      <c r="C954" s="4">
        <v>10</v>
      </c>
    </row>
    <row r="955">
      <c r="A955" s="5">
        <f>HYPERLINK("https://app-web.statementrec.com/app#appuploadfiles/3a08adf6-403f-bf29-7794-20efc526811f","TGKS Accountancy Limited")</f>
      </c>
      <c r="B955" s="3" t="s">
        <v>29</v>
      </c>
      <c r="C955" s="4">
        <v>3</v>
      </c>
    </row>
    <row r="956">
      <c r="A956" s="5">
        <f>HYPERLINK("https://app-web.statementrec.com/app#appuploadfiles/3a08ae2d-9346-c4b6-923b-d6093787e622","Ian Logan")</f>
      </c>
      <c r="B956" s="3" t="s">
        <v>20</v>
      </c>
      <c r="C956" s="4">
        <v>30</v>
      </c>
    </row>
    <row r="957">
      <c r="A957" s="5">
        <f>HYPERLINK("https://app-web.statementrec.com/app#appuploadfiles/3a08b883-e57c-57e1-fb2c-2a88f6e306ed","Butterfly of Sevenoaks")</f>
      </c>
      <c r="B957" s="3" t="s">
        <v>17</v>
      </c>
      <c r="C957" s="4">
        <v>2</v>
      </c>
    </row>
    <row r="958">
      <c r="A958" s="5">
        <f>HYPERLINK("https://app-web.statementrec.com/app#appuploadfiles/3a08d165-d587-3762-f156-573c1fba71d8","Maria Amey")</f>
      </c>
      <c r="B958" s="3" t="s">
        <v>65</v>
      </c>
      <c r="C958" s="4">
        <v>40</v>
      </c>
    </row>
    <row r="959">
      <c r="A959" s="5">
        <f>HYPERLINK("https://app-web.statementrec.com/app#appuploadfiles/3a08dbd8-a84a-f4e5-fd94-6f9c5fbaaf0d","Redworth Property Ltd")</f>
      </c>
      <c r="B959" s="3" t="s">
        <v>17</v>
      </c>
      <c r="C959" s="4">
        <v>7</v>
      </c>
    </row>
    <row r="960">
      <c r="A960" s="5">
        <f>HYPERLINK("https://app-web.statementrec.com/app#appuploadfiles/3a08e154-0d2f-086c-2b30-adda2590970c","P J Thornhill")</f>
      </c>
      <c r="B960" s="3" t="s">
        <v>19</v>
      </c>
      <c r="C960" s="4">
        <v>28</v>
      </c>
    </row>
    <row r="961">
      <c r="A961" s="5">
        <f>HYPERLINK("https://app-web.statementrec.com/app#appuploadfiles/3a08e37b-5f03-6715-d6db-4e385755246f","DentaLedgers")</f>
      </c>
      <c r="B961" s="3" t="s">
        <v>140</v>
      </c>
      <c r="C961" s="4">
        <v>6</v>
      </c>
    </row>
    <row r="962">
      <c r="A962" s="5">
        <f>HYPERLINK("https://app-web.statementrec.com/app#appuploadfiles/3a08f271-a6cc-5970-c0f7-3dfcd22c142a","Cost Plus Marine")</f>
      </c>
      <c r="B962" s="3" t="s">
        <v>10</v>
      </c>
      <c r="C962" s="4">
        <v>2</v>
      </c>
    </row>
    <row r="963">
      <c r="A963" s="5">
        <f>HYPERLINK("https://app-web.statementrec.com/app#appuploadfiles/3a08f52f-4801-62c8-ec37-4fdf26e381bf","York Road Co Limited_1131961_100")</f>
      </c>
      <c r="B963" s="3" t="s">
        <v>18</v>
      </c>
      <c r="C963" s="4">
        <v>8</v>
      </c>
    </row>
    <row r="964">
      <c r="A964" s="5">
        <f>HYPERLINK("https://app-web.statementrec.com/app#appuploadfiles/3a08f614-1802-cc39-2e87-fa60959f9c22","4Winds")</f>
      </c>
      <c r="B964" s="3" t="s">
        <v>253</v>
      </c>
      <c r="C964" s="4">
        <v>13</v>
      </c>
    </row>
    <row r="965">
      <c r="A965" s="5">
        <f>HYPERLINK("https://app-web.statementrec.com/app#appuploadfiles/3a08f6be-1fc1-2420-71c6-c38f7035d723","Jonathan Strudwick")</f>
      </c>
      <c r="B965" s="3" t="s">
        <v>8</v>
      </c>
      <c r="C965" s="4">
        <v>16</v>
      </c>
    </row>
    <row r="966">
      <c r="A966" s="5">
        <f>HYPERLINK("https://app-web.statementrec.com/app#appuploadfiles/3a09048a-c933-f369-8dea-40e0f389699c","Axis Construction Hire Limited")</f>
      </c>
      <c r="B966" s="3" t="s">
        <v>3</v>
      </c>
      <c r="C966" s="4">
        <v>13</v>
      </c>
    </row>
    <row r="967">
      <c r="A967" s="5">
        <f>HYPERLINK("https://app-web.statementrec.com/app#appuploadfiles/3a091580-aba3-2672-6335-ac83e205fc45","DAIRY2DOOR LIMITED-2023-01-30 03-37-50")</f>
      </c>
      <c r="B967" s="3" t="s">
        <v>19</v>
      </c>
      <c r="C967" s="4">
        <v>458</v>
      </c>
    </row>
    <row r="968">
      <c r="A968" s="5">
        <f>HYPERLINK("https://app-web.statementrec.com/app#appuploadfiles/3a091f00-a484-8f4f-199b-6baefc4f2bfe","B and V Architects CC")</f>
      </c>
      <c r="B968" s="3" t="s">
        <v>80</v>
      </c>
      <c r="C968" s="4">
        <v>17</v>
      </c>
    </row>
    <row r="969">
      <c r="A969" s="5">
        <f>HYPERLINK("https://app-web.statementrec.com/app#appuploadfiles/3a091f08-c712-1868-257e-b655341eb46d","Elaine Thomas")</f>
      </c>
      <c r="B969" s="3" t="s">
        <v>17</v>
      </c>
      <c r="C969" s="4">
        <v>5</v>
      </c>
    </row>
    <row r="970">
      <c r="A970" s="5">
        <f>HYPERLINK("https://app-web.statementrec.com/app#appuploadfiles/3a091f9e-80b0-ddf1-d2bb-28c07114ac3a","Romina")</f>
      </c>
      <c r="B970" s="3" t="s">
        <v>254</v>
      </c>
      <c r="C970" s="4">
        <v>5</v>
      </c>
    </row>
    <row r="971">
      <c r="A971" s="5">
        <f>HYPERLINK("https://app-web.statementrec.com/app#appuploadfiles/3a0923c5-8f0c-541d-5166-2c5e132ae32c","Shield Security Services Ltd")</f>
      </c>
      <c r="B971" s="3" t="s">
        <v>56</v>
      </c>
      <c r="C971" s="4">
        <v>5</v>
      </c>
    </row>
    <row r="972">
      <c r="A972" s="5">
        <f>HYPERLINK("https://app-web.statementrec.com/app#appuploadfiles/3a0928d8-0c19-3a1f-025c-d27229d73da1","Skin Med Clinic Ltd")</f>
      </c>
      <c r="B972" s="3" t="s">
        <v>11</v>
      </c>
      <c r="C972" s="4">
        <v>68</v>
      </c>
    </row>
    <row r="973">
      <c r="A973" s="5">
        <f>HYPERLINK("https://app-web.statementrec.com/app#appuploadfiles/3a093dbc-e4c7-316b-8ee3-80cc4b6c83d2","Airedale Fire Protection")</f>
      </c>
      <c r="B973" s="3" t="s">
        <v>18</v>
      </c>
      <c r="C973" s="4">
        <v>3</v>
      </c>
    </row>
    <row r="974">
      <c r="A974" s="5">
        <f>HYPERLINK("https://app-web.statementrec.com/app#appuploadfiles/3a0947be-ffef-2e0c-238e-4fe7cad4b02f","Brendan Loughran")</f>
      </c>
      <c r="B974" s="3" t="s">
        <v>10</v>
      </c>
      <c r="C974" s="4">
        <v>44</v>
      </c>
    </row>
    <row r="975">
      <c r="A975" s="5">
        <f>HYPERLINK("https://app-web.statementrec.com/app#appuploadfiles/3a094c6c-a447-c6b1-3e17-70ffec851fe2","2023")</f>
      </c>
      <c r="B975" s="3" t="s">
        <v>118</v>
      </c>
      <c r="C975" s="4">
        <v>1</v>
      </c>
    </row>
    <row r="976">
      <c r="A976" s="5">
        <f>HYPERLINK("https://app-web.statementrec.com/app#appuploadfiles/3a094ce6-9cd1-efe8-b406-449ba6f0ae25","LJH IT Training and Consultancy Limited")</f>
      </c>
      <c r="B976" s="3" t="s">
        <v>15</v>
      </c>
      <c r="C976" s="4">
        <v>13</v>
      </c>
    </row>
    <row r="977">
      <c r="A977" s="5">
        <f>HYPERLINK("https://app-web.statementrec.com/app#appuploadfiles/3a09619b-8126-c60d-72b8-450144b39776","GRASTIM UK")</f>
      </c>
      <c r="B977" s="3" t="s">
        <v>3</v>
      </c>
      <c r="C977" s="4">
        <v>1</v>
      </c>
    </row>
    <row r="978">
      <c r="A978" s="5">
        <f>HYPERLINK("https://app-web.statementrec.com/app#appuploadfiles/3a09672c-157a-5db3-7eb0-3bd44869b8f3","Srivari Limited")</f>
      </c>
      <c r="B978" s="3" t="s">
        <v>3</v>
      </c>
      <c r="C978" s="4">
        <v>26</v>
      </c>
    </row>
    <row r="979">
      <c r="A979" s="5">
        <f>HYPERLINK("https://app-web.statementrec.com/app#appuploadfiles/3a096bf6-6791-6211-708f-478d3542f627","Bernhard")</f>
      </c>
      <c r="B979" s="3" t="s">
        <v>18</v>
      </c>
      <c r="C979" s="4">
        <v>74</v>
      </c>
    </row>
    <row r="980">
      <c r="A980" s="5">
        <f>HYPERLINK("https://app-web.statementrec.com/app#appuploadfiles/3a096e5f-890b-8f26-5171-af8b0fd463e7","Emma Campbell Art Limited")</f>
      </c>
      <c r="B980" s="3" t="s">
        <v>75</v>
      </c>
      <c r="C980" s="4">
        <v>5</v>
      </c>
    </row>
    <row r="981">
      <c r="A981" s="5">
        <f>HYPERLINK("https://app-web.statementrec.com/app#appuploadfiles/3a0971d7-ac58-d652-d352-de0996afd3ae","Rinroe House Farm Limited")</f>
      </c>
      <c r="B981" s="3" t="s">
        <v>3</v>
      </c>
      <c r="C981" s="4">
        <v>6</v>
      </c>
    </row>
    <row r="982">
      <c r="A982" s="5">
        <f>HYPERLINK("https://app-web.statementrec.com/app#appuploadfiles/3a0971e3-c825-1efc-8310-99c102e792a8","CJ Wessels")</f>
      </c>
      <c r="B982" s="3" t="s">
        <v>80</v>
      </c>
      <c r="C982" s="4">
        <v>2</v>
      </c>
    </row>
    <row r="983">
      <c r="A983" s="5">
        <f>HYPERLINK("https://app-web.statementrec.com/app#appuploadfiles/3a097f96-2559-01aa-6837-79d8c1762d0a","AJJ Mouton")</f>
      </c>
      <c r="B983" s="3" t="s">
        <v>255</v>
      </c>
      <c r="C983" s="4">
        <v>5</v>
      </c>
    </row>
    <row r="984">
      <c r="A984" s="5">
        <f>HYPERLINK("https://app-web.statementrec.com/app#appuploadfiles/3a098617-7fdd-99a1-813e-c4e5a9bb41d3","Sarah Wade")</f>
      </c>
      <c r="B984" s="3" t="s">
        <v>26</v>
      </c>
      <c r="C984" s="4">
        <v>14</v>
      </c>
    </row>
    <row r="985">
      <c r="A985" s="5">
        <f>HYPERLINK("https://app-web.statementrec.com/app#appuploadfiles/3a098b86-b485-7798-592c-5a1042d34bae","The Jewellery Showroom Inc")</f>
      </c>
      <c r="B985" s="3" t="s">
        <v>256</v>
      </c>
      <c r="C985" s="4">
        <v>6</v>
      </c>
    </row>
    <row r="986">
      <c r="A986" s="5">
        <f>HYPERLINK("https://app-web.statementrec.com/app#appuploadfiles/3a099156-2cfc-62e2-3838-b44652321118","Lost Media Ltd")</f>
      </c>
      <c r="B986" s="3" t="s">
        <v>257</v>
      </c>
      <c r="C986" s="4">
        <v>79</v>
      </c>
    </row>
    <row r="987">
      <c r="A987" s="5">
        <f>HYPERLINK("https://app-web.statementrec.com/app#appuploadfiles/3a099515-541a-8bed-4fc9-4594de83aeb4","Nuclearmarket Ltd")</f>
      </c>
      <c r="B987" s="3" t="s">
        <v>40</v>
      </c>
      <c r="C987" s="4">
        <v>1</v>
      </c>
    </row>
    <row r="988">
      <c r="A988" s="5">
        <f>HYPERLINK("https://app-web.statementrec.com/app#appuploadfiles/3a09a1f4-9775-e4d7-6340-129e0b1c6c93","Molly Enterprises")</f>
      </c>
      <c r="B988" s="3" t="s">
        <v>258</v>
      </c>
      <c r="C988" s="4">
        <v>7</v>
      </c>
    </row>
    <row r="989">
      <c r="A989" s="5">
        <f>HYPERLINK("https://app-web.statementrec.com/app#appuploadfiles/3a09a475-183b-d93f-2446-1cc3c032cbf7","N J A Limited")</f>
      </c>
      <c r="B989" s="3" t="s">
        <v>123</v>
      </c>
      <c r="C989" s="4">
        <v>5</v>
      </c>
    </row>
    <row r="990">
      <c r="A990" s="5">
        <f>HYPERLINK("https://app-web.statementrec.com/app#appuploadfiles/3a09a600-cfa3-4ae4-a9d6-d031e13e3b07","C G Fulton Pharmacy Ltd")</f>
      </c>
      <c r="B990" s="3" t="s">
        <v>194</v>
      </c>
      <c r="C990" s="4">
        <v>6</v>
      </c>
    </row>
    <row r="991">
      <c r="A991" s="5">
        <f>HYPERLINK("https://app-web.statementrec.com/app#appuploadfiles/3a09a9a1-9981-bf55-33b0-08875d2428aa","Peter Cole")</f>
      </c>
      <c r="B991" s="3" t="s">
        <v>259</v>
      </c>
      <c r="C991" s="4">
        <v>7</v>
      </c>
    </row>
    <row r="992">
      <c r="A992" s="5">
        <f>HYPERLINK("https://app-web.statementrec.com/app#appuploadfiles/3a09aafd-d3cc-7d33-362c-645a4f8e9b5b","Westcountry Minerals Ltd")</f>
      </c>
      <c r="B992" s="3" t="s">
        <v>15</v>
      </c>
      <c r="C992" s="4">
        <v>3</v>
      </c>
    </row>
    <row r="993">
      <c r="A993" s="5">
        <f>HYPERLINK("https://app-web.statementrec.com/app#appuploadfiles/3a09aeeb-037c-b93f-c3e9-42518ce2c934","Mokondelelo Protection Services")</f>
      </c>
      <c r="B993" s="3" t="s">
        <v>118</v>
      </c>
      <c r="C993" s="4">
        <v>149</v>
      </c>
    </row>
    <row r="994">
      <c r="A994" s="5">
        <f>HYPERLINK("https://app-web.statementrec.com/app#appuploadfiles/3a09b05b-c527-51bc-0b1d-7df0b56ab1a4","Diamac Limited")</f>
      </c>
      <c r="B994" s="3" t="s">
        <v>30</v>
      </c>
      <c r="C994" s="4">
        <v>4</v>
      </c>
    </row>
    <row r="995">
      <c r="A995" s="5">
        <f>HYPERLINK("https://app-web.statementrec.com/app#appuploadfiles/3a09b3d9-aa14-3abf-934d-a2e4a4517bdd","Brian McCullagh")</f>
      </c>
      <c r="B995" s="3" t="s">
        <v>26</v>
      </c>
      <c r="C995" s="4">
        <v>15</v>
      </c>
    </row>
    <row r="996">
      <c r="A996" s="5">
        <f>HYPERLINK("https://app-web.statementrec.com/app#appuploadfiles/3a09cdbd-9658-6d49-1a1c-0de52ac85b60","CGH ENGINEERING WORKS")</f>
      </c>
      <c r="B996" s="3" t="s">
        <v>95</v>
      </c>
      <c r="C996" s="4">
        <v>3</v>
      </c>
    </row>
    <row r="997">
      <c r="A997" s="5">
        <f>HYPERLINK("https://app-web.statementrec.com/app#appuploadfiles/3a09d5dc-cebc-addc-145c-ea01a937564a","Sociale Talent")</f>
      </c>
      <c r="B997" s="3" t="s">
        <v>17</v>
      </c>
      <c r="C997" s="4">
        <v>14</v>
      </c>
    </row>
    <row r="998">
      <c r="A998" s="5">
        <f>HYPERLINK("https://app-web.statementrec.com/app#appuploadfiles/3a09d949-4541-dc0e-70d5-28b21e5ff899","RF Racing LTD")</f>
      </c>
      <c r="B998" s="3" t="s">
        <v>89</v>
      </c>
      <c r="C998" s="4">
        <v>14</v>
      </c>
    </row>
    <row r="999">
      <c r="A999" s="5">
        <f>HYPERLINK("https://app-web.statementrec.com/app#appuploadfiles/3a09dd2a-3f83-1b55-1191-0f3b51d440b1","E &amp; A Predictive Solutions Ltd")</f>
      </c>
      <c r="B999" s="3" t="s">
        <v>170</v>
      </c>
      <c r="C999" s="4">
        <v>16</v>
      </c>
    </row>
    <row r="1000">
      <c r="A1000" s="5">
        <f>HYPERLINK("https://app-web.statementrec.com/app#appuploadfiles/3a09dd36-9bda-78b6-8e5c-be9a4d187762","T &amp; C Predictive Networks Ltd")</f>
      </c>
      <c r="B1000" s="3" t="s">
        <v>3</v>
      </c>
      <c r="C1000" s="4">
        <v>13</v>
      </c>
    </row>
    <row r="1001">
      <c r="A1001" s="5">
        <f>HYPERLINK("https://app-web.statementrec.com/app#appuploadfiles/3a09e815-e642-828c-f12a-794e7382b6dc","JM Investments")</f>
      </c>
      <c r="B1001" s="3" t="s">
        <v>118</v>
      </c>
      <c r="C1001" s="4">
        <v>50</v>
      </c>
    </row>
    <row r="1002">
      <c r="A1002" s="5">
        <f>HYPERLINK("https://app-web.statementrec.com/app#appuploadfiles/3a09ebcb-1a7a-9777-a601-fd09b3bbca0b","Te Brau Interiors CC")</f>
      </c>
      <c r="B1002" s="3" t="s">
        <v>86</v>
      </c>
      <c r="C1002" s="4">
        <v>2</v>
      </c>
    </row>
    <row r="1003">
      <c r="A1003" s="5">
        <f>HYPERLINK("https://app-web.statementrec.com/app#appuploadfiles/3a09f15d-87f7-83fe-704f-01c279bed3cf","Barries's Meat Traders (Pty) Ltd")</f>
      </c>
      <c r="B1003" s="3" t="s">
        <v>120</v>
      </c>
      <c r="C1003" s="4">
        <v>13</v>
      </c>
    </row>
    <row r="1004">
      <c r="A1004" s="5">
        <f>HYPERLINK("https://app-web.statementrec.com/app#appuploadfiles/3a09f275-0335-d2ec-3450-6e3f459fbd16","Endoval Ltd")</f>
      </c>
      <c r="B1004" s="3" t="s">
        <v>10</v>
      </c>
      <c r="C1004" s="4">
        <v>4</v>
      </c>
    </row>
    <row r="1005">
      <c r="A1005" s="5">
        <f>HYPERLINK("https://app-web.statementrec.com/app#appuploadfiles/3a09f365-6bd1-b576-7b3d-dc42476513e0","Harry Auto Transport LLC")</f>
      </c>
      <c r="B1005" s="3" t="s">
        <v>47</v>
      </c>
      <c r="C1005" s="4">
        <v>4</v>
      </c>
    </row>
    <row r="1006">
      <c r="A1006" s="5">
        <f>HYPERLINK("https://app-web.statementrec.com/app#appuploadfiles/3a09f7f8-5e62-913b-a249-65d007564a9a","Vanguard Fire and Rescue")</f>
      </c>
      <c r="B1006" s="3" t="s">
        <v>3</v>
      </c>
      <c r="C1006" s="4">
        <v>1</v>
      </c>
    </row>
    <row r="1007">
      <c r="A1007" s="5">
        <f>HYPERLINK("https://app-web.statementrec.com/app#appuploadfiles/3a09fbdd-4a71-d6cf-e2f6-519e5a19784c","TC East Bristol")</f>
      </c>
      <c r="B1007" s="3" t="s">
        <v>260</v>
      </c>
      <c r="C1007" s="4">
        <v>38</v>
      </c>
    </row>
    <row r="1008">
      <c r="A1008" s="5">
        <f>HYPERLINK("https://app-web.statementrec.com/app#appuploadfiles/3a0a013d-8fbb-ac5e-58ca-66bb7cee66c1","L Pretorius")</f>
      </c>
      <c r="B1008" s="3" t="s">
        <v>255</v>
      </c>
      <c r="C1008" s="4">
        <v>17</v>
      </c>
    </row>
    <row r="1009">
      <c r="A1009" s="5">
        <f>HYPERLINK("https://app-web.statementrec.com/app#appuploadfiles/3a0a0157-aaf2-6ede-98f0-7310c2bca8af","BOOYAH HOLDINGS (PTY) LTD")</f>
      </c>
      <c r="B1009" s="3" t="s">
        <v>80</v>
      </c>
      <c r="C1009" s="4">
        <v>25</v>
      </c>
    </row>
    <row r="1010">
      <c r="A1010" s="5">
        <f>HYPERLINK("https://app-web.statementrec.com/app#appuploadfiles/3a0a0211-3296-7674-799b-52866d19c8cd","A0078 - AM CAFE &amp; BAKES LIMITED")</f>
      </c>
      <c r="B1010" s="3" t="s">
        <v>12</v>
      </c>
      <c r="C1010" s="4">
        <v>36</v>
      </c>
    </row>
    <row r="1011">
      <c r="A1011" s="5">
        <f>HYPERLINK("https://app-web.statementrec.com/app#appuploadfiles/3a0a1095-6977-986f-129f-c1a0af2662ba","Rat 1 Boerdery BK")</f>
      </c>
      <c r="B1011" s="3" t="s">
        <v>80</v>
      </c>
      <c r="C1011" s="4">
        <v>5</v>
      </c>
    </row>
    <row r="1012">
      <c r="A1012" s="5">
        <f>HYPERLINK("https://app-web.statementrec.com/app#appuploadfiles/3a0a1ab1-1e13-7187-d75e-f9bbe0cc8b8c","Talk Functions")</f>
      </c>
      <c r="B1012" s="3" t="s">
        <v>38</v>
      </c>
      <c r="C1012" s="4">
        <v>2</v>
      </c>
    </row>
    <row r="1013">
      <c r="A1013" s="5">
        <f>HYPERLINK("https://app-web.statementrec.com/app#appuploadfiles/3a0a1fad-b86b-d8cf-a349-584257e2581d","AHS Kleingeld")</f>
      </c>
      <c r="B1013" s="3" t="s">
        <v>80</v>
      </c>
      <c r="C1013" s="4">
        <v>4</v>
      </c>
    </row>
    <row r="1014">
      <c r="A1014" s="5">
        <f>HYPERLINK("https://app-web.statementrec.com/app#appuploadfiles/3a0a2040-73e7-397a-c1c9-54e76c6e774b","THE CROWN HOTEL (BAWTRY) LIMITED")</f>
      </c>
      <c r="B1014" s="3" t="s">
        <v>81</v>
      </c>
      <c r="C1014" s="4">
        <v>21</v>
      </c>
    </row>
    <row r="1015">
      <c r="A1015" s="5">
        <f>HYPERLINK("https://app-web.statementrec.com/app#appuploadfiles/3a0a2d6e-8d5f-7073-3366-71675262750d","Investec Bank")</f>
      </c>
      <c r="B1015" s="3" t="s">
        <v>48</v>
      </c>
      <c r="C1015" s="4">
        <v>4</v>
      </c>
    </row>
    <row r="1016">
      <c r="A1016" s="5">
        <f>HYPERLINK("https://app-web.statementrec.com/app#appuploadfiles/3a0a3442-3f7a-7edc-94d8-822353059afe","Fiti Exhaust")</f>
      </c>
      <c r="B1016" s="3" t="s">
        <v>38</v>
      </c>
      <c r="C1016" s="4">
        <v>9</v>
      </c>
    </row>
    <row r="1017">
      <c r="A1017" s="5">
        <f>HYPERLINK("https://app-web.statementrec.com/app#appuploadfiles/3a0a38fa-7349-696d-4b73-7032ac192722","DJ Jacobs")</f>
      </c>
      <c r="B1017" s="3" t="s">
        <v>80</v>
      </c>
      <c r="C1017" s="4">
        <v>6</v>
      </c>
    </row>
    <row r="1018">
      <c r="A1018" s="5">
        <f>HYPERLINK("https://app-web.statementrec.com/app#appuploadfiles/3a0a396f-c5e8-231c-aba6-fcf663ce13d6","RAW ENERGY SDN BHD")</f>
      </c>
      <c r="B1018" s="3" t="s">
        <v>261</v>
      </c>
      <c r="C1018" s="4">
        <v>8</v>
      </c>
    </row>
    <row r="1019">
      <c r="A1019" s="5">
        <f>HYPERLINK("https://app-web.statementrec.com/app#appuploadfiles/3a0a3ff0-7a09-8bce-392e-87e61d62ddff","B0706 Rea Restaurants Limited")</f>
      </c>
      <c r="B1019" s="3" t="s">
        <v>56</v>
      </c>
      <c r="C1019" s="4">
        <v>5</v>
      </c>
    </row>
    <row r="1020">
      <c r="A1020" s="5">
        <f>HYPERLINK("https://app-web.statementrec.com/app#appuploadfiles/3a0a43f7-2078-a75c-4277-73f6d2bcc97c","VV2 Eiendomme")</f>
      </c>
      <c r="B1020" s="3" t="s">
        <v>262</v>
      </c>
      <c r="C1020" s="4">
        <v>9</v>
      </c>
    </row>
    <row r="1021">
      <c r="A1021" s="5">
        <f>HYPERLINK("https://app-web.statementrec.com/app#appuploadfiles/3a0a4539-ced7-a4c0-ec97-82cc9215a203","Hamkel")</f>
      </c>
      <c r="B1021" s="3" t="s">
        <v>56</v>
      </c>
      <c r="C1021" s="4">
        <v>1</v>
      </c>
    </row>
    <row r="1022">
      <c r="A1022" s="5">
        <f>HYPERLINK("https://app-web.statementrec.com/app#appuploadfiles/3a0a4612-90e9-e5b4-0bd4-689b717e3a49","Leeson St")</f>
      </c>
      <c r="B1022" s="3" t="s">
        <v>3</v>
      </c>
      <c r="C1022" s="4">
        <v>2</v>
      </c>
    </row>
    <row r="1023">
      <c r="A1023" s="5">
        <f>HYPERLINK("https://app-web.statementrec.com/app#appuploadfiles/3a0a4977-d75e-cb93-ced9-375ad999dc44","Premain Limited")</f>
      </c>
      <c r="B1023" s="3" t="s">
        <v>84</v>
      </c>
      <c r="C1023" s="4">
        <v>1</v>
      </c>
    </row>
    <row r="1024">
      <c r="A1024" s="5">
        <f>HYPERLINK("https://app-web.statementrec.com/app#appuploadfiles/3a0a584d-d612-a654-001a-823d88f2cb4c","B286 - Bespoke Health Plans")</f>
      </c>
      <c r="B1024" s="3" t="s">
        <v>263</v>
      </c>
      <c r="C1024" s="4">
        <v>150</v>
      </c>
    </row>
    <row r="1025">
      <c r="A1025" s="5">
        <f>HYPERLINK("https://app-web.statementrec.com/app#appuploadfiles/3a0a59b6-0633-1eea-b08f-2fcaeee0c242","EASTRAND 4X4")</f>
      </c>
      <c r="B1025" s="3" t="s">
        <v>264</v>
      </c>
      <c r="C1025" s="4">
        <v>18</v>
      </c>
    </row>
    <row r="1026">
      <c r="A1026" s="5">
        <f>HYPERLINK("https://app-web.statementrec.com/app#appuploadfiles/3a0a6323-f6af-9e5d-d900-061b36118e48","334 Ramsbury Oxford")</f>
      </c>
      <c r="B1026" s="3" t="s">
        <v>56</v>
      </c>
      <c r="C1026" s="4">
        <v>60</v>
      </c>
    </row>
    <row r="1027">
      <c r="A1027" s="5">
        <f>HYPERLINK("https://app-web.statementrec.com/app#appuploadfiles/3a0a7e40-0346-7ae9-ceea-679c94e5f2e7","iris ceramica")</f>
      </c>
      <c r="B1027" s="3" t="s">
        <v>56</v>
      </c>
      <c r="C1027" s="4">
        <v>8</v>
      </c>
    </row>
    <row r="1028">
      <c r="A1028" s="5">
        <f>HYPERLINK("https://app-web.statementrec.com/app#appuploadfiles/3a0a876c-7065-7d8e-8673-c656a9fe2855","Nath Bishop")</f>
      </c>
      <c r="B1028" s="3" t="s">
        <v>17</v>
      </c>
      <c r="C1028" s="4">
        <v>11</v>
      </c>
    </row>
    <row r="1029">
      <c r="A1029" s="5">
        <f>HYPERLINK("https://app-web.statementrec.com/app#appuploadfiles/3a0a8d70-96bd-c1a4-8e6c-5e6dbc838e84","H0324T S J Haines")</f>
      </c>
      <c r="B1029" s="3" t="s">
        <v>18</v>
      </c>
      <c r="C1029" s="4">
        <v>26</v>
      </c>
    </row>
    <row r="1030">
      <c r="A1030" s="5">
        <f>HYPERLINK("https://app-web.statementrec.com/app#appuploadfiles/3a0a922e-fca4-b2ff-f7e4-2d9027a120a4","BO-DAHAB TMAS LTD")</f>
      </c>
      <c r="B1030" s="3" t="s">
        <v>265</v>
      </c>
      <c r="C1030" s="4">
        <v>6</v>
      </c>
    </row>
    <row r="1031">
      <c r="A1031" s="5">
        <f>HYPERLINK("https://app-web.statementrec.com/app#appuploadfiles/3a0a9ac7-2a07-8537-e9b7-0312f763a21e","CIAOGUSTO")</f>
      </c>
      <c r="B1031" s="3" t="s">
        <v>266</v>
      </c>
      <c r="C1031" s="4">
        <v>8</v>
      </c>
    </row>
    <row r="1032">
      <c r="A1032" s="5">
        <f>HYPERLINK("https://app-web.statementrec.com/app#appuploadfiles/3a0a9cda-1b90-3ff0-cc98-f2136568407a","Awad Holdings")</f>
      </c>
      <c r="B1032" s="3" t="s">
        <v>267</v>
      </c>
      <c r="C1032" s="4">
        <v>22</v>
      </c>
    </row>
    <row r="1033">
      <c r="A1033" s="5">
        <f>HYPERLINK("https://app-web.statementrec.com/app#appuploadfiles/3a0a9cda-cc7b-bc6b-fdc1-dd1ef013b719","Awad Enterprises")</f>
      </c>
      <c r="B1033" s="3" t="s">
        <v>268</v>
      </c>
      <c r="C1033" s="4">
        <v>10</v>
      </c>
    </row>
    <row r="1034">
      <c r="A1034" s="5">
        <f>HYPERLINK("https://app-web.statementrec.com/app#appuploadfiles/3a0aa220-9ff4-9654-a549-0140564c5ca1","Lavery Properties Ltd")</f>
      </c>
      <c r="B1034" s="3" t="s">
        <v>10</v>
      </c>
      <c r="C1034" s="4">
        <v>42</v>
      </c>
    </row>
    <row r="1035">
      <c r="A1035" s="5">
        <f>HYPERLINK("https://app-web.statementrec.com/app#appuploadfiles/3a0ab01d-f581-9db9-1a73-1192d5027093","The Reptile Barn &amp; Aquatics Limited")</f>
      </c>
      <c r="B1035" s="3" t="s">
        <v>15</v>
      </c>
      <c r="C1035" s="4">
        <v>5</v>
      </c>
    </row>
    <row r="1036">
      <c r="A1036" s="5">
        <f>HYPERLINK("https://app-web.statementrec.com/app#appuploadfiles/3a0ab2be-3024-5b60-fc59-6125ce245cfb","McVickers Insurance Services")</f>
      </c>
      <c r="B1036" s="3" t="s">
        <v>269</v>
      </c>
      <c r="C1036" s="4">
        <v>3</v>
      </c>
    </row>
    <row r="1037">
      <c r="A1037" s="5">
        <f>HYPERLINK("https://app-web.statementrec.com/app#appuploadfiles/3a0ac493-5baf-f357-2981-08b932985051","C Thornley")</f>
      </c>
      <c r="B1037" s="3" t="s">
        <v>18</v>
      </c>
      <c r="C1037" s="4">
        <v>9</v>
      </c>
    </row>
    <row r="1038">
      <c r="A1038" s="5">
        <f>HYPERLINK("https://app-web.statementrec.com/app#appuploadfiles/3a0acb2c-b066-dda6-033e-fceb909bfadb","A0018 B Attewell")</f>
      </c>
      <c r="B1038" s="3" t="s">
        <v>270</v>
      </c>
      <c r="C1038" s="4">
        <v>54</v>
      </c>
    </row>
    <row r="1039">
      <c r="A1039" s="5">
        <f>HYPERLINK("https://app-web.statementrec.com/app#appuploadfiles/3a0ace5d-fd9a-ea07-2dc3-d3f07ad2c950","SANA FORTIS SDN BHD")</f>
      </c>
      <c r="B1039" s="3" t="s">
        <v>10</v>
      </c>
      <c r="C1039" s="4">
        <v>3</v>
      </c>
    </row>
    <row r="1040">
      <c r="A1040" s="5">
        <f>HYPERLINK("https://app-web.statementrec.com/app#appuploadfiles/3a0ace5e-dfdc-dfe1-70eb-1ef2181f5d9f","SANA FORTIS ANIMAL FEED NS SDN BHD")</f>
      </c>
      <c r="B1040" s="3" t="s">
        <v>271</v>
      </c>
      <c r="C1040" s="4">
        <v>13</v>
      </c>
    </row>
    <row r="1041">
      <c r="A1041" s="5">
        <f>HYPERLINK("https://app-web.statementrec.com/app#appuploadfiles/3a0ad2ed-2618-1e05-27ca-98971da502f9","J Parsons")</f>
      </c>
      <c r="B1041" s="3" t="s">
        <v>12</v>
      </c>
      <c r="C1041" s="4">
        <v>17</v>
      </c>
    </row>
    <row r="1042">
      <c r="A1042" s="5">
        <f>HYPERLINK("https://app-web.statementrec.com/app#appuploadfiles/3a0ad55a-9395-be76-03b0-f68755990c8d","Zebrec")</f>
      </c>
      <c r="B1042" s="3" t="s">
        <v>17</v>
      </c>
      <c r="C1042" s="4">
        <v>4</v>
      </c>
    </row>
    <row r="1043">
      <c r="A1043" s="5">
        <f>HYPERLINK("https://app-web.statementrec.com/app#appuploadfiles/3a0ad629-0704-c5f4-36d0-81e409200e76","Tailspot T/A GREENSTONE")</f>
      </c>
      <c r="B1043" s="3" t="s">
        <v>95</v>
      </c>
      <c r="C1043" s="4">
        <v>21</v>
      </c>
    </row>
    <row r="1044">
      <c r="A1044" s="5">
        <f>HYPERLINK("https://app-web.statementrec.com/app#appuploadfiles/3a0adf62-3937-196e-a20a-9f7ce440ae77","MarkandCarole Knight")</f>
      </c>
      <c r="B1044" s="3" t="s">
        <v>15</v>
      </c>
      <c r="C1044" s="4">
        <v>24</v>
      </c>
    </row>
    <row r="1045">
      <c r="A1045" s="5">
        <f>HYPERLINK("https://app-web.statementrec.com/app#appuploadfiles/3a0aea15-cc2f-50b2-940e-aa6a0749d794","Consultingwhere Limited")</f>
      </c>
      <c r="B1045" s="3" t="s">
        <v>46</v>
      </c>
      <c r="C1045" s="4">
        <v>8</v>
      </c>
    </row>
    <row r="1046">
      <c r="A1046" s="5">
        <f>HYPERLINK("https://app-web.statementrec.com/app#appuploadfiles/3a0aea71-cb06-e737-1205-3ca242587053","Count Junkula Raleigh")</f>
      </c>
      <c r="B1046" s="3" t="s">
        <v>146</v>
      </c>
      <c r="C1046" s="4">
        <v>5</v>
      </c>
    </row>
    <row r="1047">
      <c r="A1047" s="5">
        <f>HYPERLINK("https://app-web.statementrec.com/app#appuploadfiles/3a0aeac0-cad6-0db4-1abc-2728bde8be0a","April 2023")</f>
      </c>
      <c r="B1047" s="3" t="s">
        <v>272</v>
      </c>
      <c r="C1047" s="4">
        <v>8</v>
      </c>
    </row>
    <row r="1048">
      <c r="A1048" s="5">
        <f>HYPERLINK("https://app-web.statementrec.com/app#appuploadfiles/3a0aee3d-3dbb-a5c2-be18-8cb4e719b1f0","8PCX Limited")</f>
      </c>
      <c r="B1048" s="3" t="s">
        <v>17</v>
      </c>
      <c r="C1048" s="4">
        <v>6</v>
      </c>
    </row>
    <row r="1049">
      <c r="A1049" s="5">
        <f>HYPERLINK("https://app-web.statementrec.com/app#appuploadfiles/3a0aef53-c4ff-b41e-ef31-cf7ffd486b5c","Allan McArthur")</f>
      </c>
      <c r="B1049" s="3" t="s">
        <v>130</v>
      </c>
      <c r="C1049" s="4">
        <v>14</v>
      </c>
    </row>
    <row r="1050">
      <c r="A1050" s="5">
        <f>HYPERLINK("https://app-web.statementrec.com/app#appuploadfiles/3a0af47f-2b9b-e2ef-0ece-d63e8ac6ede8","Willow Tree")</f>
      </c>
      <c r="B1050" s="3" t="s">
        <v>19</v>
      </c>
      <c r="C1050" s="4">
        <v>5</v>
      </c>
    </row>
    <row r="1051">
      <c r="A1051" s="5">
        <f>HYPERLINK("https://app-web.statementrec.com/app#appuploadfiles/3a0af871-f421-25a0-bb1c-74b13c187879","WR Liebenberg")</f>
      </c>
      <c r="B1051" s="3" t="s">
        <v>80</v>
      </c>
      <c r="C1051" s="4">
        <v>4</v>
      </c>
    </row>
    <row r="1052">
      <c r="A1052" s="5">
        <f>HYPERLINK("https://app-web.statementrec.com/app#appuploadfiles/3a0af90f-35f6-f93e-eb1a-2acd635a5c8c","Service Client Management")</f>
      </c>
      <c r="B1052" s="3" t="s">
        <v>12</v>
      </c>
      <c r="C1052" s="4">
        <v>3</v>
      </c>
    </row>
    <row r="1053">
      <c r="A1053" s="5">
        <f>HYPERLINK("https://app-web.statementrec.com/app#appuploadfiles/3a0afd36-c451-9722-cd2e-55c37140792a","Oak Public House Limited")</f>
      </c>
      <c r="B1053" s="3" t="s">
        <v>15</v>
      </c>
      <c r="C1053" s="4">
        <v>16</v>
      </c>
    </row>
    <row r="1054">
      <c r="A1054" s="5">
        <f>HYPERLINK("https://app-web.statementrec.com/app#appuploadfiles/3a0b03b2-ee66-7ec3-fc48-4a9ff842a5a0","IES Ltd")</f>
      </c>
      <c r="B1054" s="3" t="s">
        <v>17</v>
      </c>
      <c r="C1054" s="4">
        <v>4</v>
      </c>
    </row>
    <row r="1055">
      <c r="A1055" s="5">
        <f>HYPERLINK("https://app-web.statementrec.com/app#appuploadfiles/3a0b0bde-c9d0-608c-77fe-f03cac87e53e","CL4U")</f>
      </c>
      <c r="B1055" s="3" t="s">
        <v>12</v>
      </c>
      <c r="C1055" s="4">
        <v>4</v>
      </c>
    </row>
    <row r="1056">
      <c r="A1056" s="5">
        <f>HYPERLINK("https://app-web.statementrec.com/app#appuploadfiles/3a0b169c-65db-4677-e852-b234be80260f","Mcrod Enterprizes 60")</f>
      </c>
      <c r="B1056" s="3" t="s">
        <v>80</v>
      </c>
      <c r="C1056" s="4">
        <v>5</v>
      </c>
    </row>
    <row r="1057">
      <c r="A1057" s="5">
        <f>HYPERLINK("https://app-web.statementrec.com/app#appuploadfiles/3a0b178d-5ceb-155e-01ee-d1d976661986","Revision Design Ltd")</f>
      </c>
      <c r="B1057" s="3" t="s">
        <v>10</v>
      </c>
      <c r="C1057" s="4">
        <v>17</v>
      </c>
    </row>
    <row r="1058">
      <c r="A1058" s="5">
        <f>HYPERLINK("https://app-web.statementrec.com/app#appuploadfiles/3a0b1797-fca9-873a-4f5a-89b2569f51b0","STATUS EMPLOYMENT LTD")</f>
      </c>
      <c r="B1058" s="3" t="s">
        <v>273</v>
      </c>
      <c r="C1058" s="4">
        <v>52</v>
      </c>
    </row>
    <row r="1059">
      <c r="A1059" s="5">
        <f>HYPERLINK("https://app-web.statementrec.com/app#appuploadfiles/3a0b1a0c-2812-d9c7-6926-74adde05a36d","Climbing Mountains")</f>
      </c>
      <c r="B1059" s="3" t="s">
        <v>274</v>
      </c>
      <c r="C1059" s="4">
        <v>15</v>
      </c>
    </row>
    <row r="1060">
      <c r="A1060" s="5">
        <f>HYPERLINK("https://app-web.statementrec.com/app#appuploadfiles/3a0b1c9b-f882-a81f-b4f8-7078d2e118ef","High Peak Pro")</f>
      </c>
      <c r="B1060" s="3" t="s">
        <v>15</v>
      </c>
      <c r="C1060" s="4">
        <v>6</v>
      </c>
    </row>
    <row r="1061">
      <c r="A1061" s="5">
        <f>HYPERLINK("https://app-web.statementrec.com/app#appuploadfiles/3a0b22d6-50bf-1f44-07a6-82be4b02fca4","Just Convert Ltd")</f>
      </c>
      <c r="B1061" s="3" t="s">
        <v>43</v>
      </c>
      <c r="C1061" s="4">
        <v>7</v>
      </c>
    </row>
    <row r="1062">
      <c r="A1062" s="5">
        <f>HYPERLINK("https://app-web.statementrec.com/app#appuploadfiles/3a0b3098-5aff-3318-d848-1c0ec8f4a32e","Hello Beautiful Aesthetics Ltd")</f>
      </c>
      <c r="B1062" s="3" t="s">
        <v>84</v>
      </c>
      <c r="C1062" s="4">
        <v>25</v>
      </c>
    </row>
    <row r="1063">
      <c r="A1063" s="5">
        <f>HYPERLINK("https://app-web.statementrec.com/app#appuploadfiles/3a0b3174-daab-2af9-2320-1cf2081eab11","Nice One Hairdresser Ltd")</f>
      </c>
      <c r="B1063" s="3" t="s">
        <v>17</v>
      </c>
      <c r="C1063" s="4">
        <v>15</v>
      </c>
    </row>
    <row r="1064">
      <c r="A1064" s="5">
        <f>HYPERLINK("https://app-web.statementrec.com/app#appuploadfiles/3a0b31cc-44df-0906-68ce-a2210e908f08","ROD Draintech Ltd")</f>
      </c>
      <c r="B1064" s="3" t="s">
        <v>12</v>
      </c>
      <c r="C1064" s="4">
        <v>3</v>
      </c>
    </row>
    <row r="1065">
      <c r="A1065" s="5">
        <f>HYPERLINK("https://app-web.statementrec.com/app#appuploadfiles/3a0b31fe-a9a2-37d1-240c-96d8dfd14fd0","Bruce Cleaning")</f>
      </c>
      <c r="B1065" s="3" t="s">
        <v>181</v>
      </c>
      <c r="C1065" s="4">
        <v>4</v>
      </c>
    </row>
    <row r="1066">
      <c r="A1066" s="5">
        <f>HYPERLINK("https://app-web.statementrec.com/app#appuploadfiles/3a0b32c9-01e2-e1a6-03c9-61878f5ca07b","Apex Chambers Management Limited")</f>
      </c>
      <c r="B1066" s="3" t="s">
        <v>15</v>
      </c>
      <c r="C1066" s="4">
        <v>3</v>
      </c>
    </row>
    <row r="1067">
      <c r="A1067" s="5">
        <f>HYPERLINK("https://app-web.statementrec.com/app#appuploadfiles/3a0b3629-3c31-e836-9588-9a37476459bb","Tyne Home Improvements Ltd")</f>
      </c>
      <c r="B1067" s="3" t="s">
        <v>29</v>
      </c>
      <c r="C1067" s="4">
        <v>6</v>
      </c>
    </row>
    <row r="1068">
      <c r="A1068" s="5">
        <f>HYPERLINK("https://app-web.statementrec.com/app#appuploadfiles/3a0b3767-7c41-6de0-59f4-b252513f6452","30.4.23")</f>
      </c>
      <c r="B1068" s="3" t="s">
        <v>275</v>
      </c>
      <c r="C1068" s="4">
        <v>2</v>
      </c>
    </row>
    <row r="1069">
      <c r="A1069" s="5">
        <f>HYPERLINK("https://app-web.statementrec.com/app#appuploadfiles/3a0b3b13-0509-01f0-9215-fedb7d48f3ae","Emma")</f>
      </c>
      <c r="B1069" s="3" t="s">
        <v>19</v>
      </c>
      <c r="C1069" s="4">
        <v>7</v>
      </c>
    </row>
    <row r="1070">
      <c r="A1070" s="5">
        <f>HYPERLINK("https://app-web.statementrec.com/app#appuploadfiles/3a0b401a-8755-17d9-2dc8-c310b54a051e","Sam Parker Paving Ltd")</f>
      </c>
      <c r="B1070" s="3" t="s">
        <v>15</v>
      </c>
      <c r="C1070" s="4">
        <v>5</v>
      </c>
    </row>
    <row r="1071">
      <c r="A1071" s="5">
        <f>HYPERLINK("https://app-web.statementrec.com/app#appuploadfiles/3a0b405d-4f19-945c-4eb1-aca48f0773d9","Jon Shenfine Private Practice")</f>
      </c>
      <c r="B1071" s="3" t="s">
        <v>276</v>
      </c>
      <c r="C1071" s="4">
        <v>22</v>
      </c>
    </row>
    <row r="1072">
      <c r="A1072" s="5">
        <f>HYPERLINK("https://app-web.statementrec.com/app#appuploadfiles/3a0b410f-bfb5-2518-c45b-89c25ca771b6","Patricks Assemblers Ltd")</f>
      </c>
      <c r="B1072" s="3" t="s">
        <v>26</v>
      </c>
      <c r="C1072" s="4">
        <v>31</v>
      </c>
    </row>
    <row r="1073">
      <c r="A1073" s="5">
        <f>HYPERLINK("https://app-web.statementrec.com/app#appuploadfiles/3a0b4544-4276-0835-3e0d-d95aaf8b53ab","Thomas Egan Ltd")</f>
      </c>
      <c r="B1073" s="3" t="s">
        <v>19</v>
      </c>
      <c r="C1073" s="4">
        <v>27</v>
      </c>
    </row>
    <row r="1074">
      <c r="A1074" s="5">
        <f>HYPERLINK("https://app-web.statementrec.com/app#appuploadfiles/3a0b54db-a184-d503-dd70-ff3b7f48e7a2","G&amp;P Crash Repairs")</f>
      </c>
      <c r="B1074" s="3" t="s">
        <v>277</v>
      </c>
      <c r="C1074" s="4">
        <v>5</v>
      </c>
    </row>
    <row r="1075">
      <c r="A1075" s="5">
        <f>HYPERLINK("https://app-web.statementrec.com/app#appuploadfiles/3a0b5508-bd68-c2e6-7388-749b882f76cf","Furniture Agencies Ltd")</f>
      </c>
      <c r="B1075" s="3" t="s">
        <v>12</v>
      </c>
      <c r="C1075" s="4">
        <v>4</v>
      </c>
    </row>
    <row r="1076">
      <c r="A1076" s="5">
        <f>HYPERLINK("https://app-web.statementrec.com/app#appuploadfiles/3a0b556e-4eb9-6cde-b975-135ca102967e","Martina O'Crowley")</f>
      </c>
      <c r="B1076" s="3" t="s">
        <v>75</v>
      </c>
      <c r="C1076" s="4">
        <v>6</v>
      </c>
    </row>
    <row r="1077">
      <c r="A1077" s="5">
        <f>HYPERLINK("https://app-web.statementrec.com/app#appuploadfiles/3a0b55e5-0ba8-9ff0-c82b-061d79dfe270","Bank of America CC")</f>
      </c>
      <c r="B1077" s="3" t="s">
        <v>146</v>
      </c>
      <c r="C1077" s="4">
        <v>1</v>
      </c>
    </row>
    <row r="1078">
      <c r="A1078" s="5">
        <f>HYPERLINK("https://app-web.statementrec.com/app#appuploadfiles/3a0b55e5-87cc-5bed-8f95-ebcac0a08da7","TD Operating x0616 Online")</f>
      </c>
      <c r="B1078" s="3" t="s">
        <v>278</v>
      </c>
      <c r="C1078" s="4">
        <v>6</v>
      </c>
    </row>
    <row r="1079">
      <c r="A1079" s="5">
        <f>HYPERLINK("https://app-web.statementrec.com/app#appuploadfiles/3a0b562c-7289-c620-9f8e-99b7faea2a4b","April 2023")</f>
      </c>
      <c r="B1079" s="3" t="s">
        <v>56</v>
      </c>
      <c r="C1079" s="4">
        <v>42</v>
      </c>
    </row>
    <row r="1080">
      <c r="A1080" s="5">
        <f>HYPERLINK("https://app-web.statementrec.com/app#appuploadfiles/3a0b5a06-353b-8887-4db4-59d295dd1c00","NEW WOMAN")</f>
      </c>
      <c r="B1080" s="3" t="s">
        <v>17</v>
      </c>
      <c r="C1080" s="4">
        <v>5</v>
      </c>
    </row>
    <row r="1081">
      <c r="A1081" s="5">
        <f>HYPERLINK("https://app-web.statementrec.com/app#appuploadfiles/3a0b5a93-decb-8520-0ed2-ce8ab06acbfd","THTC Limited")</f>
      </c>
      <c r="B1081" s="3" t="s">
        <v>279</v>
      </c>
      <c r="C1081" s="4">
        <v>13</v>
      </c>
    </row>
    <row r="1082">
      <c r="A1082" s="5">
        <f>HYPERLINK("https://app-web.statementrec.com/app#appuploadfiles/3a0b5ae3-d0a9-5099-649a-6d02b876f648","The Jazz Foundation")</f>
      </c>
      <c r="B1082" s="3" t="s">
        <v>80</v>
      </c>
      <c r="C1082" s="4">
        <v>2</v>
      </c>
    </row>
    <row r="1083">
      <c r="A1083" s="5">
        <f>HYPERLINK("https://app-web.statementrec.com/app#appuploadfiles/3a0b5c63-5cc4-9280-6144-ba2e7e4ccafc","Tafari Transport &amp; Movers LLC")</f>
      </c>
      <c r="B1083" s="3" t="s">
        <v>280</v>
      </c>
      <c r="C1083" s="4">
        <v>43</v>
      </c>
    </row>
    <row r="1084">
      <c r="A1084" s="5">
        <f>HYPERLINK("https://app-web.statementrec.com/app#appuploadfiles/3a0b5f0c-1d29-d132-50af-59057528c9d8","Malgorzata Grudzien")</f>
      </c>
      <c r="B1084" s="3" t="s">
        <v>10</v>
      </c>
      <c r="C1084" s="4">
        <v>32</v>
      </c>
    </row>
    <row r="1085">
      <c r="A1085" s="5">
        <f>HYPERLINK("https://app-web.statementrec.com/app#appuploadfiles/3a0b6052-df17-a36c-af6c-724168b524c2","molloy engineering ltd")</f>
      </c>
      <c r="B1085" s="3" t="s">
        <v>277</v>
      </c>
      <c r="C1085" s="4">
        <v>8</v>
      </c>
    </row>
    <row r="1086">
      <c r="A1086" s="5">
        <f>HYPERLINK("https://app-web.statementrec.com/app#appuploadfiles/3a0b6069-3874-84f1-993c-13fd0a1a3cd1","Julie Gilkinson Bookkeeping Services")</f>
      </c>
      <c r="B1086" s="3" t="s">
        <v>21</v>
      </c>
      <c r="C1086" s="4">
        <v>5</v>
      </c>
    </row>
    <row r="1087">
      <c r="A1087" s="5">
        <f>HYPERLINK("https://app-web.statementrec.com/app#appuploadfiles/3a0b6088-5ce1-0545-2a49-903fab4f10ed","KHK Racing Limited")</f>
      </c>
      <c r="B1087" s="3" t="s">
        <v>281</v>
      </c>
      <c r="C1087" s="4">
        <v>4</v>
      </c>
    </row>
    <row r="1088">
      <c r="A1088" s="5">
        <f>HYPERLINK("https://app-web.statementrec.com/app#appuploadfiles/3a0b65cb-9ced-4c2d-12b0-722a677a0827","R0161P Mr and Mrs CG Robinson")</f>
      </c>
      <c r="B1088" s="3" t="s">
        <v>139</v>
      </c>
      <c r="C1088" s="4">
        <v>24</v>
      </c>
    </row>
    <row r="1089">
      <c r="A1089" s="5">
        <f>HYPERLINK("https://app-web.statementrec.com/app#appuploadfiles/3a0b68aa-8e8d-a062-5544-26352180cdf6","EMPRESA LONDON LIMITED")</f>
      </c>
      <c r="B1089" s="3" t="s">
        <v>282</v>
      </c>
      <c r="C1089" s="4">
        <v>12</v>
      </c>
    </row>
    <row r="1090">
      <c r="A1090" s="5">
        <f>HYPERLINK("https://app-web.statementrec.com/app#appuploadfiles/3a0b69a3-d779-3ec9-fe03-c5518f71bdaf","Kamil Uhle Ltd")</f>
      </c>
      <c r="B1090" s="3" t="s">
        <v>11</v>
      </c>
      <c r="C1090" s="4">
        <v>11</v>
      </c>
    </row>
    <row r="1091">
      <c r="A1091" s="5">
        <f>HYPERLINK("https://app-web.statementrec.com/app#appuploadfiles/3a0b6a95-b5d8-e941-3d2a-1059b1f8e2c6","Cobley Consulting Ltd")</f>
      </c>
      <c r="B1091" s="3" t="s">
        <v>84</v>
      </c>
      <c r="C1091" s="4">
        <v>1</v>
      </c>
    </row>
    <row r="1092">
      <c r="A1092" s="5">
        <f>HYPERLINK("https://app-web.statementrec.com/app#appuploadfiles/3a0b6eb9-d0bb-68e1-5af9-f5c566adf3e6","Pinkmead Bistro")</f>
      </c>
      <c r="B1092" s="3" t="s">
        <v>84</v>
      </c>
      <c r="C1092" s="4">
        <v>28</v>
      </c>
    </row>
    <row r="1093">
      <c r="A1093" s="5">
        <f>HYPERLINK("https://app-web.statementrec.com/app#appuploadfiles/3a0b74a2-9b1c-8ebe-4fad-58c80d4b50d8","Heel &amp; Toe")</f>
      </c>
      <c r="B1093" s="3" t="s">
        <v>17</v>
      </c>
      <c r="C1093" s="4">
        <v>15</v>
      </c>
    </row>
    <row r="1094">
      <c r="A1094" s="5">
        <f>HYPERLINK("https://app-web.statementrec.com/app#appuploadfiles/3a0b8375-f446-60e2-50e5-32a4faea04b0","O0101 - OKL Consultancy Ltd")</f>
      </c>
      <c r="B1094" s="3" t="s">
        <v>77</v>
      </c>
      <c r="C1094" s="4">
        <v>1</v>
      </c>
    </row>
    <row r="1095">
      <c r="A1095" s="5">
        <f>HYPERLINK("https://app-web.statementrec.com/app#appuploadfiles/3a0b8d58-0177-0a75-fce0-8c4510daa48d","B LEE &amp; SONS METALS LIMITED")</f>
      </c>
      <c r="B1095" s="3" t="s">
        <v>13</v>
      </c>
      <c r="C1095" s="4">
        <v>152</v>
      </c>
    </row>
    <row r="1096">
      <c r="A1096" s="5">
        <f>HYPERLINK("https://app-web.statementrec.com/app#appuploadfiles/3a0b8d8a-5939-35e7-f2e6-cf6bbea12e3c","The Development Company UK Ltd")</f>
      </c>
      <c r="B1096" s="3" t="s">
        <v>18</v>
      </c>
      <c r="C1096" s="4">
        <v>10</v>
      </c>
    </row>
    <row r="1097">
      <c r="A1097" s="5">
        <f>HYPERLINK("https://app-web.statementrec.com/app#appuploadfiles/3a0b8ede-f0cc-1d5c-810d-57873a020adb","Dream Rides of Tennessee LLC")</f>
      </c>
      <c r="B1097" s="3" t="s">
        <v>283</v>
      </c>
      <c r="C1097" s="4">
        <v>30</v>
      </c>
    </row>
    <row r="1098">
      <c r="A1098" s="5">
        <f>HYPERLINK("https://app-web.statementrec.com/app#appuploadfiles/3a0b9421-7762-080f-7015-6bf606e2723b","John Paul Grant")</f>
      </c>
      <c r="B1098" s="3" t="s">
        <v>75</v>
      </c>
      <c r="C1098" s="4">
        <v>19</v>
      </c>
    </row>
    <row r="1099">
      <c r="A1099" s="5">
        <f>HYPERLINK("https://app-web.statementrec.com/app#appuploadfiles/3a0b9d14-61a2-06ac-1a8e-cf157f3f7b95","Spiritstone Limited")</f>
      </c>
      <c r="B1099" s="3" t="s">
        <v>15</v>
      </c>
      <c r="C1099" s="4">
        <v>4</v>
      </c>
    </row>
    <row r="1100">
      <c r="A1100" s="5">
        <f>HYPERLINK("https://app-web.statementrec.com/app#appuploadfiles/3a0b9e3b-32ad-31f7-1ba7-f84295e7bbc1","Invader Plant Specialists")</f>
      </c>
      <c r="B1100" s="3" t="s">
        <v>118</v>
      </c>
      <c r="C1100" s="4">
        <v>1</v>
      </c>
    </row>
    <row r="1101">
      <c r="A1101" s="5">
        <f>HYPERLINK("https://app-web.statementrec.com/app#appuploadfiles/3a0b9efe-c764-1017-5592-a75c056d6a15","Lake Cycling UK")</f>
      </c>
      <c r="B1101" s="3" t="s">
        <v>284</v>
      </c>
      <c r="C1101" s="4">
        <v>39</v>
      </c>
    </row>
    <row r="1102">
      <c r="A1102" s="5">
        <f>HYPERLINK("https://app-web.statementrec.com/app#appuploadfiles/3a0ba21d-6069-9099-1a9c-1ab236ce9b29","LUKA &amp; DOBE LTD")</f>
      </c>
      <c r="B1102" s="3" t="s">
        <v>36</v>
      </c>
      <c r="C1102" s="4">
        <v>2</v>
      </c>
    </row>
    <row r="1103">
      <c r="A1103" s="5">
        <f>HYPERLINK("https://app-web.statementrec.com/app#appuploadfiles/3a0ba7f2-a896-2f13-8ff0-01e746855389","CGA Healthcare")</f>
      </c>
      <c r="B1103" s="3" t="s">
        <v>18</v>
      </c>
      <c r="C1103" s="4">
        <v>12</v>
      </c>
    </row>
    <row r="1104">
      <c r="A1104" s="5">
        <f>HYPERLINK("https://app-web.statementrec.com/app#appuploadfiles/3a0bad95-8a43-e85a-87b5-6baf0786c0cd","Barnes Consultancy Limited_1120381_101")</f>
      </c>
      <c r="B1104" s="3" t="s">
        <v>8</v>
      </c>
      <c r="C1104" s="4">
        <v>12</v>
      </c>
    </row>
    <row r="1105">
      <c r="A1105" s="5">
        <f>HYPERLINK("https://app-web.statementrec.com/app#appuploadfiles/3a0bc1a6-2869-fe42-00c7-9ae348a7b0ac","WISE EUR")</f>
      </c>
      <c r="B1105" s="3" t="s">
        <v>43</v>
      </c>
      <c r="C1105" s="4">
        <v>2</v>
      </c>
    </row>
    <row r="1106">
      <c r="A1106" s="5">
        <f>HYPERLINK("https://app-web.statementrec.com/app#appuploadfiles/3a0bc1a6-cf79-41df-4a79-b2a61de22daa","WISE USD")</f>
      </c>
      <c r="B1106" s="3" t="s">
        <v>43</v>
      </c>
      <c r="C1106" s="4">
        <v>5</v>
      </c>
    </row>
    <row r="1107">
      <c r="A1107" s="5">
        <f>HYPERLINK("https://app-web.statementrec.com/app#appuploadfiles/3a0bc615-c82e-55d5-57ae-bca194b11380","Stone Match Limuted")</f>
      </c>
      <c r="B1107" s="3" t="s">
        <v>12</v>
      </c>
      <c r="C1107" s="4">
        <v>21</v>
      </c>
    </row>
    <row r="1108">
      <c r="A1108" s="5">
        <f>HYPERLINK("https://app-web.statementrec.com/app#appuploadfiles/3a0bc73b-c6e9-e2fd-8bea-692008090eea","Idea Nest, LLC")</f>
      </c>
      <c r="B1108" s="3" t="s">
        <v>285</v>
      </c>
      <c r="C1108" s="4">
        <v>11</v>
      </c>
    </row>
    <row r="1109">
      <c r="A1109" s="5">
        <f>HYPERLINK("https://app-web.statementrec.com/app#appuploadfiles/3a0bcc4b-1446-a538-a155-377eb104bd19","CTOC")</f>
      </c>
      <c r="B1109" s="3" t="s">
        <v>286</v>
      </c>
      <c r="C1109" s="4">
        <v>46</v>
      </c>
    </row>
    <row r="1110">
      <c r="A1110" s="5">
        <f>HYPERLINK("https://app-web.statementrec.com/app#appuploadfiles/3a0bd05c-3a8a-0651-1c89-2e8c372418d0","Jamie Watikins")</f>
      </c>
      <c r="B1110" s="3" t="s">
        <v>19</v>
      </c>
      <c r="C1110" s="4">
        <v>40</v>
      </c>
    </row>
    <row r="1111">
      <c r="A1111" s="5">
        <f>HYPERLINK("https://app-web.statementrec.com/app#appuploadfiles/3a0bd07d-d255-49b0-c951-b03a191f5fbb","Murphy Sheanon Limited")</f>
      </c>
      <c r="B1111" s="3" t="s">
        <v>11</v>
      </c>
      <c r="C1111" s="4">
        <v>6</v>
      </c>
    </row>
    <row r="1112">
      <c r="A1112" s="5">
        <f>HYPERLINK("https://app-web.statementrec.com/app#appuploadfiles/3a0bd0c4-bbb0-2dd6-67c8-df4126a3b1b9","David Rawlins")</f>
      </c>
      <c r="B1112" s="3" t="s">
        <v>287</v>
      </c>
      <c r="C1112" s="4">
        <v>47</v>
      </c>
    </row>
    <row r="1113">
      <c r="A1113" s="5">
        <f>HYPERLINK("https://app-web.statementrec.com/app#appuploadfiles/3a0bd675-ab7c-de08-7e04-dc00f3c76360","Atomar Engineering Limited")</f>
      </c>
      <c r="B1113" s="3" t="s">
        <v>12</v>
      </c>
      <c r="C1113" s="4">
        <v>21</v>
      </c>
    </row>
    <row r="1114">
      <c r="A1114" s="5">
        <f>HYPERLINK("https://app-web.statementrec.com/app#appuploadfiles/3a0bd865-7290-207b-df2e-7d88d75bba06","La Tortilla")</f>
      </c>
      <c r="B1114" s="3" t="s">
        <v>15</v>
      </c>
      <c r="C1114" s="4">
        <v>34</v>
      </c>
    </row>
    <row r="1115">
      <c r="A1115" s="5">
        <f>HYPERLINK("https://app-web.statementrec.com/app#appuploadfiles/3a0be68c-df02-2a7a-056b-56c038f35ed1","Lavish Nail Spa LLC")</f>
      </c>
      <c r="B1115" s="3" t="s">
        <v>58</v>
      </c>
      <c r="C1115" s="4">
        <v>24</v>
      </c>
    </row>
    <row r="1116">
      <c r="A1116" s="5">
        <f>HYPERLINK("https://app-web.statementrec.com/app#appuploadfiles/3a0bea00-3bf2-9f91-8fb8-70fb49d5a56e","Trenow Limited")</f>
      </c>
      <c r="B1116" s="3" t="s">
        <v>288</v>
      </c>
      <c r="C1116" s="4">
        <v>84</v>
      </c>
    </row>
    <row r="1117">
      <c r="A1117" s="5">
        <f>HYPERLINK("https://app-web.statementrec.com/app#appuploadfiles/3a0bf4c9-84c5-9c21-16c5-8026a1492eef","B7868 DH Westlink Limited")</f>
      </c>
      <c r="B1117" s="3" t="s">
        <v>10</v>
      </c>
      <c r="C1117" s="4">
        <v>53</v>
      </c>
    </row>
    <row r="1118">
      <c r="A1118" s="5">
        <f>HYPERLINK("https://app-web.statementrec.com/app#appuploadfiles/3a0bf68b-068a-d865-2312-a6ac7704998c","Peyton Williams Jewelry")</f>
      </c>
      <c r="B1118" s="3" t="s">
        <v>144</v>
      </c>
      <c r="C1118" s="4">
        <v>16</v>
      </c>
    </row>
    <row r="1119">
      <c r="A1119" s="5">
        <f>HYPERLINK("https://app-web.statementrec.com/app#appuploadfiles/3a0c0dcb-d029-209d-3bb4-d5a860ff7586","Eastcoast Access (Pty) Ltd")</f>
      </c>
      <c r="B1119" s="3" t="s">
        <v>80</v>
      </c>
      <c r="C1119" s="4">
        <v>4</v>
      </c>
    </row>
    <row r="1120">
      <c r="A1120" s="5">
        <f>HYPERLINK("https://app-web.statementrec.com/app#appuploadfiles/3a0c0fcd-7388-262f-3e67-6b774346fff7","Centex Calgary")</f>
      </c>
      <c r="B1120" s="3" t="s">
        <v>289</v>
      </c>
      <c r="C1120" s="4">
        <v>297</v>
      </c>
    </row>
    <row r="1121">
      <c r="A1121" s="5">
        <f>HYPERLINK("https://app-web.statementrec.com/app#appuploadfiles/3a0c2fb0-43f4-bd8a-1b26-8e457afbc31c","Lema Mo Africa Group")</f>
      </c>
      <c r="B1121" s="3" t="s">
        <v>290</v>
      </c>
      <c r="C1121" s="4">
        <v>12</v>
      </c>
    </row>
    <row r="1122">
      <c r="A1122" s="5">
        <f>HYPERLINK("https://app-web.statementrec.com/app#appuploadfiles/3a0c32f9-5f3e-c8b3-9eb2-de1493e4a560","MAVUTA BOUTIQUE APARTMENTS")</f>
      </c>
      <c r="B1122" s="3" t="s">
        <v>246</v>
      </c>
      <c r="C1122" s="4">
        <v>2</v>
      </c>
    </row>
    <row r="1123">
      <c r="A1123" s="5">
        <f>HYPERLINK("https://app-web.statementrec.com/app#appuploadfiles/3a0c32ff-93fc-5baa-71fd-ceb6b2281620","MAVUTA MANOR")</f>
      </c>
      <c r="B1123" s="3" t="s">
        <v>44</v>
      </c>
      <c r="C1123" s="4">
        <v>2</v>
      </c>
    </row>
    <row r="1124">
      <c r="A1124" s="5">
        <f>HYPERLINK("https://app-web.statementrec.com/app#appuploadfiles/3a0c3830-6dca-a350-e916-95f935f85184","Eristep")</f>
      </c>
      <c r="B1124" s="3" t="s">
        <v>291</v>
      </c>
      <c r="C1124" s="4">
        <v>101</v>
      </c>
    </row>
    <row r="1125">
      <c r="A1125" s="5">
        <f>HYPERLINK("https://app-web.statementrec.com/app#appuploadfiles/3a0c3d89-22a2-d79a-7545-b8d16789ccb2","Reinaldo Grube - Sole Trade")</f>
      </c>
      <c r="B1125" s="3" t="s">
        <v>292</v>
      </c>
      <c r="C1125" s="4">
        <v>53</v>
      </c>
    </row>
    <row r="1126">
      <c r="A1126" s="5">
        <f>HYPERLINK("https://app-web.statementrec.com/app#appuploadfiles/3a0c3df5-7c15-53e7-d033-c17be14a514f","1886 Humble Backyard")</f>
      </c>
      <c r="B1126" s="3" t="s">
        <v>58</v>
      </c>
      <c r="C1126" s="4">
        <v>128</v>
      </c>
    </row>
    <row r="1127">
      <c r="A1127" s="5">
        <f>HYPERLINK("https://app-web.statementrec.com/app#appuploadfiles/3a0c3e17-f135-693f-66a7-f2bc9a2764ba","2022 Accounts")</f>
      </c>
      <c r="B1127" s="3" t="s">
        <v>17</v>
      </c>
      <c r="C1127" s="4">
        <v>26</v>
      </c>
    </row>
    <row r="1128">
      <c r="A1128" s="5">
        <f>HYPERLINK("https://app-web.statementrec.com/app#appuploadfiles/3a0c3f36-2f05-dc88-ee0b-04d999365fd5","DKJ")</f>
      </c>
      <c r="B1128" s="3" t="s">
        <v>40</v>
      </c>
      <c r="C1128" s="4">
        <v>4</v>
      </c>
    </row>
    <row r="1129">
      <c r="A1129" s="5">
        <f>HYPERLINK("https://app-web.statementrec.com/app#appuploadfiles/3a0c47b4-e7d3-8f31-335d-98d63e8ebaaf","LS SUPPLIES LIMITED")</f>
      </c>
      <c r="B1129" s="3" t="s">
        <v>10</v>
      </c>
      <c r="C1129" s="4">
        <v>1</v>
      </c>
    </row>
    <row r="1130">
      <c r="A1130" s="5">
        <f>HYPERLINK("https://app-web.statementrec.com/app#appuploadfiles/3a0c513a-34e6-6631-5756-35849f6ec890","FAZ - Fazenda HLSJ Lda")</f>
      </c>
      <c r="B1130" s="3" t="s">
        <v>293</v>
      </c>
      <c r="C1130" s="4">
        <v>11</v>
      </c>
    </row>
    <row r="1131">
      <c r="A1131" s="5">
        <f>HYPERLINK("https://app-web.statementrec.com/app#appuploadfiles/3a0c5686-6c7f-0eb8-6b79-8ebc90163334","TNM Medical Ltd")</f>
      </c>
      <c r="B1131" s="3" t="s">
        <v>73</v>
      </c>
      <c r="C1131" s="4">
        <v>38</v>
      </c>
    </row>
    <row r="1132">
      <c r="A1132" s="5">
        <f>HYPERLINK("https://app-web.statementrec.com/app#appuploadfiles/3a0c5703-d3db-9b99-e783-2de26fa82aa3","Shoulder of Mutton")</f>
      </c>
      <c r="B1132" s="3" t="s">
        <v>84</v>
      </c>
      <c r="C1132" s="4">
        <v>12</v>
      </c>
    </row>
    <row r="1133">
      <c r="A1133" s="5">
        <f>HYPERLINK("https://app-web.statementrec.com/app#appuploadfiles/3a0c5be2-f59e-cdbd-9a14-c367325f658b","Griffin Veterinary Services Limited")</f>
      </c>
      <c r="B1133" s="3" t="s">
        <v>18</v>
      </c>
      <c r="C1133" s="4">
        <v>10</v>
      </c>
    </row>
    <row r="1134">
      <c r="A1134" s="5">
        <f>HYPERLINK("https://app-web.statementrec.com/app#appuploadfiles/3a0c60c7-b43b-bff1-aba7-67adb8deb824","Infraburo (Pty) Ltd")</f>
      </c>
      <c r="B1134" s="3" t="s">
        <v>118</v>
      </c>
      <c r="C1134" s="4">
        <v>2</v>
      </c>
    </row>
    <row r="1135">
      <c r="A1135" s="5">
        <f>HYPERLINK("https://app-web.statementrec.com/app#appuploadfiles/3a0c62ce-2e43-8dd3-70dd-3667ad762998","Riley Coffee Ltd.")</f>
      </c>
      <c r="B1135" s="3" t="s">
        <v>294</v>
      </c>
      <c r="C1135" s="4">
        <v>3</v>
      </c>
    </row>
    <row r="1136">
      <c r="A1136" s="5">
        <f>HYPERLINK("https://app-web.statementrec.com/app#appuploadfiles/3a0c6624-bfdf-c7b0-c2bf-c7c1b6e1b513","Enhance Pharma Ltd")</f>
      </c>
      <c r="B1136" s="3" t="s">
        <v>11</v>
      </c>
      <c r="C1136" s="4">
        <v>7</v>
      </c>
    </row>
    <row r="1137">
      <c r="A1137" s="5">
        <f>HYPERLINK("https://app-web.statementrec.com/app#appuploadfiles/3a0c766a-44b0-70af-c9d1-b2dcaf603bc0","South Eastern Maintenance Services")</f>
      </c>
      <c r="B1137" s="3" t="s">
        <v>295</v>
      </c>
      <c r="C1137" s="4">
        <v>1</v>
      </c>
    </row>
    <row r="1138">
      <c r="A1138" s="5">
        <f>HYPERLINK("https://app-web.statementrec.com/app#appuploadfiles/3a0c785c-e92c-7201-930a-9002480c25ba","Canco 137 Rollyview")</f>
      </c>
      <c r="B1138" s="3" t="s">
        <v>10</v>
      </c>
      <c r="C1138" s="4">
        <v>2</v>
      </c>
    </row>
    <row r="1139">
      <c r="A1139" s="5">
        <f>HYPERLINK("https://app-web.statementrec.com/app#appuploadfiles/3a0c7a82-8cf5-ddd7-84ad-0f7e47fc74d2","The Weight Loss Doctor Ltd")</f>
      </c>
      <c r="B1139" s="3" t="s">
        <v>130</v>
      </c>
      <c r="C1139" s="4">
        <v>28</v>
      </c>
    </row>
    <row r="1140">
      <c r="A1140" s="5">
        <f>HYPERLINK("https://app-web.statementrec.com/app#appuploadfiles/3a0c7fa1-b8d2-91ba-7b66-8a4988b2d4e3","Ashleigh")</f>
      </c>
      <c r="B1140" s="3" t="s">
        <v>47</v>
      </c>
      <c r="C1140" s="4">
        <v>7</v>
      </c>
    </row>
    <row r="1141">
      <c r="A1141" s="5">
        <f>HYPERLINK("https://app-web.statementrec.com/app#appuploadfiles/3a0c85f0-a5ec-ff7b-626b-674d3742be18","Chris Tyndall Productions Limited")</f>
      </c>
      <c r="B1141" s="3" t="s">
        <v>21</v>
      </c>
      <c r="C1141" s="4">
        <v>6</v>
      </c>
    </row>
    <row r="1142">
      <c r="A1142" s="5">
        <f>HYPERLINK("https://app-web.statementrec.com/app#appuploadfiles/3a0c8621-4324-4164-990e-54144b2c8f45","Oakhurst Farm")</f>
      </c>
      <c r="B1142" s="3" t="s">
        <v>13</v>
      </c>
      <c r="C1142" s="4">
        <v>4</v>
      </c>
    </row>
    <row r="1143">
      <c r="A1143" s="5">
        <f>HYPERLINK("https://app-web.statementrec.com/app#appuploadfiles/3a0c86c6-a1f2-e10f-837d-2aa43fe19af7","Olde Tyme Candy Shoppe Ltd")</f>
      </c>
      <c r="B1143" s="3" t="s">
        <v>296</v>
      </c>
      <c r="C1143" s="4">
        <v>13</v>
      </c>
    </row>
    <row r="1144">
      <c r="A1144" s="5">
        <f>HYPERLINK("https://app-web.statementrec.com/app#appuploadfiles/3a0c89a4-6cb5-25d1-3efb-81b255b20645","Advanced Genetic Research Limited")</f>
      </c>
      <c r="B1144" s="3" t="s">
        <v>11</v>
      </c>
      <c r="C1144" s="4">
        <v>5</v>
      </c>
    </row>
    <row r="1145">
      <c r="A1145" s="5">
        <f>HYPERLINK("https://app-web.statementrec.com/app#appuploadfiles/3a0c8a5d-c346-4941-0ae3-a3dd919ddffb","Restotech")</f>
      </c>
      <c r="B1145" s="3" t="s">
        <v>297</v>
      </c>
      <c r="C1145" s="4">
        <v>1</v>
      </c>
    </row>
    <row r="1146">
      <c r="A1146" s="5">
        <f>HYPERLINK("https://app-web.statementrec.com/app#appuploadfiles/3a0c90dc-1742-1e0c-79dc-e9613b4aef67","Ascent Accounting Ltd")</f>
      </c>
      <c r="B1146" s="3" t="s">
        <v>26</v>
      </c>
      <c r="C1146" s="4">
        <v>3</v>
      </c>
    </row>
    <row r="1147">
      <c r="A1147" s="5">
        <f>HYPERLINK("https://app-web.statementrec.com/app#appuploadfiles/3a0c971b-40e6-82fb-2e10-e44cdd463b6e","Ifrah Foundation")</f>
      </c>
      <c r="B1147" s="3" t="s">
        <v>298</v>
      </c>
      <c r="C1147" s="4">
        <v>22</v>
      </c>
    </row>
    <row r="1148">
      <c r="A1148" s="5">
        <f>HYPERLINK("https://app-web.statementrec.com/app#appuploadfiles/3a0ca879-b201-8bd3-8145-952840e0524a","JRL Communications Ltd")</f>
      </c>
      <c r="B1148" s="3" t="s">
        <v>12</v>
      </c>
      <c r="C1148" s="4">
        <v>4</v>
      </c>
    </row>
    <row r="1149">
      <c r="A1149" s="5">
        <f>HYPERLINK("https://app-web.statementrec.com/app#appuploadfiles/3a0ca8b5-d2be-92d0-eb0c-a6751d378dbb","Dummy Company NAL")</f>
      </c>
      <c r="B1149" s="3" t="s">
        <v>19</v>
      </c>
      <c r="C1149" s="4">
        <v>15</v>
      </c>
    </row>
    <row r="1150">
      <c r="A1150" s="5">
        <f>HYPERLINK("https://app-web.statementrec.com/app#appuploadfiles/3a0ca9ce-12ae-62f4-6b7c-5a552ccfcc68","BVSA")</f>
      </c>
      <c r="B1150" s="3" t="s">
        <v>299</v>
      </c>
      <c r="C1150" s="4">
        <v>121</v>
      </c>
    </row>
    <row r="1151">
      <c r="A1151" s="5">
        <f>HYPERLINK("https://app-web.statementrec.com/app#appuploadfiles/3a0cae17-153d-fd60-9695-58e12f2546d6","ECO LIMITED")</f>
      </c>
      <c r="B1151" s="3" t="s">
        <v>26</v>
      </c>
      <c r="C1151" s="4">
        <v>64</v>
      </c>
    </row>
    <row r="1152">
      <c r="A1152" s="5">
        <f>HYPERLINK("https://app-web.statementrec.com/app#appuploadfiles/3a0cb266-8c4b-25c9-5034-be77170bc010","King Insurance Group")</f>
      </c>
      <c r="B1152" s="3" t="s">
        <v>300</v>
      </c>
      <c r="C1152" s="4">
        <v>10</v>
      </c>
    </row>
    <row r="1153">
      <c r="A1153" s="5">
        <f>HYPERLINK("https://app-web.statementrec.com/app#appuploadfiles/3a0cbea1-f052-52bf-321d-2730cf40cce1","Shepherd Realty Services")</f>
      </c>
      <c r="B1153" s="3" t="s">
        <v>80</v>
      </c>
      <c r="C1153" s="4">
        <v>16</v>
      </c>
    </row>
    <row r="1154">
      <c r="A1154" s="5">
        <f>HYPERLINK("https://app-web.statementrec.com/app#appuploadfiles/3a0cc794-70a4-1f4c-f110-74b5e6bcf45a","Nino Contractors Limited")</f>
      </c>
      <c r="B1154" s="3" t="s">
        <v>12</v>
      </c>
      <c r="C1154" s="4">
        <v>24</v>
      </c>
    </row>
    <row r="1155">
      <c r="A1155" s="5">
        <f>HYPERLINK("https://app-web.statementrec.com/app#appuploadfiles/3a0ce270-4aeb-f25b-0d11-3e4b813842a2","Stone Catchers")</f>
      </c>
      <c r="B1155" s="3" t="s">
        <v>146</v>
      </c>
      <c r="C1155" s="4">
        <v>8</v>
      </c>
    </row>
    <row r="1156">
      <c r="A1156" s="5">
        <f>HYPERLINK("https://app-web.statementrec.com/app#appuploadfiles/3a0ce29c-f53e-3a7d-b43b-80b3d5e9d66d","a josseph")</f>
      </c>
      <c r="B1156" s="3" t="s">
        <v>265</v>
      </c>
      <c r="C1156" s="4">
        <v>4</v>
      </c>
    </row>
    <row r="1157">
      <c r="A1157" s="5">
        <f>HYPERLINK("https://app-web.statementrec.com/app#appuploadfiles/3a0cf156-72be-f820-2a15-2c35d7ba1fb4","Adams Dental Practice Limited")</f>
      </c>
      <c r="B1157" s="3" t="s">
        <v>56</v>
      </c>
      <c r="C1157" s="4">
        <v>25</v>
      </c>
    </row>
    <row r="1158">
      <c r="A1158" s="5">
        <f>HYPERLINK("https://app-web.statementrec.com/app#appuploadfiles/3a0cf1ef-1e19-5cf4-a4b2-d723fdcb83c8","Goodvision Limited")</f>
      </c>
      <c r="B1158" s="3" t="s">
        <v>56</v>
      </c>
      <c r="C1158" s="4">
        <v>75</v>
      </c>
    </row>
    <row r="1159">
      <c r="A1159" s="5">
        <f>HYPERLINK("https://app-web.statementrec.com/app#appuploadfiles/3a0cf2a4-8157-6d14-232b-4e8f36ad6ec1","BCA Consultants")</f>
      </c>
      <c r="B1159" s="3" t="s">
        <v>3</v>
      </c>
      <c r="C1159" s="4">
        <v>1</v>
      </c>
    </row>
    <row r="1160">
      <c r="A1160" s="5">
        <f>HYPERLINK("https://app-web.statementrec.com/app#appuploadfiles/3a0cf652-b094-08f2-a739-06612410ebde","Orange Kerr")</f>
      </c>
      <c r="B1160" s="3" t="s">
        <v>10</v>
      </c>
      <c r="C1160" s="4">
        <v>3</v>
      </c>
    </row>
    <row r="1161">
      <c r="A1161" s="5">
        <f>HYPERLINK("https://app-web.statementrec.com/app#appuploadfiles/3a0cfc2a-c19a-8dab-9f61-60043064c0e2","Sascor Enterprise")</f>
      </c>
      <c r="B1161" s="3" t="s">
        <v>301</v>
      </c>
      <c r="C1161" s="4">
        <v>5</v>
      </c>
    </row>
    <row r="1162">
      <c r="A1162" s="5">
        <f>HYPERLINK("https://app-web.statementrec.com/app#appuploadfiles/3a0d0c7a-5897-c1be-8caa-1e65f5c6dd0e","BA Kerwin Painting")</f>
      </c>
      <c r="B1162" s="3" t="s">
        <v>47</v>
      </c>
      <c r="C1162" s="4">
        <v>10</v>
      </c>
    </row>
    <row r="1163">
      <c r="A1163" s="5">
        <f>HYPERLINK("https://app-web.statementrec.com/app#appuploadfiles/3a0d0f91-f375-f077-e652-99b1b317d273","Commercial Gas Ltd")</f>
      </c>
      <c r="B1163" s="3" t="s">
        <v>33</v>
      </c>
      <c r="C1163" s="4">
        <v>18</v>
      </c>
    </row>
    <row r="1164">
      <c r="A1164" s="5">
        <f>HYPERLINK("https://app-web.statementrec.com/app#appuploadfiles/3a0d0fa2-e59e-67d7-fb02-8f9df05a7e13","05.04.2023")</f>
      </c>
      <c r="B1164" s="3" t="s">
        <v>19</v>
      </c>
      <c r="C1164" s="4">
        <v>32</v>
      </c>
    </row>
    <row r="1165">
      <c r="A1165" s="5">
        <f>HYPERLINK("https://app-web.statementrec.com/app#appuploadfiles/3a0d0fd9-e5e1-a556-6d90-c03a03e9c289","Metronomia Clinical Research (UK) Ltd")</f>
      </c>
      <c r="B1165" s="3" t="s">
        <v>11</v>
      </c>
      <c r="C1165" s="4">
        <v>4</v>
      </c>
    </row>
    <row r="1166">
      <c r="A1166" s="5">
        <f>HYPERLINK("https://app-web.statementrec.com/app#appuploadfiles/3a0d0ff6-43ae-92a2-f5c7-33d806d43f83","BAY-KIL LTD")</f>
      </c>
      <c r="B1166" s="3" t="s">
        <v>3</v>
      </c>
      <c r="C1166" s="4">
        <v>13</v>
      </c>
    </row>
    <row r="1167">
      <c r="A1167" s="5">
        <f>HYPERLINK("https://app-web.statementrec.com/app#appuploadfiles/3a0d1104-f199-b89f-9773-5bb0c9048c91","Stratton Homes Limited")</f>
      </c>
      <c r="B1167" s="3" t="s">
        <v>12</v>
      </c>
      <c r="C1167" s="4">
        <v>3</v>
      </c>
    </row>
    <row r="1168">
      <c r="A1168" s="5">
        <f>HYPERLINK("https://app-web.statementrec.com/app#appuploadfiles/3a0d16ab-f901-ccfb-8ac3-a2558b6ee5f4","Cotten Ranch, Ltd.")</f>
      </c>
      <c r="B1168" s="3" t="s">
        <v>302</v>
      </c>
      <c r="C1168" s="4">
        <v>16</v>
      </c>
    </row>
    <row r="1169">
      <c r="A1169" s="5">
        <f>HYPERLINK("https://app-web.statementrec.com/app#appuploadfiles/3a0d1aa8-24dc-de78-efdb-3331375c6f75","MJC Resources Ltd")</f>
      </c>
      <c r="B1169" s="3" t="s">
        <v>33</v>
      </c>
      <c r="C1169" s="4">
        <v>9</v>
      </c>
    </row>
    <row r="1170">
      <c r="A1170" s="5">
        <f>HYPERLINK("https://app-web.statementrec.com/app#appuploadfiles/3a0d1b0f-e015-13de-589c-3078921a4472","Flying B Cotten Ranch")</f>
      </c>
      <c r="B1170" s="3" t="s">
        <v>302</v>
      </c>
      <c r="C1170" s="4">
        <v>11</v>
      </c>
    </row>
    <row r="1171">
      <c r="A1171" s="5">
        <f>HYPERLINK("https://app-web.statementrec.com/app#appuploadfiles/3a0d1b49-4e25-868e-d38b-6f36f2aebef2","BSOC103794 - Ocean Music Limited")</f>
      </c>
      <c r="B1171" s="3" t="s">
        <v>73</v>
      </c>
      <c r="C1171" s="4">
        <v>14</v>
      </c>
    </row>
    <row r="1172">
      <c r="A1172" s="5">
        <f>HYPERLINK("https://app-web.statementrec.com/app#appuploadfiles/3a0d1b4e-67de-9ec7-30e8-b7562b142f9d","5626 - Sally Ann Shepherd")</f>
      </c>
      <c r="B1172" s="3" t="s">
        <v>17</v>
      </c>
      <c r="C1172" s="4">
        <v>33</v>
      </c>
    </row>
    <row r="1173">
      <c r="A1173" s="5">
        <f>HYPERLINK("https://app-web.statementrec.com/app#appuploadfiles/3a0d2960-d499-f385-26bb-cbd91ac65f4a","Kitchen Studio Doncaster")</f>
      </c>
      <c r="B1173" s="3" t="s">
        <v>52</v>
      </c>
      <c r="C1173" s="4">
        <v>9</v>
      </c>
    </row>
    <row r="1174">
      <c r="A1174" s="5">
        <f>HYPERLINK("https://app-web.statementrec.com/app#appuploadfiles/3a0d2971-73dd-1d07-6d29-44bc422f3604","ZENITH DENTISTRY SDN BHD")</f>
      </c>
      <c r="B1174" s="3" t="s">
        <v>18</v>
      </c>
      <c r="C1174" s="4">
        <v>2</v>
      </c>
    </row>
    <row r="1175">
      <c r="A1175" s="5">
        <f>HYPERLINK("https://app-web.statementrec.com/app#appuploadfiles/3a0d2a79-b86e-6dcb-201d-2a5f046e4fe0","Venture Enterprise Liverpool Ltd")</f>
      </c>
      <c r="B1175" s="3" t="s">
        <v>18</v>
      </c>
      <c r="C1175" s="4">
        <v>16</v>
      </c>
    </row>
    <row r="1176">
      <c r="A1176" s="5">
        <f>HYPERLINK("https://app-web.statementrec.com/app#appuploadfiles/3a0d2ef8-20de-7bb8-6960-0d33548a9d37","Sculthorpe Farmhouse Limited")</f>
      </c>
      <c r="B1176" s="3" t="s">
        <v>81</v>
      </c>
      <c r="C1176" s="4">
        <v>2</v>
      </c>
    </row>
    <row r="1177">
      <c r="A1177" s="5">
        <f>HYPERLINK("https://app-web.statementrec.com/app#appuploadfiles/3a0d33bd-5030-cbe5-dc9d-c42127156d12","Evangard Ltd")</f>
      </c>
      <c r="B1177" s="3" t="s">
        <v>12</v>
      </c>
      <c r="C1177" s="4">
        <v>3</v>
      </c>
    </row>
    <row r="1178">
      <c r="A1178" s="5">
        <f>HYPERLINK("https://app-web.statementrec.com/app#appuploadfiles/3a0d33c8-c8bd-2041-4cf8-73b003ac5726","Lowfields Engineering Ltd")</f>
      </c>
      <c r="B1178" s="3" t="s">
        <v>12</v>
      </c>
      <c r="C1178" s="4">
        <v>17</v>
      </c>
    </row>
    <row r="1179">
      <c r="A1179" s="5">
        <f>HYPERLINK("https://app-web.statementrec.com/app#appuploadfiles/3a0d3619-9149-a6bc-f46c-6d5fd9a10266","FLS Hospitality Mexico Management")</f>
      </c>
      <c r="B1179" s="3" t="s">
        <v>303</v>
      </c>
      <c r="C1179" s="4">
        <v>2</v>
      </c>
    </row>
    <row r="1180">
      <c r="A1180" s="5">
        <f>HYPERLINK("https://app-web.statementrec.com/app#appuploadfiles/3a0d38da-96f1-cca0-1404-6bb5f5c2b47d","Finley Companies")</f>
      </c>
      <c r="B1180" s="3" t="s">
        <v>15</v>
      </c>
      <c r="C1180" s="4">
        <v>12</v>
      </c>
    </row>
    <row r="1181">
      <c r="A1181" s="5">
        <f>HYPERLINK("https://app-web.statementrec.com/app#appuploadfiles/3a0d3a22-4097-11e5-47bf-85fb390501dd","Flynn's Fine Furniture Limited")</f>
      </c>
      <c r="B1181" s="3" t="s">
        <v>56</v>
      </c>
      <c r="C1181" s="4">
        <v>6</v>
      </c>
    </row>
    <row r="1182">
      <c r="A1182" s="5">
        <f>HYPERLINK("https://app-web.statementrec.com/app#appuploadfiles/3a0d3b83-beb9-8665-5365-ae244d02e72f","Gurys Bakery Roosevelt")</f>
      </c>
      <c r="B1182" s="3" t="s">
        <v>40</v>
      </c>
      <c r="C1182" s="4">
        <v>118</v>
      </c>
    </row>
    <row r="1183">
      <c r="A1183" s="5">
        <f>HYPERLINK("https://app-web.statementrec.com/app#appuploadfiles/3a0d3ee8-1b4a-608f-45df-82544fff4a09","VELE ENGINEERING AND RENEWABLE ENERGY S")</f>
      </c>
      <c r="B1183" s="3" t="s">
        <v>18</v>
      </c>
      <c r="C1183" s="4">
        <v>20</v>
      </c>
    </row>
    <row r="1184">
      <c r="A1184" s="5">
        <f>HYPERLINK("https://app-web.statementrec.com/app#appuploadfiles/3a0d4093-0ba4-3acc-216e-87af17360038","Elgin Esso")</f>
      </c>
      <c r="B1184" s="3" t="s">
        <v>40</v>
      </c>
      <c r="C1184" s="4">
        <v>8</v>
      </c>
    </row>
    <row r="1185">
      <c r="A1185" s="5">
        <f>HYPERLINK("https://app-web.statementrec.com/app#appuploadfiles/3a0d53e7-cbc8-2cf4-7a54-f815a762414b","Augustine Medical Ltd")</f>
      </c>
      <c r="B1185" s="3" t="s">
        <v>17</v>
      </c>
      <c r="C1185" s="4">
        <v>19</v>
      </c>
    </row>
    <row r="1186">
      <c r="A1186" s="5">
        <f>HYPERLINK("https://app-web.statementrec.com/app#appuploadfiles/3a0d57e7-31c6-8caa-919d-0cd7a9a79fa3","Second to None 10 cc")</f>
      </c>
      <c r="B1186" s="3" t="s">
        <v>118</v>
      </c>
      <c r="C1186" s="4">
        <v>8</v>
      </c>
    </row>
    <row r="1187">
      <c r="A1187" s="5">
        <f>HYPERLINK("https://app-web.statementrec.com/app#appuploadfiles/3a0d6252-8053-6018-6659-173488bc1ade","Brelmayne Holdings Limited")</f>
      </c>
      <c r="B1187" s="3" t="s">
        <v>13</v>
      </c>
      <c r="C1187" s="4">
        <v>4</v>
      </c>
    </row>
    <row r="1188">
      <c r="A1188" s="5">
        <f>HYPERLINK("https://app-web.statementrec.com/app#appuploadfiles/3a0d71fc-66a1-9ab3-e02d-5c56db0a5122","My Leg Grow Productions")</f>
      </c>
      <c r="B1188" s="3" t="s">
        <v>304</v>
      </c>
      <c r="C1188" s="4">
        <v>43</v>
      </c>
    </row>
    <row r="1189">
      <c r="A1189" s="5">
        <f>HYPERLINK("https://app-web.statementrec.com/app#appuploadfiles/3a0d7680-fa49-cfa4-f139-1c1bc0a5188f","Julian Mark Limited")</f>
      </c>
      <c r="B1189" s="3" t="s">
        <v>17</v>
      </c>
      <c r="C1189" s="4">
        <v>5</v>
      </c>
    </row>
    <row r="1190">
      <c r="A1190" s="5">
        <f>HYPERLINK("https://app-web.statementrec.com/app#appuploadfiles/3a0d770c-f2c3-e573-826a-35659a11177c","Messrs Holmes")</f>
      </c>
      <c r="B1190" s="3" t="s">
        <v>21</v>
      </c>
      <c r="C1190" s="4">
        <v>6</v>
      </c>
    </row>
    <row r="1191">
      <c r="A1191" s="5">
        <f>HYPERLINK("https://app-web.statementrec.com/app#appuploadfiles/3a0d77e5-ee9c-ef68-65fa-c2a104573725","Mitchell Anton")</f>
      </c>
      <c r="B1191" s="3" t="s">
        <v>10</v>
      </c>
      <c r="C1191" s="4">
        <v>11</v>
      </c>
    </row>
    <row r="1192">
      <c r="A1192" s="5">
        <f>HYPERLINK("https://app-web.statementrec.com/app#appuploadfiles/3a0d7c10-6cad-1bc1-000f-9fa8f223edf2","Calbanex Trading Limited")</f>
      </c>
      <c r="B1192" s="3" t="s">
        <v>250</v>
      </c>
      <c r="C1192" s="4">
        <v>7</v>
      </c>
    </row>
    <row r="1193">
      <c r="A1193" s="5">
        <f>HYPERLINK("https://app-web.statementrec.com/app#appuploadfiles/3a0d7c29-8f35-cc77-ff55-6e368b7202ed","A66  TYRES  LTD")</f>
      </c>
      <c r="B1193" s="3" t="s">
        <v>305</v>
      </c>
      <c r="C1193" s="4">
        <v>13</v>
      </c>
    </row>
    <row r="1194">
      <c r="A1194" s="5">
        <f>HYPERLINK("https://app-web.statementrec.com/app#appuploadfiles/3a0d7cea-5407-488d-a01a-b3ab29485b29","Kruger Brent Training")</f>
      </c>
      <c r="B1194" s="3" t="s">
        <v>306</v>
      </c>
      <c r="C1194" s="4">
        <v>4</v>
      </c>
    </row>
    <row r="1195">
      <c r="A1195" s="5">
        <f>HYPERLINK("https://app-web.statementrec.com/app#appuploadfiles/3a0d7d0a-d771-a8f0-724e-95b06fceb2a4","Greensleeves")</f>
      </c>
      <c r="B1195" s="3" t="s">
        <v>17</v>
      </c>
      <c r="C1195" s="4">
        <v>15</v>
      </c>
    </row>
    <row r="1196">
      <c r="A1196" s="5">
        <f>HYPERLINK("https://app-web.statementrec.com/app#appuploadfiles/3a0d7eb5-de69-0efe-4969-40d59a8f0de0","Northwest Animal Hospital")</f>
      </c>
      <c r="B1196" s="3" t="s">
        <v>46</v>
      </c>
      <c r="C1196" s="4">
        <v>4</v>
      </c>
    </row>
    <row r="1197">
      <c r="A1197" s="5">
        <f>HYPERLINK("https://app-web.statementrec.com/app#appuploadfiles/3a0d959b-6630-75b4-5e10-a34bc6561def","JDT Bouers")</f>
      </c>
      <c r="B1197" s="3" t="s">
        <v>120</v>
      </c>
      <c r="C1197" s="4">
        <v>6</v>
      </c>
    </row>
    <row r="1198">
      <c r="A1198" s="5">
        <f>HYPERLINK("https://app-web.statementrec.com/app#appuploadfiles/3a0d969f-41d5-daeb-e60d-eb7cdd9d1d7d","Batch Print (Pty) Ltd")</f>
      </c>
      <c r="B1198" s="3" t="s">
        <v>118</v>
      </c>
      <c r="C1198" s="4">
        <v>14</v>
      </c>
    </row>
    <row r="1199">
      <c r="A1199" s="5">
        <f>HYPERLINK("https://app-web.statementrec.com/app#appuploadfiles/3a0d9aba-2341-daba-6df9-90853817cb41","FYX LTD")</f>
      </c>
      <c r="B1199" s="3" t="s">
        <v>12</v>
      </c>
      <c r="C1199" s="4">
        <v>4</v>
      </c>
    </row>
    <row r="1200">
      <c r="A1200" s="5">
        <f>HYPERLINK("https://app-web.statementrec.com/app#appuploadfiles/3a0d9b43-d5db-3179-5df1-ae05c9532cef","L47A David Long")</f>
      </c>
      <c r="B1200" s="3" t="s">
        <v>3</v>
      </c>
      <c r="C1200" s="4">
        <v>65</v>
      </c>
    </row>
    <row r="1201">
      <c r="A1201" s="5">
        <f>HYPERLINK("https://app-web.statementrec.com/app#appuploadfiles/3a0d9b6b-aef8-d3e8-2107-145c2edace68","Blue Neptune Ltd")</f>
      </c>
      <c r="B1201" s="3" t="s">
        <v>11</v>
      </c>
      <c r="C1201" s="4">
        <v>1</v>
      </c>
    </row>
    <row r="1202">
      <c r="A1202" s="5">
        <f>HYPERLINK("https://app-web.statementrec.com/app#appuploadfiles/3a0d9b72-4fb2-53c1-9d10-f3c089969e25","Fine Elite Consultancy Ltd")</f>
      </c>
      <c r="B1202" s="3" t="s">
        <v>26</v>
      </c>
      <c r="C1202" s="4">
        <v>10</v>
      </c>
    </row>
    <row r="1203">
      <c r="A1203" s="5">
        <f>HYPERLINK("https://app-web.statementrec.com/app#appuploadfiles/3a0d9e54-804b-5150-46e3-23be7045245d","GOSPEL CITY NETWORK BERHAD")</f>
      </c>
      <c r="B1203" s="3" t="s">
        <v>307</v>
      </c>
      <c r="C1203" s="4">
        <v>13</v>
      </c>
    </row>
    <row r="1204">
      <c r="A1204" s="5">
        <f>HYPERLINK("https://app-web.statementrec.com/app#appuploadfiles/3a0d9f37-3f29-c8e3-5714-fbb878b3e749","Five Strong Films")</f>
      </c>
      <c r="B1204" s="3" t="s">
        <v>308</v>
      </c>
      <c r="C1204" s="4">
        <v>24</v>
      </c>
    </row>
    <row r="1205">
      <c r="A1205" s="5">
        <f>HYPERLINK("https://app-web.statementrec.com/app#appuploadfiles/3a0da080-eb51-1fe3-e24f-b8b26591e0ee","Amstone Management Limited")</f>
      </c>
      <c r="B1205" s="3" t="s">
        <v>8</v>
      </c>
      <c r="C1205" s="4">
        <v>4</v>
      </c>
    </row>
    <row r="1206">
      <c r="A1206" s="5">
        <f>HYPERLINK("https://app-web.statementrec.com/app#appuploadfiles/3a0dab17-af19-c88d-c69e-1ed4eddd05ef","DUMMY")</f>
      </c>
      <c r="B1206" s="3" t="s">
        <v>309</v>
      </c>
      <c r="C1206" s="4">
        <v>45</v>
      </c>
    </row>
    <row r="1207">
      <c r="A1207" s="5">
        <f>HYPERLINK("https://app-web.statementrec.com/app#appuploadfiles/3a0dba18-78b2-7bf6-f2af-e9938dcfa8b8","Hanna Properties Ltd")</f>
      </c>
      <c r="B1207" s="3" t="s">
        <v>17</v>
      </c>
      <c r="C1207" s="4">
        <v>6</v>
      </c>
    </row>
    <row r="1208">
      <c r="A1208" s="5">
        <f>HYPERLINK("https://app-web.statementrec.com/app#appuploadfiles/3a0dbaea-f355-57b9-6d8a-e76bb01cd106","A O'Callaghan Contracts")</f>
      </c>
      <c r="B1208" s="3" t="s">
        <v>26</v>
      </c>
      <c r="C1208" s="4">
        <v>82</v>
      </c>
    </row>
    <row r="1209">
      <c r="A1209" s="5">
        <f>HYPERLINK("https://app-web.statementrec.com/app#appuploadfiles/3a0dbb02-0274-ff6c-82cc-9ef33cb42d10","Adv DR Van Zyl")</f>
      </c>
      <c r="B1209" s="3" t="s">
        <v>310</v>
      </c>
      <c r="C1209" s="4">
        <v>50</v>
      </c>
    </row>
    <row r="1210">
      <c r="A1210" s="5">
        <f>HYPERLINK("https://app-web.statementrec.com/app#appuploadfiles/3a0dbefa-b794-070b-0b13-200341c864ce","Kinderversity")</f>
      </c>
      <c r="B1210" s="3" t="s">
        <v>18</v>
      </c>
      <c r="C1210" s="4">
        <v>3</v>
      </c>
    </row>
    <row r="1211">
      <c r="A1211" s="5">
        <f>HYPERLINK("https://app-web.statementrec.com/app#appuploadfiles/3a0dbfb3-3ef5-bc52-70ea-469a78cd6b77","Jonmac Mobile Ltd")</f>
      </c>
      <c r="B1211" s="3" t="s">
        <v>168</v>
      </c>
      <c r="C1211" s="4">
        <v>12</v>
      </c>
    </row>
    <row r="1212">
      <c r="A1212" s="5">
        <f>HYPERLINK("https://app-web.statementrec.com/app#appuploadfiles/3a0dc312-a779-0b35-dde6-c7312a98582e","LumiGlo Ltd")</f>
      </c>
      <c r="B1212" s="3" t="s">
        <v>11</v>
      </c>
      <c r="C1212" s="4">
        <v>5</v>
      </c>
    </row>
    <row r="1213">
      <c r="A1213" s="5">
        <f>HYPERLINK("https://app-web.statementrec.com/app#appuploadfiles/3a0dc51f-2ee3-aef0-aac9-8e4d1765dfe8","B7576 ImUnLtd2 Limited")</f>
      </c>
      <c r="B1213" s="3" t="s">
        <v>30</v>
      </c>
      <c r="C1213" s="4">
        <v>9</v>
      </c>
    </row>
    <row r="1214">
      <c r="A1214" s="5">
        <f>HYPERLINK("https://app-web.statementrec.com/app#appuploadfiles/3a0dc6d1-6b1f-f33e-0183-dd5be783795a","2022 Hocker Construction")</f>
      </c>
      <c r="B1214" s="3" t="s">
        <v>59</v>
      </c>
      <c r="C1214" s="4">
        <v>24</v>
      </c>
    </row>
    <row r="1215">
      <c r="A1215" s="5">
        <f>HYPERLINK("https://app-web.statementrec.com/app#appuploadfiles/3a0dca72-39e4-dcbe-bc3e-8f87dadaf189","Angolo Ltd")</f>
      </c>
      <c r="B1215" s="3" t="s">
        <v>265</v>
      </c>
      <c r="C1215" s="4">
        <v>30</v>
      </c>
    </row>
    <row r="1216">
      <c r="A1216" s="5">
        <f>HYPERLINK("https://app-web.statementrec.com/app#appuploadfiles/3a0dce03-7108-fea1-e7b2-e69cc5eeb014","HOMES BY ME LIMITED")</f>
      </c>
      <c r="B1216" s="3" t="s">
        <v>311</v>
      </c>
      <c r="C1216" s="4">
        <v>8</v>
      </c>
    </row>
    <row r="1217">
      <c r="A1217" s="5">
        <f>HYPERLINK("https://app-web.statementrec.com/app#appuploadfiles/3a0dce10-8ad5-3705-21ef-418edb137973","Aug 2023")</f>
      </c>
      <c r="B1217" s="3" t="s">
        <v>17</v>
      </c>
      <c r="C1217" s="4">
        <v>6</v>
      </c>
    </row>
    <row r="1218">
      <c r="A1218" s="5">
        <f>HYPERLINK("https://app-web.statementrec.com/app#appuploadfiles/3a0dcec3-093f-dcda-91f3-53cd0b340638","Hindmarsh Business Finance Ltd")</f>
      </c>
      <c r="B1218" s="3" t="s">
        <v>84</v>
      </c>
      <c r="C1218" s="4">
        <v>14</v>
      </c>
    </row>
    <row r="1219">
      <c r="A1219" s="5">
        <f>HYPERLINK("https://app-web.statementrec.com/app#appuploadfiles/3a0de2b4-aace-0ade-4450-9dc2405da750","Hudson Building and Civil Ltd")</f>
      </c>
      <c r="B1219" s="3" t="s">
        <v>11</v>
      </c>
      <c r="C1219" s="4">
        <v>13</v>
      </c>
    </row>
    <row r="1220">
      <c r="A1220" s="5">
        <f>HYPERLINK("https://app-web.statementrec.com/app#appuploadfiles/3a0de3bd-fe1c-4298-b552-d901318eaa02","Drumsander")</f>
      </c>
      <c r="B1220" s="3" t="s">
        <v>84</v>
      </c>
      <c r="C1220" s="4">
        <v>2</v>
      </c>
    </row>
    <row r="1221">
      <c r="A1221" s="5">
        <f>HYPERLINK("https://app-web.statementrec.com/app#appuploadfiles/3a0de3d5-ec90-2d16-8548-0e58d9343e29","ABC Agent")</f>
      </c>
      <c r="B1221" s="3" t="s">
        <v>13</v>
      </c>
      <c r="C1221" s="4">
        <v>31</v>
      </c>
    </row>
    <row r="1222">
      <c r="A1222" s="5">
        <f>HYPERLINK("https://app-web.statementrec.com/app#appuploadfiles/3a0de553-545e-79b5-584d-0795a6d38708","Greenbank Rental Services Ltd")</f>
      </c>
      <c r="B1222" s="3" t="s">
        <v>17</v>
      </c>
      <c r="C1222" s="4">
        <v>74</v>
      </c>
    </row>
    <row r="1223">
      <c r="A1223" s="5">
        <f>HYPERLINK("https://app-web.statementrec.com/app#appuploadfiles/3a0de58a-0d6e-38e7-b5db-f8bd831968de","Dunlap Device")</f>
      </c>
      <c r="B1223" s="3" t="s">
        <v>16</v>
      </c>
      <c r="C1223" s="4">
        <v>50</v>
      </c>
    </row>
    <row r="1224">
      <c r="A1224" s="5">
        <f>HYPERLINK("https://app-web.statementrec.com/app#appuploadfiles/3a0deebd-44df-fb25-0b0d-bd626ebad83c","alis cells and sound")</f>
      </c>
      <c r="B1224" s="3" t="s">
        <v>58</v>
      </c>
      <c r="C1224" s="4">
        <v>10</v>
      </c>
    </row>
    <row r="1225">
      <c r="A1225" s="5">
        <f>HYPERLINK("https://app-web.statementrec.com/app#appuploadfiles/3a0df237-35ca-da0f-c65c-a90488386311","Start 2 Finish Marketing Limited")</f>
      </c>
      <c r="B1225" s="3" t="s">
        <v>19</v>
      </c>
      <c r="C1225" s="4">
        <v>3</v>
      </c>
    </row>
    <row r="1226">
      <c r="A1226" s="5">
        <f>HYPERLINK("https://app-web.statementrec.com/app#appuploadfiles/3a0e0c08-1896-884e-7146-f3dc4fd46ff3","THE GYM (NI)")</f>
      </c>
      <c r="B1226" s="3" t="s">
        <v>26</v>
      </c>
      <c r="C1226" s="4">
        <v>31</v>
      </c>
    </row>
    <row r="1227">
      <c r="A1227" s="5">
        <f>HYPERLINK("https://app-web.statementrec.com/app#appuploadfiles/3a0e1181-828f-19dc-c51b-4db35484412a","Emma Wedgwood Aesthetics")</f>
      </c>
      <c r="B1227" s="3" t="s">
        <v>10</v>
      </c>
      <c r="C1227" s="4">
        <v>7</v>
      </c>
    </row>
    <row r="1228">
      <c r="A1228" s="5">
        <f>HYPERLINK("https://app-web.statementrec.com/app#appuploadfiles/3a0e11be-cceb-3706-b07a-281cad2c7642","Stelios Takeaway Food Ltd")</f>
      </c>
      <c r="B1228" s="3" t="s">
        <v>312</v>
      </c>
      <c r="C1228" s="4">
        <v>40</v>
      </c>
    </row>
    <row r="1229">
      <c r="A1229" s="5">
        <f>HYPERLINK("https://app-web.statementrec.com/app#appuploadfiles/3a0e1235-e2e3-573c-256d-aa6fe0a9f25e","Jonsson &amp; Jonsson")</f>
      </c>
      <c r="B1229" s="3" t="s">
        <v>16</v>
      </c>
      <c r="C1229" s="4">
        <v>6</v>
      </c>
    </row>
    <row r="1230">
      <c r="A1230" s="5">
        <f>HYPERLINK("https://app-web.statementrec.com/app#appuploadfiles/3a0e13c1-1ec8-672e-1730-714aa3c668cf","Canada Visa Express Inc")</f>
      </c>
      <c r="B1230" s="3" t="s">
        <v>181</v>
      </c>
      <c r="C1230" s="4">
        <v>8</v>
      </c>
    </row>
    <row r="1231">
      <c r="A1231" s="5">
        <f>HYPERLINK("https://app-web.statementrec.com/app#appuploadfiles/3a0e167f-fe17-a795-7444-8153a3b51974","Social Birmingham")</f>
      </c>
      <c r="B1231" s="3" t="s">
        <v>236</v>
      </c>
      <c r="C1231" s="4">
        <v>20</v>
      </c>
    </row>
    <row r="1232">
      <c r="A1232" s="5">
        <f>HYPERLINK("https://app-web.statementrec.com/app#appuploadfiles/3a0e266e-883c-16af-d0e7-9c2836e37594","Gracombex")</f>
      </c>
      <c r="B1232" s="3" t="s">
        <v>11</v>
      </c>
      <c r="C1232" s="4">
        <v>3</v>
      </c>
    </row>
    <row r="1233">
      <c r="A1233" s="5">
        <f>HYPERLINK("https://app-web.statementrec.com/app#appuploadfiles/3a0e2719-0e48-b978-dbb3-4715d40fde78","ELEVA CAPITAL PARTNERS UK")</f>
      </c>
      <c r="B1233" s="3" t="s">
        <v>313</v>
      </c>
      <c r="C1233" s="4">
        <v>47</v>
      </c>
    </row>
    <row r="1234">
      <c r="A1234" s="5">
        <f>HYPERLINK("https://app-web.statementrec.com/app#appuploadfiles/3a0e2fbe-d5c5-c756-bbcd-4ce5ca0da86a","Bucks Welding &amp; Fabrication Ltd")</f>
      </c>
      <c r="B1234" s="3" t="s">
        <v>115</v>
      </c>
      <c r="C1234" s="4">
        <v>6</v>
      </c>
    </row>
    <row r="1235">
      <c r="A1235" s="5">
        <f>HYPERLINK("https://app-web.statementrec.com/app#appuploadfiles/3a0e30ce-56e7-a07b-47fc-717a2b9a1d1a","Lockey Locks Ltd")</f>
      </c>
      <c r="B1235" s="3" t="s">
        <v>17</v>
      </c>
      <c r="C1235" s="4">
        <v>2</v>
      </c>
    </row>
    <row r="1236">
      <c r="A1236" s="5">
        <f>HYPERLINK("https://app-web.statementrec.com/app#appuploadfiles/3a0e3529-5e3c-b1e5-cf2d-e40b0b6c1a5c","Streetmonkey Ltd")</f>
      </c>
      <c r="B1236" s="3" t="s">
        <v>36</v>
      </c>
      <c r="C1236" s="4">
        <v>52</v>
      </c>
    </row>
    <row r="1237">
      <c r="A1237" s="5">
        <f>HYPERLINK("https://app-web.statementrec.com/app#appuploadfiles/3a0e3534-d217-dde7-9071-a0f3155484c8","GRD Accounting &amp; Business Services Ltd")</f>
      </c>
      <c r="B1237" s="3" t="s">
        <v>314</v>
      </c>
      <c r="C1237" s="4">
        <v>2</v>
      </c>
    </row>
    <row r="1238">
      <c r="A1238" s="5">
        <f>HYPERLINK("https://app-web.statementrec.com/app#appuploadfiles/3a0e353d-84ad-316f-0f14-4b8244e9dd92","Energyplusconsulting Limited")</f>
      </c>
      <c r="B1238" s="3" t="s">
        <v>17</v>
      </c>
      <c r="C1238" s="4">
        <v>5</v>
      </c>
    </row>
    <row r="1239">
      <c r="A1239" s="5">
        <f>HYPERLINK("https://app-web.statementrec.com/app#appuploadfiles/3a0e355a-db46-a8ab-db65-4474a5ffd32f","Pete Smith Electrical Services Ltd")</f>
      </c>
      <c r="B1239" s="3" t="s">
        <v>168</v>
      </c>
      <c r="C1239" s="4">
        <v>7</v>
      </c>
    </row>
    <row r="1240">
      <c r="A1240" s="5">
        <f>HYPERLINK("https://app-web.statementrec.com/app#appuploadfiles/3a0e358c-29a2-585e-f1ac-c6f435250981","SB Quality Build")</f>
      </c>
      <c r="B1240" s="3" t="s">
        <v>75</v>
      </c>
      <c r="C1240" s="4">
        <v>2</v>
      </c>
    </row>
    <row r="1241">
      <c r="A1241" s="5">
        <f>HYPERLINK("https://app-web.statementrec.com/app#appuploadfiles/3a0e362d-7936-8107-006f-26fb655693f7","All Plant Diesel")</f>
      </c>
      <c r="B1241" s="3" t="s">
        <v>40</v>
      </c>
      <c r="C1241" s="4">
        <v>2</v>
      </c>
    </row>
    <row r="1242">
      <c r="A1242" s="5">
        <f>HYPERLINK("https://app-web.statementrec.com/app#appuploadfiles/3a0e3642-d94e-00a6-dd82-536f61d42f1f","TT")</f>
      </c>
      <c r="B1242" s="3" t="s">
        <v>315</v>
      </c>
      <c r="C1242" s="4">
        <v>47</v>
      </c>
    </row>
    <row r="1243">
      <c r="A1243" s="5">
        <f>HYPERLINK("https://app-web.statementrec.com/app#appuploadfiles/3a0e3795-2f90-486c-7207-bf412df0c927","ISLA COLON GROUP, S. A.")</f>
      </c>
      <c r="B1243" s="3" t="s">
        <v>75</v>
      </c>
      <c r="C1243" s="4">
        <v>9</v>
      </c>
    </row>
    <row r="1244">
      <c r="A1244" s="5">
        <f>HYPERLINK("https://app-web.statementrec.com/app#appuploadfiles/3a0e53f6-cf1c-c758-cde8-2a69df20b2ac","Paul Morgan Furniture Limited")</f>
      </c>
      <c r="B1244" s="3" t="s">
        <v>316</v>
      </c>
      <c r="C1244" s="4">
        <v>3</v>
      </c>
    </row>
    <row r="1245">
      <c r="A1245" s="5">
        <f>HYPERLINK("https://app-web.statementrec.com/app#appuploadfiles/3a0e548d-d73f-5beb-4603-e6fb916a8811","GK Client")</f>
      </c>
      <c r="B1245" s="3" t="s">
        <v>317</v>
      </c>
      <c r="C1245" s="4">
        <v>33</v>
      </c>
    </row>
    <row r="1246">
      <c r="A1246" s="5">
        <f>HYPERLINK("https://app-web.statementrec.com/app#appuploadfiles/3a0e56d0-9ecd-be5b-3e9a-3c63c90a01a1","Volnay IOM")</f>
      </c>
      <c r="B1246" s="3" t="s">
        <v>318</v>
      </c>
      <c r="C1246" s="4">
        <v>48</v>
      </c>
    </row>
    <row r="1247">
      <c r="A1247" s="5">
        <f>HYPERLINK("https://app-web.statementrec.com/app#appuploadfiles/3a0e5a97-708a-f60b-72cf-903d15d99972","Riverfield Fish Farm Ltd")</f>
      </c>
      <c r="B1247" s="3" t="s">
        <v>15</v>
      </c>
      <c r="C1247" s="4">
        <v>3</v>
      </c>
    </row>
    <row r="1248">
      <c r="A1248" s="5">
        <f>HYPERLINK("https://app-web.statementrec.com/app#appuploadfiles/3a0e6df7-6683-5581-b731-ed5dba230c19","CH Soccer Ltd")</f>
      </c>
      <c r="B1248" s="3" t="s">
        <v>18</v>
      </c>
      <c r="C1248" s="4">
        <v>5</v>
      </c>
    </row>
    <row r="1249">
      <c r="A1249" s="5">
        <f>HYPERLINK("https://app-web.statementrec.com/app#appuploadfiles/3a0e6e6a-3fea-be44-0bec-e03ed141cf4d","THE OAK INN 2023 LTD")</f>
      </c>
      <c r="B1249" s="3" t="s">
        <v>43</v>
      </c>
      <c r="C1249" s="4">
        <v>6</v>
      </c>
    </row>
    <row r="1250">
      <c r="A1250" s="5">
        <f>HYPERLINK("https://app-web.statementrec.com/app#appuploadfiles/3a0e6f3c-4a56-110b-1b14-2bba5552923e","QAB Leadership Ltd")</f>
      </c>
      <c r="B1250" s="3" t="s">
        <v>84</v>
      </c>
      <c r="C1250" s="4">
        <v>1</v>
      </c>
    </row>
    <row r="1251">
      <c r="A1251" s="5">
        <f>HYPERLINK("https://app-web.statementrec.com/app#appuploadfiles/3a0e6fbe-5835-c8b3-efbf-d1b3ab8c816f","Shell Miramichi")</f>
      </c>
      <c r="B1251" s="3" t="s">
        <v>56</v>
      </c>
      <c r="C1251" s="4">
        <v>13</v>
      </c>
    </row>
    <row r="1252">
      <c r="A1252" s="5">
        <f>HYPERLINK("https://app-web.statementrec.com/app#appuploadfiles/3a0e7d46-941c-70e2-60c7-6fafb9613cdd","HSH Sports Ltd")</f>
      </c>
      <c r="B1252" s="3" t="s">
        <v>18</v>
      </c>
      <c r="C1252" s="4">
        <v>1</v>
      </c>
    </row>
    <row r="1253">
      <c r="A1253" s="5">
        <f>HYPERLINK("https://app-web.statementrec.com/app#appuploadfiles/3a0e7dc6-05a2-e98b-e261-69972ad6d16d","Chelsea Reach")</f>
      </c>
      <c r="B1253" s="3" t="s">
        <v>26</v>
      </c>
      <c r="C1253" s="4">
        <v>7</v>
      </c>
    </row>
    <row r="1254">
      <c r="A1254" s="5">
        <f>HYPERLINK("https://app-web.statementrec.com/app#appuploadfiles/3a0e833d-0759-55d7-5077-9fd5b289e879","Slatters")</f>
      </c>
      <c r="B1254" s="3" t="s">
        <v>52</v>
      </c>
      <c r="C1254" s="4">
        <v>2</v>
      </c>
    </row>
    <row r="1255">
      <c r="A1255" s="5">
        <f>HYPERLINK("https://app-web.statementrec.com/app#appuploadfiles/3a0e83e0-ebfe-26b2-03d8-1724a341372b","Revolut")</f>
      </c>
      <c r="B1255" s="3" t="s">
        <v>11</v>
      </c>
      <c r="C1255" s="4">
        <v>22</v>
      </c>
    </row>
    <row r="1256">
      <c r="A1256" s="5">
        <f>HYPERLINK("https://app-web.statementrec.com/app#appuploadfiles/3a0e94da-7ce3-17a0-c033-a90854ecf9c4","formula build")</f>
      </c>
      <c r="B1256" s="3" t="s">
        <v>214</v>
      </c>
      <c r="C1256" s="4">
        <v>6</v>
      </c>
    </row>
    <row r="1257">
      <c r="A1257" s="5">
        <f>HYPERLINK("https://app-web.statementrec.com/app#appuploadfiles/3a0e97e3-0646-e9a7-c930-43fa1445a010","Castle Hill (Maidenhead) Ltd")</f>
      </c>
      <c r="B1257" s="3" t="s">
        <v>53</v>
      </c>
      <c r="C1257" s="4">
        <v>20</v>
      </c>
    </row>
    <row r="1258">
      <c r="A1258" s="5">
        <f>HYPERLINK("https://app-web.statementrec.com/app#appuploadfiles/3a0e9880-d7ce-0983-a07f-d01934537eb5","OJS UK")</f>
      </c>
      <c r="B1258" s="3" t="s">
        <v>250</v>
      </c>
      <c r="C1258" s="4">
        <v>8</v>
      </c>
    </row>
    <row r="1259">
      <c r="A1259" s="5">
        <f>HYPERLINK("https://app-web.statementrec.com/app#appuploadfiles/3a0e9dd1-20d3-fdb2-6dc0-dbb3932f93ba","TRITEK CONSULTING LIMITED")</f>
      </c>
      <c r="B1259" s="3" t="s">
        <v>17</v>
      </c>
      <c r="C1259" s="4">
        <v>24</v>
      </c>
    </row>
    <row r="1260">
      <c r="A1260" s="5">
        <f>HYPERLINK("https://app-web.statementrec.com/app#appuploadfiles/3a0e9eca-ed35-bf5c-5716-178594a1ec17","Dave and Francee")</f>
      </c>
      <c r="B1260" s="3" t="s">
        <v>319</v>
      </c>
      <c r="C1260" s="4">
        <v>15</v>
      </c>
    </row>
    <row r="1261">
      <c r="A1261" s="5">
        <f>HYPERLINK("https://app-web.statementrec.com/app#appuploadfiles/3a0ea19c-e3a4-3972-e74c-414162e8adf8","Bombay Bridgford")</f>
      </c>
      <c r="B1261" s="3" t="s">
        <v>320</v>
      </c>
      <c r="C1261" s="4">
        <v>10</v>
      </c>
    </row>
    <row r="1262">
      <c r="A1262" s="5">
        <f>HYPERLINK("https://app-web.statementrec.com/app#appuploadfiles/3a0ea273-62f1-bbf8-fe3f-d315343466d2","ZRBS EXPRESS 21 (PTY) LTD")</f>
      </c>
      <c r="B1262" s="3" t="s">
        <v>80</v>
      </c>
      <c r="C1262" s="4">
        <v>10</v>
      </c>
    </row>
    <row r="1263">
      <c r="A1263" s="5">
        <f>HYPERLINK("https://app-web.statementrec.com/app#appuploadfiles/3a0ea2df-a96b-c16f-ab77-7952dcd7ff96","ANTHONY SOMEFUN LTD")</f>
      </c>
      <c r="B1263" s="3" t="s">
        <v>321</v>
      </c>
      <c r="C1263" s="4">
        <v>52</v>
      </c>
    </row>
    <row r="1264">
      <c r="A1264" s="5">
        <f>HYPERLINK("https://app-web.statementrec.com/app#appuploadfiles/3a0ea758-ae18-0a98-2acc-6301b38bab83","Rose Interiors")</f>
      </c>
      <c r="B1264" s="3" t="s">
        <v>16</v>
      </c>
      <c r="C1264" s="4">
        <v>207</v>
      </c>
    </row>
    <row r="1265">
      <c r="A1265" s="5">
        <f>HYPERLINK("https://app-web.statementrec.com/app#appuploadfiles/3a0eb644-0439-1d48-4c5f-7bee951795fe","Robin &amp; Christine McMurtry")</f>
      </c>
      <c r="B1265" s="3" t="s">
        <v>21</v>
      </c>
      <c r="C1265" s="4">
        <v>2</v>
      </c>
    </row>
    <row r="1266">
      <c r="A1266" s="5">
        <f>HYPERLINK("https://app-web.statementrec.com/app#appuploadfiles/3a0eb7a7-0579-8627-875d-5a357762a1a2","MFS Engineering Ltd")</f>
      </c>
      <c r="B1266" s="3" t="s">
        <v>84</v>
      </c>
      <c r="C1266" s="4">
        <v>14</v>
      </c>
    </row>
    <row r="1267">
      <c r="A1267" s="5">
        <f>HYPERLINK("https://app-web.statementrec.com/app#appuploadfiles/3a0ec18a-33d0-0749-838e-03b3705ecebe","_ifac")</f>
      </c>
      <c r="B1267" s="3" t="s">
        <v>31</v>
      </c>
      <c r="C1267" s="4">
        <v>4</v>
      </c>
    </row>
    <row r="1268">
      <c r="A1268" s="5">
        <f>HYPERLINK("https://app-web.statementrec.com/app#appuploadfiles/3a0ec253-1959-dcfd-da7d-52198b8440f8","Hosenbocus &amp; Co CPA")</f>
      </c>
      <c r="B1268" s="3" t="s">
        <v>322</v>
      </c>
      <c r="C1268" s="4">
        <v>20</v>
      </c>
    </row>
    <row r="1269">
      <c r="A1269" s="5">
        <f>HYPERLINK("https://app-web.statementrec.com/app#appuploadfiles/3a0ec462-e463-b619-cdce-b84ced2400b6","National Bank Statements")</f>
      </c>
      <c r="B1269" s="3" t="s">
        <v>323</v>
      </c>
      <c r="C1269" s="4">
        <v>106</v>
      </c>
    </row>
    <row r="1270">
      <c r="A1270" s="5">
        <f>HYPERLINK("https://app-web.statementrec.com/app#appuploadfiles/3a0ec6b3-87d6-28e3-86a4-c6b7aa47e0dc","Carly")</f>
      </c>
      <c r="B1270" s="3" t="s">
        <v>168</v>
      </c>
      <c r="C1270" s="4">
        <v>15</v>
      </c>
    </row>
    <row r="1271">
      <c r="A1271" s="5">
        <f>HYPERLINK("https://app-web.statementrec.com/app#appuploadfiles/3a0ecb3f-aa10-4710-52e1-38cb010c8719","Craft Carpentery Ltd")</f>
      </c>
      <c r="B1271" s="3" t="s">
        <v>84</v>
      </c>
      <c r="C1271" s="4">
        <v>2</v>
      </c>
    </row>
    <row r="1272">
      <c r="A1272" s="5">
        <f>HYPERLINK("https://app-web.statementrec.com/app#appuploadfiles/3a0ed63d-6876-817b-5fbd-2a4cb1247545","SMITH&amp;DIMET LTD")</f>
      </c>
      <c r="B1272" s="3" t="s">
        <v>130</v>
      </c>
      <c r="C1272" s="4">
        <v>17</v>
      </c>
    </row>
    <row r="1273">
      <c r="A1273" s="5">
        <f>HYPERLINK("https://app-web.statementrec.com/app#appuploadfiles/3a0edf8a-bc41-10a7-ad33-4e01d8b8ecb5","Beorma Consult Ltd")</f>
      </c>
      <c r="B1273" s="3" t="s">
        <v>26</v>
      </c>
      <c r="C1273" s="4">
        <v>2</v>
      </c>
    </row>
    <row r="1274">
      <c r="A1274" s="5">
        <f>HYPERLINK("https://app-web.statementrec.com/app#appuploadfiles/3a0ee0ed-8a0c-d4f7-335c-bcc8e746f573","DXT Climate Solutions Limited")</f>
      </c>
      <c r="B1274" s="3" t="s">
        <v>324</v>
      </c>
      <c r="C1274" s="4">
        <v>12</v>
      </c>
    </row>
    <row r="1275">
      <c r="A1275" s="5">
        <f>HYPERLINK("https://app-web.statementrec.com/app#appuploadfiles/3a0ee591-132d-57ed-ee76-94c4d0cbacd3","GMK Construction")</f>
      </c>
      <c r="B1275" s="3" t="s">
        <v>52</v>
      </c>
      <c r="C1275" s="4">
        <v>3</v>
      </c>
    </row>
    <row r="1276">
      <c r="A1276" s="5">
        <f>HYPERLINK("https://app-web.statementrec.com/app#appuploadfiles/3a0ee600-9ad1-e71c-b50e-259914786c9d","JONAS LANDSCAPES LIMITED")</f>
      </c>
      <c r="B1276" s="3" t="s">
        <v>47</v>
      </c>
      <c r="C1276" s="4">
        <v>3</v>
      </c>
    </row>
    <row r="1277">
      <c r="A1277" s="5">
        <f>HYPERLINK("https://app-web.statementrec.com/app#appuploadfiles/3a0eea0b-6c91-7002-dc98-ba91d4a3024e","Darren Fullerton")</f>
      </c>
      <c r="B1277" s="3" t="s">
        <v>18</v>
      </c>
      <c r="C1277" s="4">
        <v>4</v>
      </c>
    </row>
    <row r="1278">
      <c r="A1278" s="5">
        <f>HYPERLINK("https://app-web.statementrec.com/app#appuploadfiles/3a0eea1a-4651-ed5a-663e-cfba58d759b7","Hair Gardener MD Ltd")</f>
      </c>
      <c r="B1278" s="3" t="s">
        <v>56</v>
      </c>
      <c r="C1278" s="4">
        <v>7</v>
      </c>
    </row>
    <row r="1279">
      <c r="A1279" s="5">
        <f>HYPERLINK("https://app-web.statementrec.com/app#appuploadfiles/3a0eea40-2e4b-9f7d-a4bf-f66fb84ae7eb","David Rodgers 2023")</f>
      </c>
      <c r="B1279" s="3" t="s">
        <v>325</v>
      </c>
      <c r="C1279" s="4">
        <v>2</v>
      </c>
    </row>
    <row r="1280">
      <c r="A1280" s="5">
        <f>HYPERLINK("https://app-web.statementrec.com/app#appuploadfiles/3a0eeef4-a857-ed5b-bd78-293aeeda838a","John Harper Wealth Management")</f>
      </c>
      <c r="B1280" s="3" t="s">
        <v>13</v>
      </c>
      <c r="C1280" s="4">
        <v>5</v>
      </c>
    </row>
    <row r="1281">
      <c r="A1281" s="5">
        <f>HYPERLINK("https://app-web.statementrec.com/app#appuploadfiles/3a0eefa9-133d-9a98-859c-790c63a2434a","Kayleigh Radcliffe")</f>
      </c>
      <c r="B1281" s="3" t="s">
        <v>12</v>
      </c>
      <c r="C1281" s="4">
        <v>3</v>
      </c>
    </row>
    <row r="1282">
      <c r="A1282" s="5">
        <f>HYPERLINK("https://app-web.statementrec.com/app#appuploadfiles/3a0ef182-bf2a-967b-713c-4b82d5dd9070","DCY PHENIX LTD")</f>
      </c>
      <c r="B1282" s="3" t="s">
        <v>15</v>
      </c>
      <c r="C1282" s="4">
        <v>5</v>
      </c>
    </row>
    <row r="1283">
      <c r="A1283" s="5">
        <f>HYPERLINK("https://app-web.statementrec.com/app#appuploadfiles/3a0efa00-550c-fa0b-5262-ef30d248307a","TROPICANA FITNESS")</f>
      </c>
      <c r="B1283" s="3" t="s">
        <v>10</v>
      </c>
      <c r="C1283" s="4">
        <v>3</v>
      </c>
    </row>
    <row r="1284">
      <c r="A1284" s="5">
        <f>HYPERLINK("https://app-web.statementrec.com/app#appuploadfiles/3a0eff98-4c6e-a832-db7c-956a2d8b84a3","Annrai O'Toole")</f>
      </c>
      <c r="B1284" s="3" t="s">
        <v>11</v>
      </c>
      <c r="C1284" s="4">
        <v>5</v>
      </c>
    </row>
    <row r="1285">
      <c r="A1285" s="5">
        <f>HYPERLINK("https://app-web.statementrec.com/app#appuploadfiles/3a0f0027-c4e9-b5eb-a17d-9a58fc97c832","Barriere Esso")</f>
      </c>
      <c r="B1285" s="3" t="s">
        <v>326</v>
      </c>
      <c r="C1285" s="4">
        <v>5</v>
      </c>
    </row>
    <row r="1286">
      <c r="A1286" s="5">
        <f>HYPERLINK("https://app-web.statementrec.com/app#appuploadfiles/3a0f03c6-a3d8-60ce-d0c5-346b0c79718e","Pauric Cullen")</f>
      </c>
      <c r="B1286" s="3" t="s">
        <v>3</v>
      </c>
      <c r="C1286" s="4">
        <v>4</v>
      </c>
    </row>
    <row r="1287">
      <c r="A1287" s="5">
        <f>HYPERLINK("https://app-web.statementrec.com/app#appuploadfiles/3a0f08f1-603d-1664-e79c-ab4c3689d10d","OD Innovation")</f>
      </c>
      <c r="B1287" s="3" t="s">
        <v>10</v>
      </c>
      <c r="C1287" s="4">
        <v>4</v>
      </c>
    </row>
    <row r="1288">
      <c r="A1288" s="5">
        <f>HYPERLINK("https://app-web.statementrec.com/app#appuploadfiles/3a0f0927-5d40-33e0-61af-286ed3f94d15","Waveform Controls Limited")</f>
      </c>
      <c r="B1288" s="3" t="s">
        <v>10</v>
      </c>
      <c r="C1288" s="4">
        <v>5</v>
      </c>
    </row>
    <row r="1289">
      <c r="A1289" s="5">
        <f>HYPERLINK("https://app-web.statementrec.com/app#appuploadfiles/3a0f0f3e-2778-fd59-f93b-3bb6c19f2eff","ultimate fitness")</f>
      </c>
      <c r="B1289" s="3" t="s">
        <v>12</v>
      </c>
      <c r="C1289" s="4">
        <v>6</v>
      </c>
    </row>
    <row r="1290">
      <c r="A1290" s="5">
        <f>HYPERLINK("https://app-web.statementrec.com/app#appuploadfiles/3a0f0f64-b2bf-8731-70b1-742ac2662080","Colm Quinn Chartered Accountants")</f>
      </c>
      <c r="B1290" s="3" t="s">
        <v>21</v>
      </c>
      <c r="C1290" s="4">
        <v>29</v>
      </c>
    </row>
    <row r="1291">
      <c r="A1291" s="5">
        <f>HYPERLINK("https://app-web.statementrec.com/app#appuploadfiles/3a0f1463-97b0-9ca8-1f5b-de89171999ff","Visa cad")</f>
      </c>
      <c r="B1291" s="3" t="s">
        <v>327</v>
      </c>
      <c r="C1291" s="4">
        <v>4</v>
      </c>
    </row>
    <row r="1292">
      <c r="A1292" s="5">
        <f>HYPERLINK("https://app-web.statementrec.com/app#appuploadfiles/3a0f14eb-5ed6-a95c-e915-04c933cbbee7","VIVADO LIMITED")</f>
      </c>
      <c r="B1292" s="3" t="s">
        <v>12</v>
      </c>
      <c r="C1292" s="4">
        <v>6</v>
      </c>
    </row>
    <row r="1293">
      <c r="A1293" s="5">
        <f>HYPERLINK("https://app-web.statementrec.com/app#appuploadfiles/3a0f1622-625a-46ea-8129-5be6bcaae003","Jane Dillon")</f>
      </c>
      <c r="B1293" s="3" t="s">
        <v>328</v>
      </c>
      <c r="C1293" s="4">
        <v>27</v>
      </c>
    </row>
    <row r="1294">
      <c r="A1294" s="5">
        <f>HYPERLINK("https://app-web.statementrec.com/app#appuploadfiles/3a0f22d1-56cf-c539-0cb2-fb289ecfdbea","RAS Films Limited")</f>
      </c>
      <c r="B1294" s="3" t="s">
        <v>26</v>
      </c>
      <c r="C1294" s="4">
        <v>2</v>
      </c>
    </row>
    <row r="1295">
      <c r="A1295" s="5">
        <f>HYPERLINK("https://app-web.statementrec.com/app#appuploadfiles/3a0f2375-5546-a061-1269-a1c5bc55a6ce","Sisterhood Clothing")</f>
      </c>
      <c r="B1295" s="3" t="s">
        <v>329</v>
      </c>
      <c r="C1295" s="4">
        <v>24</v>
      </c>
    </row>
    <row r="1296">
      <c r="A1296" s="5">
        <f>HYPERLINK("https://app-web.statementrec.com/app#appuploadfiles/3a0f23c1-7e18-ebf4-b85d-321685f4e831","Hemingway CC Ltd")</f>
      </c>
      <c r="B1296" s="3" t="s">
        <v>81</v>
      </c>
      <c r="C1296" s="4">
        <v>3</v>
      </c>
    </row>
    <row r="1297">
      <c r="A1297" s="5">
        <f>HYPERLINK("https://app-web.statementrec.com/app#appuploadfiles/3a0f23d9-d984-64c5-78d7-b92503350099","Bailey Properties Management Ltd")</f>
      </c>
      <c r="B1297" s="3" t="s">
        <v>40</v>
      </c>
      <c r="C1297" s="4">
        <v>3</v>
      </c>
    </row>
    <row r="1298">
      <c r="A1298" s="5">
        <f>HYPERLINK("https://app-web.statementrec.com/app#appuploadfiles/3a0f281b-d399-cf64-198c-80f707ccf7e6","CLARITY ACCOUNTING SCOTLAND LIMITED")</f>
      </c>
      <c r="B1298" s="3" t="s">
        <v>29</v>
      </c>
      <c r="C1298" s="4">
        <v>2</v>
      </c>
    </row>
    <row r="1299">
      <c r="A1299" s="5">
        <f>HYPERLINK("https://app-web.statementrec.com/app#appuploadfiles/3a0f2970-5aaf-77d2-6338-5c22d677715b","Spero Ventures")</f>
      </c>
      <c r="B1299" s="3" t="s">
        <v>124</v>
      </c>
      <c r="C1299" s="4">
        <v>4</v>
      </c>
    </row>
    <row r="1300">
      <c r="A1300" s="5">
        <f>HYPERLINK("https://app-web.statementrec.com/app#appuploadfiles/3a0f2aff-76da-b01f-f3a0-bef3022d42a7","Sunrise Dairy Ltd")</f>
      </c>
      <c r="B1300" s="3" t="s">
        <v>330</v>
      </c>
      <c r="C1300" s="4">
        <v>5</v>
      </c>
    </row>
    <row r="1301">
      <c r="A1301" s="5">
        <f>HYPERLINK("https://app-web.statementrec.com/app#appuploadfiles/3a0f3747-5fd6-4ab6-ae16-bd5536746715","Knoxy Ltd")</f>
      </c>
      <c r="B1301" s="3" t="s">
        <v>331</v>
      </c>
      <c r="C1301" s="4">
        <v>10</v>
      </c>
    </row>
    <row r="1302">
      <c r="A1302" s="5">
        <f>HYPERLINK("https://app-web.statementrec.com/app#appuploadfiles/3a0f3c46-9b2d-9374-56c3-af2644be381f","Ulysses Prime Ltd")</f>
      </c>
      <c r="B1302" s="3" t="s">
        <v>36</v>
      </c>
      <c r="C1302" s="4">
        <v>12</v>
      </c>
    </row>
    <row r="1303">
      <c r="A1303" s="5">
        <f>HYPERLINK("https://app-web.statementrec.com/app#appuploadfiles/3a0f462c-8a51-309b-c276-06150b652c3e","Atlasoxy")</f>
      </c>
      <c r="B1303" s="3" t="s">
        <v>332</v>
      </c>
      <c r="C1303" s="4">
        <v>3</v>
      </c>
    </row>
    <row r="1304">
      <c r="A1304" s="5">
        <f>HYPERLINK("https://app-web.statementrec.com/app#appuploadfiles/3a0f46f9-48eb-0b4e-393d-f64c6a7459f7","S AND N 786 PROJECTS")</f>
      </c>
      <c r="B1304" s="3" t="s">
        <v>10</v>
      </c>
      <c r="C1304" s="4">
        <v>19</v>
      </c>
    </row>
    <row r="1305">
      <c r="A1305" s="5">
        <f>HYPERLINK("https://app-web.statementrec.com/app#appuploadfiles/3a0f4735-cfcd-6245-9e66-9389ed0afa55","WH CC")</f>
      </c>
      <c r="B1305" s="3" t="s">
        <v>17</v>
      </c>
      <c r="C1305" s="4">
        <v>2</v>
      </c>
    </row>
    <row r="1306">
      <c r="A1306" s="5">
        <f>HYPERLINK("https://app-web.statementrec.com/app#appuploadfiles/3a0f4736-687c-01eb-2494-99e6657a092e","TGE CC")</f>
      </c>
      <c r="B1306" s="3" t="s">
        <v>17</v>
      </c>
      <c r="C1306" s="4">
        <v>3</v>
      </c>
    </row>
    <row r="1307">
      <c r="A1307" s="5">
        <f>HYPERLINK("https://app-web.statementrec.com/app#appuploadfiles/3a0f4736-f3f8-6b07-28c6-62ce1f318455","RM CC")</f>
      </c>
      <c r="B1307" s="3" t="s">
        <v>17</v>
      </c>
      <c r="C1307" s="4">
        <v>3</v>
      </c>
    </row>
    <row r="1308">
      <c r="A1308" s="5">
        <f>HYPERLINK("https://app-web.statementrec.com/app#appuploadfiles/3a0f4737-29cb-c129-417f-73b5c9e79a61","EWB CC")</f>
      </c>
      <c r="B1308" s="3" t="s">
        <v>17</v>
      </c>
      <c r="C1308" s="4">
        <v>2</v>
      </c>
    </row>
    <row r="1309">
      <c r="A1309" s="5">
        <f>HYPERLINK("https://app-web.statementrec.com/app#appuploadfiles/3a0f4aa7-1462-c2f4-7b4c-a46bc9771127","Highcity Consulting and Advisory Pty Ltd")</f>
      </c>
      <c r="B1309" s="3" t="s">
        <v>333</v>
      </c>
      <c r="C1309" s="4">
        <v>36</v>
      </c>
    </row>
    <row r="1310">
      <c r="A1310" s="5">
        <f>HYPERLINK("https://app-web.statementrec.com/app#appuploadfiles/3a0f4cd8-64c8-0cb7-6633-56a2005d8db1","O Straffan Sullivan")</f>
      </c>
      <c r="B1310" s="3" t="s">
        <v>47</v>
      </c>
      <c r="C1310" s="4">
        <v>14</v>
      </c>
    </row>
    <row r="1311">
      <c r="A1311" s="5">
        <f>HYPERLINK("https://app-web.statementrec.com/app#appuploadfiles/3a0f4e59-d3c6-fa97-3e8c-f7e5ae1b6392","Revolut EUR")</f>
      </c>
      <c r="B1311" s="3" t="s">
        <v>11</v>
      </c>
      <c r="C1311" s="4">
        <v>1</v>
      </c>
    </row>
    <row r="1312">
      <c r="A1312" s="5">
        <f>HYPERLINK("https://app-web.statementrec.com/app#appuploadfiles/3a0f5147-a73a-10fa-69d2-150cf02fdba6","Harvesting Solutions")</f>
      </c>
      <c r="B1312" s="3" t="s">
        <v>17</v>
      </c>
      <c r="C1312" s="4">
        <v>30</v>
      </c>
    </row>
    <row r="1313">
      <c r="A1313" s="5">
        <f>HYPERLINK("https://app-web.statementrec.com/app#appuploadfiles/3a0f5580-23c2-9edf-fdf6-75a18016b970","Italiaway")</f>
      </c>
      <c r="B1313" s="3" t="s">
        <v>26</v>
      </c>
      <c r="C1313" s="4">
        <v>2</v>
      </c>
    </row>
    <row r="1314">
      <c r="A1314" s="5">
        <f>HYPERLINK("https://app-web.statementrec.com/app#appuploadfiles/3a0f6554-984b-f0ca-5e24-790b74300930","Mr &amp; Mrs Phillips")</f>
      </c>
      <c r="B1314" s="3" t="s">
        <v>25</v>
      </c>
      <c r="C1314" s="4">
        <v>11</v>
      </c>
    </row>
    <row r="1315">
      <c r="A1315" s="5">
        <f>HYPERLINK("https://app-web.statementrec.com/app#appuploadfiles/3a0f6fa3-5f2a-82a7-83bb-e3a2a4c13906","BYBLOS FRESH")</f>
      </c>
      <c r="B1315" s="3" t="s">
        <v>47</v>
      </c>
      <c r="C1315" s="4">
        <v>3</v>
      </c>
    </row>
    <row r="1316">
      <c r="A1316" s="5">
        <f>HYPERLINK("https://app-web.statementrec.com/app#appuploadfiles/3a0f7b8d-b50e-5a66-7d8c-5a0f33a40ada","Junction Box Properties (PTY) LTD")</f>
      </c>
      <c r="B1316" s="3" t="s">
        <v>80</v>
      </c>
      <c r="C1316" s="4">
        <v>4</v>
      </c>
    </row>
    <row r="1317">
      <c r="A1317" s="5">
        <f>HYPERLINK("https://app-web.statementrec.com/app#appuploadfiles/3a0f80a5-9c34-37f4-ea29-6637b09664eb","Grasshopper Retail Inc.")</f>
      </c>
      <c r="B1317" s="3" t="s">
        <v>334</v>
      </c>
      <c r="C1317" s="4">
        <v>9</v>
      </c>
    </row>
    <row r="1318">
      <c r="A1318" s="5">
        <f>HYPERLINK("https://app-web.statementrec.com/app#appuploadfiles/3a0f8db2-1e93-fdd3-0d89-113468c10001","KSJ and Associates")</f>
      </c>
      <c r="B1318" s="3" t="s">
        <v>335</v>
      </c>
      <c r="C1318" s="4">
        <v>5</v>
      </c>
    </row>
    <row r="1319">
      <c r="A1319" s="5">
        <f>HYPERLINK("https://app-web.statementrec.com/app#appuploadfiles/3a0f8e68-d415-f21c-9bc6-80f3bbaee3cd","JORDAN HALSTEAD PROPERTIES LTD")</f>
      </c>
      <c r="B1319" s="3" t="s">
        <v>17</v>
      </c>
      <c r="C1319" s="4">
        <v>60</v>
      </c>
    </row>
    <row r="1320">
      <c r="A1320" s="5">
        <f>HYPERLINK("https://app-web.statementrec.com/app#appuploadfiles/3a0fa5f6-f85c-42b8-a4da-611a74f10146","Strawberry Hill Esso")</f>
      </c>
      <c r="B1320" s="3" t="s">
        <v>40</v>
      </c>
      <c r="C1320" s="4">
        <v>1</v>
      </c>
    </row>
    <row r="1321">
      <c r="A1321" s="5">
        <f>HYPERLINK("https://app-web.statementrec.com/app#appuploadfiles/3a0fa7f2-f449-34b2-c38b-abd5acc6f1cc","DOWNFIELD ESTATES LIMITED")</f>
      </c>
      <c r="B1321" s="3" t="s">
        <v>70</v>
      </c>
      <c r="C1321" s="4">
        <v>18</v>
      </c>
    </row>
    <row r="1322">
      <c r="A1322" s="5">
        <f>HYPERLINK("https://app-web.statementrec.com/app#appuploadfiles/3a0fb6d5-3b0d-d693-3b3c-e78db9f65f2a","Interpritalia Language Services Ltd")</f>
      </c>
      <c r="B1322" s="3" t="s">
        <v>84</v>
      </c>
      <c r="C1322" s="4">
        <v>1</v>
      </c>
    </row>
    <row r="1323">
      <c r="A1323" s="5">
        <f>HYPERLINK("https://app-web.statementrec.com/app#appuploadfiles/3a0fc3da-fc1c-ac23-f6f8-1134b37f0434","KrauseCare Pharmacy Corp")</f>
      </c>
      <c r="B1323" s="3" t="s">
        <v>40</v>
      </c>
      <c r="C1323" s="4">
        <v>17</v>
      </c>
    </row>
    <row r="1324">
      <c r="A1324" s="5">
        <f>HYPERLINK("https://app-web.statementrec.com/app#appuploadfiles/3a0fc7d5-4f42-6119-315d-4e9de55546a1","Meng Enterprises Ltd")</f>
      </c>
      <c r="B1324" s="3" t="s">
        <v>56</v>
      </c>
      <c r="C1324" s="4">
        <v>5</v>
      </c>
    </row>
    <row r="1325">
      <c r="A1325" s="5">
        <f>HYPERLINK("https://app-web.statementrec.com/app#appuploadfiles/3a0fdc6b-6619-a2d3-dd63-41408e673a32","Printworks Preston Freehold Ltd")</f>
      </c>
      <c r="B1325" s="3" t="s">
        <v>70</v>
      </c>
      <c r="C1325" s="4">
        <v>2</v>
      </c>
    </row>
    <row r="1326">
      <c r="A1326" s="5">
        <f>HYPERLINK("https://app-web.statementrec.com/app#appuploadfiles/3a0fe151-820e-f6d9-0522-99389fc49657","Kerr Highway Management")</f>
      </c>
      <c r="B1326" s="3" t="s">
        <v>3</v>
      </c>
      <c r="C1326" s="4">
        <v>3</v>
      </c>
    </row>
    <row r="1327">
      <c r="A1327" s="5">
        <f>HYPERLINK("https://app-web.statementrec.com/app#appuploadfiles/3a0fe170-c188-f90b-67e2-57e40082bdbb","Coax Creative Limited")</f>
      </c>
      <c r="B1327" s="3" t="s">
        <v>336</v>
      </c>
      <c r="C1327" s="4">
        <v>64</v>
      </c>
    </row>
    <row r="1328">
      <c r="A1328" s="5">
        <f>HYPERLINK("https://app-web.statementrec.com/app#appuploadfiles/3a0fe177-3ad9-8509-d1a1-d3315f247124","Andrew Totten")</f>
      </c>
      <c r="B1328" s="3" t="s">
        <v>15</v>
      </c>
      <c r="C1328" s="4">
        <v>9</v>
      </c>
    </row>
    <row r="1329">
      <c r="A1329" s="5">
        <f>HYPERLINK("https://app-web.statementrec.com/app#appuploadfiles/3a0fe5f7-14b1-5437-7055-cdce3e8e2651","Fifty50 Coaching")</f>
      </c>
      <c r="B1329" s="3" t="s">
        <v>16</v>
      </c>
      <c r="C1329" s="4">
        <v>1</v>
      </c>
    </row>
    <row r="1330">
      <c r="A1330" s="5">
        <f>HYPERLINK("https://app-web.statementrec.com/app#appuploadfiles/3a0ffad8-91f3-4d45-3792-6dedf057f6ba","Amazing African Art CC")</f>
      </c>
      <c r="B1330" s="3" t="s">
        <v>38</v>
      </c>
      <c r="C1330" s="4">
        <v>12</v>
      </c>
    </row>
    <row r="1331">
      <c r="A1331" s="5">
        <f>HYPERLINK("https://app-web.statementrec.com/app#appuploadfiles/3a0ffb81-c7ea-ba35-78a1-b3a4e360810a","Senf Ltd")</f>
      </c>
      <c r="B1331" s="3" t="s">
        <v>295</v>
      </c>
      <c r="C1331" s="4">
        <v>2</v>
      </c>
    </row>
    <row r="1332">
      <c r="A1332" s="5">
        <f>HYPERLINK("https://app-web.statementrec.com/app#appuploadfiles/3a0ffc1d-ddfa-aa6d-e4da-1b9bd4d25c86","Ciref and Banstead")</f>
      </c>
      <c r="B1332" s="3" t="s">
        <v>40</v>
      </c>
      <c r="C1332" s="4">
        <v>28</v>
      </c>
    </row>
    <row r="1333">
      <c r="A1333" s="5">
        <f>HYPERLINK("https://app-web.statementrec.com/app#appuploadfiles/3a100043-e8e8-6369-5d61-489143e468fd","Meadow Lane Vets")</f>
      </c>
      <c r="B1333" s="3" t="s">
        <v>40</v>
      </c>
      <c r="C1333" s="4">
        <v>3</v>
      </c>
    </row>
    <row r="1334">
      <c r="A1334" s="5">
        <f>HYPERLINK("https://app-web.statementrec.com/app#appuploadfiles/3a100162-f8c4-f77f-8ac1-2371aa1dba9f","JANUARY")</f>
      </c>
      <c r="B1334" s="3" t="s">
        <v>332</v>
      </c>
      <c r="C1334" s="4">
        <v>9</v>
      </c>
    </row>
    <row r="1335">
      <c r="A1335" s="5">
        <f>HYPERLINK("https://app-web.statementrec.com/app#appuploadfiles/3a100165-ffe6-a81a-7fee-364ea945c676","OCTOBER")</f>
      </c>
      <c r="B1335" s="3" t="s">
        <v>337</v>
      </c>
      <c r="C1335" s="4">
        <v>13</v>
      </c>
    </row>
    <row r="1336">
      <c r="A1336" s="5">
        <f>HYPERLINK("https://app-web.statementrec.com/app#appuploadfiles/3a10018b-b412-81be-f7d8-33fd6478fa29","Blue Skies")</f>
      </c>
      <c r="B1336" s="3" t="s">
        <v>338</v>
      </c>
      <c r="C1336" s="4">
        <v>40</v>
      </c>
    </row>
    <row r="1337">
      <c r="A1337" s="5">
        <f>HYPERLINK("https://app-web.statementrec.com/app#appuploadfiles/3a1002f6-b06d-ce8a-761b-176cc81f1b5b","Mackenzie Infant Care Centre")</f>
      </c>
      <c r="B1337" s="3" t="s">
        <v>181</v>
      </c>
      <c r="C1337" s="4">
        <v>3</v>
      </c>
    </row>
    <row r="1338">
      <c r="A1338" s="5">
        <f>HYPERLINK("https://app-web.statementrec.com/app#appuploadfiles/3a100646-9630-d8a6-4dd7-72825e5bceb4","Sonia Stewart")</f>
      </c>
      <c r="B1338" s="3" t="s">
        <v>19</v>
      </c>
      <c r="C1338" s="4">
        <v>36</v>
      </c>
    </row>
    <row r="1339">
      <c r="A1339" s="5">
        <f>HYPERLINK("https://app-web.statementrec.com/app#appuploadfiles/3a100658-93e3-d4f5-b9ea-bf68466ea31f","Aitina Tech Limited")</f>
      </c>
      <c r="B1339" s="3" t="s">
        <v>75</v>
      </c>
      <c r="C1339" s="4">
        <v>1</v>
      </c>
    </row>
    <row r="1340">
      <c r="A1340" s="5">
        <f>HYPERLINK("https://app-web.statementrec.com/app#appuploadfiles/3a10074d-cecf-98b4-34f0-bdf23e0317e6","NOVEMBER")</f>
      </c>
      <c r="B1340" s="3" t="s">
        <v>337</v>
      </c>
      <c r="C1340" s="4">
        <v>11</v>
      </c>
    </row>
    <row r="1341">
      <c r="A1341" s="5">
        <f>HYPERLINK("https://app-web.statementrec.com/app#appuploadfiles/3a10074e-36f3-e214-3e91-1fff168399ce","DECEMBER")</f>
      </c>
      <c r="B1341" s="3" t="s">
        <v>337</v>
      </c>
      <c r="C1341" s="4">
        <v>12</v>
      </c>
    </row>
    <row r="1342">
      <c r="A1342" s="5">
        <f>HYPERLINK("https://app-web.statementrec.com/app#appuploadfiles/3a100b13-bb58-8f40-46f3-71cd62c03281","INTERNATIONAL TOOL COMPANY LIMITED")</f>
      </c>
      <c r="B1342" s="3" t="s">
        <v>339</v>
      </c>
      <c r="C1342" s="4">
        <v>25</v>
      </c>
    </row>
    <row r="1343">
      <c r="A1343" s="5">
        <f>HYPERLINK("https://app-web.statementrec.com/app#appuploadfiles/3a101fd5-313f-9866-a56c-b4253b070b2c","Six Royals George Yard Ltd")</f>
      </c>
      <c r="B1343" s="3" t="s">
        <v>47</v>
      </c>
      <c r="C1343" s="4">
        <v>4</v>
      </c>
    </row>
    <row r="1344">
      <c r="A1344" s="5">
        <f>HYPERLINK("https://app-web.statementrec.com/app#appuploadfiles/3a101ff5-7263-5efb-8214-e9fd9b6049a5","AAPL Lacon London Ltd")</f>
      </c>
      <c r="B1344" s="3" t="s">
        <v>340</v>
      </c>
      <c r="C1344" s="4">
        <v>6</v>
      </c>
    </row>
    <row r="1345">
      <c r="A1345" s="5">
        <f>HYPERLINK("https://app-web.statementrec.com/app#appuploadfiles/3a10200b-6940-e115-6b28-c5b2cdc9a743","AAPL Regis House Ltd")</f>
      </c>
      <c r="B1345" s="3" t="s">
        <v>340</v>
      </c>
      <c r="C1345" s="4">
        <v>7</v>
      </c>
    </row>
    <row r="1346">
      <c r="A1346" s="5">
        <f>HYPERLINK("https://app-web.statementrec.com/app#appuploadfiles/3a10239c-73e2-d552-5abd-654fda49001f","One Sand of World")</f>
      </c>
      <c r="B1346" s="3" t="s">
        <v>17</v>
      </c>
      <c r="C1346" s="4">
        <v>53</v>
      </c>
    </row>
    <row r="1347">
      <c r="A1347" s="5">
        <f>HYPERLINK("https://app-web.statementrec.com/app#appuploadfiles/3a1023bc-fcbf-7c76-141e-1a0f138be165","Rainforest")</f>
      </c>
      <c r="B1347" s="3" t="s">
        <v>11</v>
      </c>
      <c r="C1347" s="4">
        <v>6</v>
      </c>
    </row>
    <row r="1348">
      <c r="A1348" s="5">
        <f>HYPERLINK("https://app-web.statementrec.com/app#appuploadfiles/3a102a80-f2d0-e882-6eb8-9bbba64445c7","Parsons Wood Products Limited")</f>
      </c>
      <c r="B1348" s="3" t="s">
        <v>10</v>
      </c>
      <c r="C1348" s="4">
        <v>14</v>
      </c>
    </row>
    <row r="1349">
      <c r="A1349" s="5">
        <f>HYPERLINK("https://app-web.statementrec.com/app#appuploadfiles/3a102b8f-9a03-a1ba-745f-105fb8dfc46c","Crystals Build Ltd")</f>
      </c>
      <c r="B1349" s="3" t="s">
        <v>13</v>
      </c>
      <c r="C1349" s="4">
        <v>10</v>
      </c>
    </row>
    <row r="1350">
      <c r="A1350" s="5">
        <f>HYPERLINK("https://app-web.statementrec.com/app#appuploadfiles/3a102d9d-3d40-4fb5-33f3-dd9f3a064695","Prior-Mckie")</f>
      </c>
      <c r="B1350" s="3" t="s">
        <v>33</v>
      </c>
      <c r="C1350" s="4">
        <v>15</v>
      </c>
    </row>
    <row r="1351">
      <c r="A1351" s="5">
        <f>HYPERLINK("https://app-web.statementrec.com/app#appuploadfiles/3a102f11-11f2-738f-b387-8d60516d2aa5","Six Royals Bladon Lodge Ltd")</f>
      </c>
      <c r="B1351" s="3" t="s">
        <v>10</v>
      </c>
      <c r="C1351" s="4">
        <v>1</v>
      </c>
    </row>
    <row r="1352">
      <c r="A1352" s="5">
        <f>HYPERLINK("https://app-web.statementrec.com/app#appuploadfiles/3a102f20-9cb1-0730-f0fb-b9688542ca92","Six Royals Eastcheap Ltd")</f>
      </c>
      <c r="B1352" s="3" t="s">
        <v>15</v>
      </c>
      <c r="C1352" s="4">
        <v>6</v>
      </c>
    </row>
    <row r="1353">
      <c r="A1353" s="5">
        <f>HYPERLINK("https://app-web.statementrec.com/app#appuploadfiles/3a102f22-589c-dacc-6f31-20cc4466c451","Six Royals New Cobham House Limited")</f>
      </c>
      <c r="B1353" s="3" t="s">
        <v>340</v>
      </c>
      <c r="C1353" s="4">
        <v>2</v>
      </c>
    </row>
    <row r="1354">
      <c r="A1354" s="5">
        <f>HYPERLINK("https://app-web.statementrec.com/app#appuploadfiles/3a102f94-d435-42ca-ab35-5709349944d1","The Sustainable Darkroom")</f>
      </c>
      <c r="B1354" s="3" t="s">
        <v>120</v>
      </c>
      <c r="C1354" s="4">
        <v>13</v>
      </c>
    </row>
    <row r="1355">
      <c r="A1355" s="5">
        <f>HYPERLINK("https://app-web.statementrec.com/app#appuploadfiles/3a103e36-da89-5c88-053c-f0905846f8ad","O'Reilly O'Reilly Ltd")</f>
      </c>
      <c r="B1355" s="3" t="s">
        <v>10</v>
      </c>
      <c r="C1355" s="4">
        <v>1</v>
      </c>
    </row>
    <row r="1356">
      <c r="A1356" s="5">
        <f>HYPERLINK("https://app-web.statementrec.com/app#appuploadfiles/3a104425-623b-f178-f1c7-05f7d5aac283","Stop LLC")</f>
      </c>
      <c r="B1356" s="3" t="s">
        <v>146</v>
      </c>
      <c r="C1356" s="4">
        <v>8</v>
      </c>
    </row>
    <row r="1357">
      <c r="A1357" s="5">
        <f>HYPERLINK("https://app-web.statementrec.com/app#appuploadfiles/3a104472-9735-f17a-b4de-4fd338fd691c","BRO RECOVERY LIMITED")</f>
      </c>
      <c r="B1357" s="3" t="s">
        <v>58</v>
      </c>
      <c r="C1357" s="4">
        <v>1</v>
      </c>
    </row>
    <row r="1358">
      <c r="A1358" s="5">
        <f>HYPERLINK("https://app-web.statementrec.com/app#appuploadfiles/3a1047b9-91d1-aa4b-c6e5-110862aa4f78","RMG MARKETING")</f>
      </c>
      <c r="B1358" s="3" t="s">
        <v>168</v>
      </c>
      <c r="C1358" s="4">
        <v>4</v>
      </c>
    </row>
    <row r="1359">
      <c r="A1359" s="5">
        <f>HYPERLINK("https://app-web.statementrec.com/app#appuploadfiles/3a1048b5-ccd8-e93a-6c65-bf70ce7d555f","MR R BARNES")</f>
      </c>
      <c r="B1359" s="3" t="s">
        <v>15</v>
      </c>
      <c r="C1359" s="4">
        <v>22</v>
      </c>
    </row>
    <row r="1360">
      <c r="A1360" s="5">
        <f>HYPERLINK("https://app-web.statementrec.com/app#appuploadfiles/3a10577d-ae0b-b637-20dc-bc48add60595","CAR CITY (LUTON) LIMITED")</f>
      </c>
      <c r="B1360" s="3" t="s">
        <v>17</v>
      </c>
      <c r="C1360" s="4">
        <v>4</v>
      </c>
    </row>
    <row r="1361">
      <c r="A1361" s="5">
        <f>HYPERLINK("https://app-web.statementrec.com/app#appuploadfiles/3a106c08-d681-4e3e-136c-5558a8d1cf77","investec current")</f>
      </c>
      <c r="B1361" s="3" t="s">
        <v>80</v>
      </c>
      <c r="C1361" s="4">
        <v>4</v>
      </c>
    </row>
    <row r="1362">
      <c r="A1362" s="5">
        <f>HYPERLINK("https://app-web.statementrec.com/app#appuploadfiles/3a106c50-7edc-c959-cb99-337351d7c210","PH84 Ltd")</f>
      </c>
      <c r="B1362" s="3" t="s">
        <v>17</v>
      </c>
      <c r="C1362" s="4">
        <v>8</v>
      </c>
    </row>
    <row r="1363">
      <c r="A1363" s="5">
        <f>HYPERLINK("https://app-web.statementrec.com/app#appuploadfiles/3a107648-67e7-9db2-13eb-de28f7fec9e1","Dan Davidson")</f>
      </c>
      <c r="B1363" s="3" t="s">
        <v>341</v>
      </c>
      <c r="C1363" s="4">
        <v>15</v>
      </c>
    </row>
    <row r="1364">
      <c r="A1364" s="5">
        <f>HYPERLINK("https://app-web.statementrec.com/app#appuploadfiles/3a10766d-f217-ef20-a3b2-b05351265786","Management Account")</f>
      </c>
      <c r="B1364" s="3" t="s">
        <v>29</v>
      </c>
      <c r="C1364" s="4">
        <v>1</v>
      </c>
    </row>
    <row r="1365">
      <c r="A1365" s="5">
        <f>HYPERLINK("https://app-web.statementrec.com/app#appuploadfiles/3a1077f4-e768-6294-76dc-0e1cd22c318a","African Carting Cup (Pty) Ltd")</f>
      </c>
      <c r="B1365" s="3" t="s">
        <v>48</v>
      </c>
      <c r="C1365" s="4">
        <v>14</v>
      </c>
    </row>
    <row r="1366">
      <c r="A1366" s="5">
        <f>HYPERLINK("https://app-web.statementrec.com/app#appuploadfiles/3a107aa1-7b7e-cbce-817f-b35e6f49007f","Valuline 119 (Pty) Ltd")</f>
      </c>
      <c r="B1366" s="3" t="s">
        <v>38</v>
      </c>
      <c r="C1366" s="4">
        <v>8</v>
      </c>
    </row>
    <row r="1367">
      <c r="A1367" s="5">
        <f>HYPERLINK("https://app-web.statementrec.com/app#appuploadfiles/3a107c06-f084-2753-730d-d20966c314d1","Paddle West LTD")</f>
      </c>
      <c r="B1367" s="3" t="s">
        <v>18</v>
      </c>
      <c r="C1367" s="4">
        <v>2</v>
      </c>
    </row>
    <row r="1368">
      <c r="A1368" s="5">
        <f>HYPERLINK("https://app-web.statementrec.com/app#appuploadfiles/3a108134-3b2b-9394-8120-3c0358ca81e4","Eliana Gutierrez")</f>
      </c>
      <c r="B1368" s="3" t="s">
        <v>56</v>
      </c>
      <c r="C1368" s="4">
        <v>69</v>
      </c>
    </row>
    <row r="1369">
      <c r="A1369" s="5">
        <f>HYPERLINK("https://app-web.statementrec.com/app#appuploadfiles/3a108b08-69d0-da16-f07d-4348cc9bb57e","Magnus Financial Services")</f>
      </c>
      <c r="B1369" s="3" t="s">
        <v>342</v>
      </c>
      <c r="C1369" s="4">
        <v>16</v>
      </c>
    </row>
    <row r="1370">
      <c r="A1370" s="5">
        <f>HYPERLINK("https://app-web.statementrec.com/app#appuploadfiles/3a108db4-4320-00dc-26ad-2ffcda7dbdb3","charles Cochrane LTD")</f>
      </c>
      <c r="B1370" s="3" t="s">
        <v>24</v>
      </c>
      <c r="C1370" s="4">
        <v>3</v>
      </c>
    </row>
    <row r="1371">
      <c r="A1371" s="5">
        <f>HYPERLINK("https://app-web.statementrec.com/app#appuploadfiles/3a108fd5-e999-13ce-7393-afa44a6cd03d","SEA SELLERS")</f>
      </c>
      <c r="B1371" s="3" t="s">
        <v>343</v>
      </c>
      <c r="C1371" s="4">
        <v>25</v>
      </c>
    </row>
    <row r="1372">
      <c r="A1372" s="5">
        <f>HYPERLINK("https://app-web.statementrec.com/app#appuploadfiles/3a109001-a87c-bd00-ef10-422d0ee40cb4","Revolut USD")</f>
      </c>
      <c r="B1372" s="3" t="s">
        <v>11</v>
      </c>
      <c r="C1372" s="4">
        <v>2</v>
      </c>
    </row>
    <row r="1373">
      <c r="A1373" s="5">
        <f>HYPERLINK("https://app-web.statementrec.com/app#appuploadfiles/3a1095c2-cb2e-1d0e-2576-119a7a51563e","St Marks Pre-school")</f>
      </c>
      <c r="B1373" s="3" t="s">
        <v>94</v>
      </c>
      <c r="C1373" s="4">
        <v>7</v>
      </c>
    </row>
    <row r="1374">
      <c r="A1374" s="5">
        <f>HYPERLINK("https://app-web.statementrec.com/app#appuploadfiles/3a109670-b828-cfb5-6434-d7c80e41afdc","Instant Garden")</f>
      </c>
      <c r="B1374" s="3" t="s">
        <v>40</v>
      </c>
      <c r="C1374" s="4">
        <v>1</v>
      </c>
    </row>
    <row r="1375">
      <c r="A1375" s="5">
        <f>HYPERLINK("https://app-web.statementrec.com/app#appuploadfiles/3a109b2c-3c17-a80f-2ffd-7325e064f38b","Evolution Sports Rights Ltd")</f>
      </c>
      <c r="B1375" s="3" t="s">
        <v>146</v>
      </c>
      <c r="C1375" s="4">
        <v>6</v>
      </c>
    </row>
    <row r="1376">
      <c r="A1376" s="5">
        <f>HYPERLINK("https://app-web.statementrec.com/app#appuploadfiles/3a109bc3-c594-1599-c01d-a5fe1f14ade0","EcoVista")</f>
      </c>
      <c r="B1376" s="3" t="s">
        <v>344</v>
      </c>
      <c r="C1376" s="4">
        <v>2</v>
      </c>
    </row>
    <row r="1377">
      <c r="A1377" s="5">
        <f>HYPERLINK("https://app-web.statementrec.com/app#appuploadfiles/3a10a0ed-9498-c8e3-59bd-9cfec08d0d3c","AISLING JONES &amp; LORRAINE POWER")</f>
      </c>
      <c r="B1377" s="3" t="s">
        <v>316</v>
      </c>
      <c r="C1377" s="4">
        <v>4</v>
      </c>
    </row>
    <row r="1378">
      <c r="A1378" s="5">
        <f>HYPERLINK("https://app-web.statementrec.com/app#appuploadfiles/3a10aee4-8b15-488b-7ba3-f22bf0549a02","Aurora Medical INC")</f>
      </c>
      <c r="B1378" s="3" t="s">
        <v>48</v>
      </c>
      <c r="C1378" s="4">
        <v>14</v>
      </c>
    </row>
    <row r="1379">
      <c r="A1379" s="5">
        <f>HYPERLINK("https://app-web.statementrec.com/app#appuploadfiles/3a10af37-0769-532b-6943-77b501538346","Professor C A E and Mrs M A Goodhart")</f>
      </c>
      <c r="B1379" s="3" t="s">
        <v>15</v>
      </c>
      <c r="C1379" s="4">
        <v>4</v>
      </c>
    </row>
    <row r="1380">
      <c r="A1380" s="5">
        <f>HYPERLINK("https://app-web.statementrec.com/app#appuploadfiles/3a10af85-0eb6-5b34-e971-3ace8485c518","Van Zyl Boerdery Vennootskap")</f>
      </c>
      <c r="B1380" s="3" t="s">
        <v>121</v>
      </c>
      <c r="C1380" s="4">
        <v>2</v>
      </c>
    </row>
    <row r="1381">
      <c r="A1381" s="5">
        <f>HYPERLINK("https://app-web.statementrec.com/app#appuploadfiles/3a10afa6-b7cd-aae7-819c-0285fedfd950","AF White")</f>
      </c>
      <c r="B1381" s="3" t="s">
        <v>21</v>
      </c>
      <c r="C1381" s="4">
        <v>12</v>
      </c>
    </row>
    <row r="1382">
      <c r="A1382" s="5">
        <f>HYPERLINK("https://app-web.statementrec.com/app#appuploadfiles/3a10b40a-7954-04fe-a7c2-c98cb283cb1d","999 Better Call Paul")</f>
      </c>
      <c r="B1382" s="3" t="s">
        <v>190</v>
      </c>
      <c r="C1382" s="4">
        <v>12</v>
      </c>
    </row>
    <row r="1383">
      <c r="A1383" s="5">
        <f>HYPERLINK("https://app-web.statementrec.com/app#appuploadfiles/3a10b41a-baaf-7bfd-b198-b802ef095294","1848 - Apex Verandas Ltd")</f>
      </c>
      <c r="B1383" s="3" t="s">
        <v>19</v>
      </c>
      <c r="C1383" s="4">
        <v>10</v>
      </c>
    </row>
    <row r="1384">
      <c r="A1384" s="5">
        <f>HYPERLINK("https://app-web.statementrec.com/app#appuploadfiles/3a10b53e-b615-fee1-7077-430683cc0b57","Chaotic Works Limited")</f>
      </c>
      <c r="B1384" s="3" t="s">
        <v>345</v>
      </c>
      <c r="C1384" s="4">
        <v>16</v>
      </c>
    </row>
    <row r="1385">
      <c r="A1385" s="5">
        <f>HYPERLINK("https://app-web.statementrec.com/app#appuploadfiles/3a10b8dc-18c8-d54d-3237-09183f629473","Tyche Property Investments (Pty) Ltd")</f>
      </c>
      <c r="B1385" s="3" t="s">
        <v>48</v>
      </c>
      <c r="C1385" s="4">
        <v>12</v>
      </c>
    </row>
    <row r="1386">
      <c r="A1386" s="5">
        <f>HYPERLINK("https://app-web.statementrec.com/app#appuploadfiles/3a10ba9d-c332-3722-157b-8dbb86103175","LondonIVtheo")</f>
      </c>
      <c r="B1386" s="3" t="s">
        <v>12</v>
      </c>
      <c r="C1386" s="4">
        <v>9</v>
      </c>
    </row>
    <row r="1387">
      <c r="A1387" s="5">
        <f>HYPERLINK("https://app-web.statementrec.com/app#appuploadfiles/3a10be23-324a-f80b-337a-0e18679cff43","Super Save 65")</f>
      </c>
      <c r="B1387" s="3" t="s">
        <v>158</v>
      </c>
      <c r="C1387" s="4">
        <v>2</v>
      </c>
    </row>
    <row r="1388">
      <c r="A1388" s="5">
        <f>HYPERLINK("https://app-web.statementrec.com/app#appuploadfiles/3a10d453-6817-537c-92fb-861379182e1f","JJW Accountants Ltd")</f>
      </c>
      <c r="B1388" s="3" t="s">
        <v>47</v>
      </c>
      <c r="C1388" s="4">
        <v>1</v>
      </c>
    </row>
    <row r="1389">
      <c r="A1389" s="5">
        <f>HYPERLINK("https://app-web.statementrec.com/app#appuploadfiles/3a10d963-6db7-e9c3-5cca-c2b5ba854e09","DUMMY ACCOUNT")</f>
      </c>
      <c r="B1389" s="3" t="s">
        <v>70</v>
      </c>
      <c r="C1389" s="4">
        <v>25</v>
      </c>
    </row>
    <row r="1390">
      <c r="A1390" s="5">
        <f>HYPERLINK("https://app-web.statementrec.com/app#appuploadfiles/3a10da33-0a17-b663-1695-4f7e73afc67c","Six10 Creative Studios")</f>
      </c>
      <c r="B1390" s="3" t="s">
        <v>80</v>
      </c>
      <c r="C1390" s="4">
        <v>1</v>
      </c>
    </row>
    <row r="1391">
      <c r="A1391" s="5">
        <f>HYPERLINK("https://app-web.statementrec.com/app#appuploadfiles/3a10dd16-b694-150c-5957-240dd9eae47e","Messrs  EW &amp; WB Duncan")</f>
      </c>
      <c r="B1391" s="3" t="s">
        <v>30</v>
      </c>
      <c r="C1391" s="4">
        <v>3</v>
      </c>
    </row>
    <row r="1392">
      <c r="A1392" s="5">
        <f>HYPERLINK("https://app-web.statementrec.com/app#appuploadfiles/3a10de9f-caec-b387-ccb3-582fa754b650","Ndoto")</f>
      </c>
      <c r="B1392" s="3" t="s">
        <v>13</v>
      </c>
      <c r="C1392" s="4">
        <v>4</v>
      </c>
    </row>
    <row r="1393">
      <c r="A1393" s="5">
        <f>HYPERLINK("https://app-web.statementrec.com/app#appuploadfiles/3a10dffc-7395-066b-40ea-34bfafb5a3e2","Angus Edmonds")</f>
      </c>
      <c r="B1393" s="3" t="s">
        <v>29</v>
      </c>
      <c r="C1393" s="4">
        <v>14</v>
      </c>
    </row>
    <row r="1394">
      <c r="A1394" s="5">
        <f>HYPERLINK("https://app-web.statementrec.com/app#appuploadfiles/3a10e242-975d-3737-090d-b601433249e7","AC 538 Bank Nov 2023 - Jan 2024")</f>
      </c>
      <c r="B1394" s="3" t="s">
        <v>3</v>
      </c>
      <c r="C1394" s="4">
        <v>4</v>
      </c>
    </row>
    <row r="1395">
      <c r="A1395" s="5">
        <f>HYPERLINK("https://app-web.statementrec.com/app#appuploadfiles/3a10e387-2314-0afd-08f7-f63ce68454a8","CHEEKI CHERRI")</f>
      </c>
      <c r="B1395" s="3" t="s">
        <v>290</v>
      </c>
      <c r="C1395" s="4">
        <v>4</v>
      </c>
    </row>
    <row r="1396">
      <c r="A1396" s="5">
        <f>HYPERLINK("https://app-web.statementrec.com/app#appuploadfiles/3a10e81d-07cc-54b7-9716-842e184c9843","Fitlook LTD")</f>
      </c>
      <c r="B1396" s="3" t="s">
        <v>346</v>
      </c>
      <c r="C1396" s="4">
        <v>23</v>
      </c>
    </row>
    <row r="1397">
      <c r="A1397" s="5">
        <f>HYPERLINK("https://app-web.statementrec.com/app#appuploadfiles/3a10f6ec-318c-a77d-9df4-94325720e602","Andrew Fortune")</f>
      </c>
      <c r="B1397" s="3" t="s">
        <v>347</v>
      </c>
      <c r="C1397" s="4">
        <v>49</v>
      </c>
    </row>
    <row r="1398">
      <c r="A1398" s="5">
        <f>HYPERLINK("https://app-web.statementrec.com/app#appuploadfiles/3a10f825-09b6-970b-429a-3d1b41196ae6","DGS Management Ltd")</f>
      </c>
      <c r="B1398" s="3" t="s">
        <v>84</v>
      </c>
      <c r="C1398" s="4">
        <v>1</v>
      </c>
    </row>
    <row r="1399">
      <c r="A1399" s="5">
        <f>HYPERLINK("https://app-web.statementrec.com/app#appuploadfiles/3a10fc4e-4853-884e-f0ec-a7539ec74daf","Spice Fine Foods Ltd")</f>
      </c>
      <c r="B1399" s="3" t="s">
        <v>168</v>
      </c>
      <c r="C1399" s="4">
        <v>7</v>
      </c>
    </row>
    <row r="1400">
      <c r="A1400" s="5">
        <f>HYPERLINK("https://app-web.statementrec.com/app#appuploadfiles/3a10fd3d-59fc-8bab-3299-fde0b717f10f","JNE Security Ltd")</f>
      </c>
      <c r="B1400" s="3" t="s">
        <v>17</v>
      </c>
      <c r="C1400" s="4">
        <v>40</v>
      </c>
    </row>
    <row r="1401">
      <c r="A1401" s="5">
        <f>HYPERLINK("https://app-web.statementrec.com/app#appuploadfiles/3a11074a-6a1f-0bd5-e850-7d4647d6d0da","Vigira Med Ltd")</f>
      </c>
      <c r="B1401" s="3" t="s">
        <v>12</v>
      </c>
      <c r="C1401" s="4">
        <v>7</v>
      </c>
    </row>
    <row r="1402">
      <c r="A1402" s="5">
        <f>HYPERLINK("https://app-web.statementrec.com/app#appuploadfiles/3a11078a-2497-973a-b3f2-96d56f3a1093","WEAVER LONDON LIMITED")</f>
      </c>
      <c r="B1402" s="3" t="s">
        <v>29</v>
      </c>
      <c r="C1402" s="4">
        <v>1</v>
      </c>
    </row>
    <row r="1403">
      <c r="A1403" s="5">
        <f>HYPERLINK("https://app-web.statementrec.com/app#appuploadfiles/3a1108b7-9fea-b715-b622-01d02f2828d1","Shanel Quinn")</f>
      </c>
      <c r="B1403" s="3" t="s">
        <v>137</v>
      </c>
      <c r="C1403" s="4">
        <v>19</v>
      </c>
    </row>
    <row r="1404">
      <c r="A1404" s="5">
        <f>HYPERLINK("https://app-web.statementrec.com/app#appuploadfiles/3a111d34-6e33-90ac-9faf-61d08d7bcda2","Canco  Supermarket 907 108 Mile Ranch")</f>
      </c>
      <c r="B1404" s="3" t="s">
        <v>158</v>
      </c>
      <c r="C1404" s="4">
        <v>9</v>
      </c>
    </row>
    <row r="1405">
      <c r="A1405" s="5">
        <f>HYPERLINK("https://app-web.statementrec.com/app#appuploadfiles/3a112085-8c2a-a604-37ff-603c6cea1be5","WH Erasmus")</f>
      </c>
      <c r="B1405" s="3" t="s">
        <v>80</v>
      </c>
      <c r="C1405" s="4">
        <v>13</v>
      </c>
    </row>
    <row r="1406">
      <c r="A1406" s="5">
        <f>HYPERLINK("https://app-web.statementrec.com/app#appuploadfiles/3a1120a3-f1b9-8718-6bc9-b2501de92e71","RS &amp; EJ Longden")</f>
      </c>
      <c r="B1406" s="3" t="s">
        <v>54</v>
      </c>
      <c r="C1406" s="4">
        <v>6</v>
      </c>
    </row>
    <row r="1407">
      <c r="A1407" s="5">
        <f>HYPERLINK("https://app-web.statementrec.com/app#appuploadfiles/3a1120c2-2456-b1bb-3175-ca5e0b91076c","1452/W - Mrs S M J Ellicott")</f>
      </c>
      <c r="B1407" s="3" t="s">
        <v>12</v>
      </c>
      <c r="C1407" s="4">
        <v>7</v>
      </c>
    </row>
    <row r="1408">
      <c r="A1408" s="5">
        <f>HYPERLINK("https://app-web.statementrec.com/app#appuploadfiles/3a1125f9-4b53-4753-28ad-a18c3de91896","Custom Tuning SA")</f>
      </c>
      <c r="B1408" s="3" t="s">
        <v>348</v>
      </c>
      <c r="C1408" s="4">
        <v>6</v>
      </c>
    </row>
    <row r="1409">
      <c r="A1409" s="5">
        <f>HYPERLINK("https://app-web.statementrec.com/app#appuploadfiles/3a112c78-0f0e-239c-d466-efe090de664f","3551890 Canada Inc")</f>
      </c>
      <c r="B1409" s="3" t="s">
        <v>40</v>
      </c>
      <c r="C1409" s="4">
        <v>17</v>
      </c>
    </row>
    <row r="1410">
      <c r="A1410" s="5">
        <f>HYPERLINK("https://app-web.statementrec.com/app#appuploadfiles/3a113f3c-e0fb-1c51-38ef-188d7f068248","Orange OYS")</f>
      </c>
      <c r="B1410" s="3" t="s">
        <v>26</v>
      </c>
      <c r="C1410" s="4">
        <v>3</v>
      </c>
    </row>
    <row r="1411">
      <c r="A1411" s="5">
        <f>HYPERLINK("https://app-web.statementrec.com/app#appuploadfiles/3a11448c-43a1-6072-1cc9-4624be424167","Six Royals Jasper House Ltd")</f>
      </c>
      <c r="B1411" s="3" t="s">
        <v>15</v>
      </c>
      <c r="C1411" s="4">
        <v>3</v>
      </c>
    </row>
    <row r="1412">
      <c r="A1412" s="5">
        <f>HYPERLINK("https://app-web.statementrec.com/app#appuploadfiles/3a11459f-3d53-c238-594d-19989f70f8f7","AAA Vans")</f>
      </c>
      <c r="B1412" s="3" t="s">
        <v>84</v>
      </c>
      <c r="C1412" s="4">
        <v>1</v>
      </c>
    </row>
    <row r="1413">
      <c r="A1413" s="5">
        <f>HYPERLINK("https://app-web.statementrec.com/app#appuploadfiles/3a114929-ed88-17b2-f315-c599154ee294","Aldo Wigs")</f>
      </c>
      <c r="B1413" s="3" t="s">
        <v>47</v>
      </c>
      <c r="C1413" s="4">
        <v>11</v>
      </c>
    </row>
    <row r="1414">
      <c r="A1414" s="5">
        <f>HYPERLINK("https://app-web.statementrec.com/app#appuploadfiles/3a114940-e499-03f9-e6a2-2fc330c3e53d","MMTP")</f>
      </c>
      <c r="B1414" s="3" t="s">
        <v>118</v>
      </c>
      <c r="C1414" s="4">
        <v>5</v>
      </c>
    </row>
    <row r="1415">
      <c r="A1415" s="5">
        <f>HYPERLINK("https://app-web.statementrec.com/app#appuploadfiles/3a11494e-96d9-1239-9a0c-486eca8b340f","Arusha Estate")</f>
      </c>
      <c r="B1415" s="3" t="s">
        <v>80</v>
      </c>
      <c r="C1415" s="4">
        <v>8</v>
      </c>
    </row>
    <row r="1416">
      <c r="A1416" s="5">
        <f>HYPERLINK("https://app-web.statementrec.com/app#appuploadfiles/3a114951-0994-68ba-c4df-a688ebab3258","SLR Grip &amp; Electric")</f>
      </c>
      <c r="B1416" s="3" t="s">
        <v>10</v>
      </c>
      <c r="C1416" s="4">
        <v>2</v>
      </c>
    </row>
    <row r="1417">
      <c r="A1417" s="5">
        <f>HYPERLINK("https://app-web.statementrec.com/app#appuploadfiles/3a114954-faf5-2fb9-5f2c-8229a57f1b7b","Wilding Holiday Lets Ltd")</f>
      </c>
      <c r="B1417" s="3" t="s">
        <v>29</v>
      </c>
      <c r="C1417" s="4">
        <v>1</v>
      </c>
    </row>
    <row r="1418">
      <c r="A1418" s="5">
        <f>HYPERLINK("https://app-web.statementrec.com/app#appuploadfiles/3a1149b5-cd9a-a17a-1129-9c069cd7288f","Slieve Gullion Getaways")</f>
      </c>
      <c r="B1418" s="3" t="s">
        <v>11</v>
      </c>
      <c r="C1418" s="4">
        <v>8</v>
      </c>
    </row>
    <row r="1419">
      <c r="A1419" s="5">
        <f>HYPERLINK("https://app-web.statementrec.com/app#appuploadfiles/3a114fcc-98ac-a1bd-16db-5e551f7d03bc","C5060 - Parts &amp; Pieces (Medicine Hat) Inc")</f>
      </c>
      <c r="B1419" s="3" t="s">
        <v>349</v>
      </c>
      <c r="C1419" s="4">
        <v>3</v>
      </c>
    </row>
    <row r="1420">
      <c r="A1420" s="5">
        <f>HYPERLINK("https://app-web.statementrec.com/app#appuploadfiles/3a11634c-75fc-2833-e95a-2b000540d342","Carepacity Limited")</f>
      </c>
      <c r="B1420" s="3" t="s">
        <v>84</v>
      </c>
      <c r="C1420" s="4">
        <v>14</v>
      </c>
    </row>
    <row r="1421">
      <c r="A1421" s="5">
        <f>HYPERLINK("https://app-web.statementrec.com/app#appuploadfiles/3a1163a2-2266-6a92-d3ac-d60617c7f42c","FRESH FISH")</f>
      </c>
      <c r="B1421" s="3" t="s">
        <v>264</v>
      </c>
      <c r="C1421" s="4">
        <v>4</v>
      </c>
    </row>
    <row r="1422">
      <c r="A1422" s="5">
        <f>HYPERLINK("https://app-web.statementrec.com/app#appuploadfiles/3a116958-acdb-67eb-5af4-d49488d49d5d","7ASecurity Limited")</f>
      </c>
      <c r="B1422" s="3" t="s">
        <v>10</v>
      </c>
      <c r="C1422" s="4">
        <v>1</v>
      </c>
    </row>
    <row r="1423">
      <c r="A1423" s="5">
        <f>HYPERLINK("https://app-web.statementrec.com/app#appuploadfiles/3a1169b5-597e-9a61-346a-13e533e95d91","N.I.A.M.O.S. Ltd 2388")</f>
      </c>
      <c r="B1423" s="3" t="s">
        <v>251</v>
      </c>
      <c r="C1423" s="4">
        <v>2</v>
      </c>
    </row>
    <row r="1424">
      <c r="A1424" s="5">
        <f>HYPERLINK("https://app-web.statementrec.com/app#appuploadfiles/3a116a94-ec9a-5bf6-153c-a6d5f80d93b9","24/7")</f>
      </c>
      <c r="B1424" s="3" t="s">
        <v>350</v>
      </c>
      <c r="C1424" s="4">
        <v>87</v>
      </c>
    </row>
    <row r="1425">
      <c r="A1425" s="5">
        <f>HYPERLINK("https://app-web.statementrec.com/app#appuploadfiles/3a116ddc-0c39-0834-e889-259b9dd1a415","Mrs C Caunter and Mrs M Jessop T/A Perryman and Son")</f>
      </c>
      <c r="B1425" s="3" t="s">
        <v>12</v>
      </c>
      <c r="C1425" s="4">
        <v>32</v>
      </c>
    </row>
    <row r="1426">
      <c r="A1426" s="5">
        <f>HYPERLINK("https://app-web.statementrec.com/app#appuploadfiles/3a116ed3-2ada-5cd7-ba71-e140deceb68c","Richard Tuomey")</f>
      </c>
      <c r="B1426" s="3" t="s">
        <v>10</v>
      </c>
      <c r="C1426" s="4">
        <v>3</v>
      </c>
    </row>
    <row r="1427">
      <c r="A1427" s="5">
        <f>HYPERLINK("https://app-web.statementrec.com/app#appuploadfiles/3a1173a9-f7ff-0a7f-251d-8f3bc59bff45","2750/B - Mr P Worden")</f>
      </c>
      <c r="B1427" s="3" t="s">
        <v>15</v>
      </c>
      <c r="C1427" s="4">
        <v>28</v>
      </c>
    </row>
    <row r="1428">
      <c r="A1428" s="5">
        <f>HYPERLINK("https://app-web.statementrec.com/app#appuploadfiles/3a1173fa-efca-23b9-0f4a-184425bce1f8","Singh Brothers Oil")</f>
      </c>
      <c r="B1428" s="3" t="s">
        <v>351</v>
      </c>
      <c r="C1428" s="4">
        <v>4</v>
      </c>
    </row>
    <row r="1429">
      <c r="A1429" s="5">
        <f>HYPERLINK("https://app-web.statementrec.com/app#appuploadfiles/3a117586-194f-aede-1516-5dfdd92e11a3","SWEET BAKERY DUBLIN")</f>
      </c>
      <c r="B1429" s="3" t="s">
        <v>352</v>
      </c>
      <c r="C1429" s="4">
        <v>4</v>
      </c>
    </row>
    <row r="1430">
      <c r="A1430" s="5">
        <f>HYPERLINK("https://app-web.statementrec.com/app#appuploadfiles/3a1179c5-fbd5-da95-c127-e225bcd21118","DJD &amp; Associates Inc.")</f>
      </c>
      <c r="B1430" s="3" t="s">
        <v>201</v>
      </c>
      <c r="C1430" s="4">
        <v>30</v>
      </c>
    </row>
    <row r="1431">
      <c r="A1431" s="5">
        <f>HYPERLINK("https://app-web.statementrec.com/app#appuploadfiles/3a11886e-a42a-7ad4-cee2-ee2e72e4c4bf","JJRL")</f>
      </c>
      <c r="B1431" s="3" t="s">
        <v>70</v>
      </c>
      <c r="C1431" s="4">
        <v>1</v>
      </c>
    </row>
    <row r="1432">
      <c r="A1432" s="5">
        <f>HYPERLINK("https://app-web.statementrec.com/app#appuploadfiles/3a118885-9975-339e-63d6-fc39690a5c3d","All Clients")</f>
      </c>
      <c r="B1432" s="3" t="s">
        <v>12</v>
      </c>
      <c r="C1432" s="4">
        <v>21</v>
      </c>
    </row>
    <row r="1433">
      <c r="A1433" s="5">
        <f>HYPERLINK("https://app-web.statementrec.com/app#appuploadfiles/3a118d1d-0f4e-77e2-f808-1b8f0a34f215","ECDMF Limited")</f>
      </c>
      <c r="B1433" s="3" t="s">
        <v>15</v>
      </c>
      <c r="C1433" s="4">
        <v>3</v>
      </c>
    </row>
    <row r="1434">
      <c r="A1434" s="5">
        <f>HYPERLINK("https://app-web.statementrec.com/app#appuploadfiles/3a118d28-11bb-2f76-074b-1949ae3cc463","ZeinaTechSolutionsInc- C6661-Fisher")</f>
      </c>
      <c r="B1434" s="3" t="s">
        <v>154</v>
      </c>
      <c r="C1434" s="4">
        <v>21</v>
      </c>
    </row>
    <row r="1435">
      <c r="A1435" s="5">
        <f>HYPERLINK("https://app-web.statementrec.com/app#appuploadfiles/3a118db7-3e46-9422-a0de-099e780fa29c","Miss Green Clean")</f>
      </c>
      <c r="B1435" s="3" t="s">
        <v>17</v>
      </c>
      <c r="C1435" s="4">
        <v>4</v>
      </c>
    </row>
    <row r="1436">
      <c r="A1436" s="5">
        <f>HYPERLINK("https://app-web.statementrec.com/app#appuploadfiles/3a1191fb-ac7c-a3c5-b8e4-d58d1c33c0d7","W2 Ventures Ltd")</f>
      </c>
      <c r="B1436" s="3" t="s">
        <v>43</v>
      </c>
      <c r="C1436" s="4">
        <v>3</v>
      </c>
    </row>
    <row r="1437">
      <c r="A1437" s="5">
        <f>HYPERLINK("https://app-web.statementrec.com/app#appuploadfiles/3a1192dc-7203-18ea-dadb-87e7f996782a","Galvin Farms Fresh Milk")</f>
      </c>
      <c r="B1437" s="3" t="s">
        <v>3</v>
      </c>
      <c r="C1437" s="4">
        <v>16</v>
      </c>
    </row>
    <row r="1438">
      <c r="A1438" s="5">
        <f>HYPERLINK("https://app-web.statementrec.com/app#appuploadfiles/3a119553-437e-833a-ad88-f1480f8380ac","ASMP 888 INVESTMENTS PTY LTD")</f>
      </c>
      <c r="B1438" s="3" t="s">
        <v>353</v>
      </c>
      <c r="C1438" s="4">
        <v>6</v>
      </c>
    </row>
    <row r="1439">
      <c r="A1439" s="5">
        <f>HYPERLINK("https://app-web.statementrec.com/app#appuploadfiles/3a119804-3f2b-4344-1bca-1552fe165934","DEFAULT - HELEN'S ROOM")</f>
      </c>
      <c r="B1439" s="3" t="s">
        <v>12</v>
      </c>
      <c r="C1439" s="4">
        <v>42</v>
      </c>
    </row>
    <row r="1440">
      <c r="A1440" s="5">
        <f>HYPERLINK("https://app-web.statementrec.com/app#appuploadfiles/3a11b241-68ef-722e-7b18-95fd48cfad57","Bacillus Water Solutions")</f>
      </c>
      <c r="B1440" s="3" t="s">
        <v>12</v>
      </c>
      <c r="C1440" s="4">
        <v>2</v>
      </c>
    </row>
    <row r="1441">
      <c r="A1441" s="5">
        <f>HYPERLINK("https://app-web.statementrec.com/app#appuploadfiles/3a11ba77-3f9e-159a-5ace-cf1d84a5a724","EP22L Penny Electrical Ltd")</f>
      </c>
      <c r="B1441" s="3" t="s">
        <v>17</v>
      </c>
      <c r="C1441" s="4">
        <v>13</v>
      </c>
    </row>
    <row r="1442">
      <c r="A1442" s="5">
        <f>HYPERLINK("https://app-web.statementrec.com/app#appuploadfiles/3a11ba95-7b34-3a7f-8da1-465a7290e77c","Monzo")</f>
      </c>
      <c r="B1442" s="3" t="s">
        <v>168</v>
      </c>
      <c r="C1442" s="4">
        <v>7</v>
      </c>
    </row>
    <row r="1443">
      <c r="A1443" s="5">
        <f>HYPERLINK("https://app-web.statementrec.com/app#appuploadfiles/3a11bb88-9144-14e2-5eed-2f3318c9e53a","Arantis Investments Limited")</f>
      </c>
      <c r="B1443" s="3" t="s">
        <v>47</v>
      </c>
      <c r="C1443" s="4">
        <v>8</v>
      </c>
    </row>
    <row r="1444">
      <c r="A1444" s="5">
        <f>HYPERLINK("https://app-web.statementrec.com/app#appuploadfiles/3a11bbcf-3ea6-6370-fb6c-dada9c89b818","EcommBX - Isaac Douglas Euro account")</f>
      </c>
      <c r="B1444" s="3" t="s">
        <v>354</v>
      </c>
      <c r="C1444" s="4">
        <v>1</v>
      </c>
    </row>
    <row r="1445">
      <c r="A1445" s="5">
        <f>HYPERLINK("https://app-web.statementrec.com/app#appuploadfiles/3a11c6bc-574b-4899-705a-013bec929338","Ngoako Masenamela")</f>
      </c>
      <c r="B1445" s="3" t="s">
        <v>355</v>
      </c>
      <c r="C1445" s="4">
        <v>83</v>
      </c>
    </row>
    <row r="1446">
      <c r="A1446" s="5">
        <f>HYPERLINK("https://app-web.statementrec.com/app#appuploadfiles/3a11cfc0-3e09-e923-ef4d-74930b5644fa","The Garden Hotel")</f>
      </c>
      <c r="B1446" s="3" t="s">
        <v>80</v>
      </c>
      <c r="C1446" s="4">
        <v>194</v>
      </c>
    </row>
    <row r="1447">
      <c r="A1447" s="5">
        <f>HYPERLINK("https://app-web.statementrec.com/app#appuploadfiles/3a11d46e-d309-1af5-a5f3-d10903e5fbce","O.Thomas Ltd")</f>
      </c>
      <c r="B1447" s="3" t="s">
        <v>17</v>
      </c>
      <c r="C1447" s="4">
        <v>14</v>
      </c>
    </row>
    <row r="1448">
      <c r="A1448" s="5">
        <f>HYPERLINK("https://app-web.statementrec.com/app#appuploadfiles/3a11da83-88bc-51c0-2d5a-8155a73c4021","--")</f>
      </c>
      <c r="B1448" s="3" t="s">
        <v>56</v>
      </c>
      <c r="C1448" s="4">
        <v>20</v>
      </c>
    </row>
    <row r="1449">
      <c r="A1449" s="5">
        <f>HYPERLINK("https://app-web.statementrec.com/app#appuploadfiles/3a11daff-5aef-7ff7-4788-540d2eb6583b","Paula Berry")</f>
      </c>
      <c r="B1449" s="3" t="s">
        <v>356</v>
      </c>
      <c r="C1449" s="4">
        <v>4</v>
      </c>
    </row>
    <row r="1450">
      <c r="A1450" s="5">
        <f>HYPERLINK("https://app-web.statementrec.com/app#appuploadfiles/3a11df72-5458-c73f-0d44-5fbd514d6184","Beltion Global Investment UK Ltd")</f>
      </c>
      <c r="B1450" s="3" t="s">
        <v>26</v>
      </c>
      <c r="C1450" s="4">
        <v>152</v>
      </c>
    </row>
    <row r="1451">
      <c r="A1451" s="5">
        <f>HYPERLINK("https://app-web.statementrec.com/app#appuploadfiles/3a11e000-fe72-a5f8-e51e-4e1165923106","Tony Edge 23-24")</f>
      </c>
      <c r="B1451" s="3" t="s">
        <v>17</v>
      </c>
      <c r="C1451" s="4">
        <v>8</v>
      </c>
    </row>
    <row r="1452">
      <c r="A1452" s="5">
        <f>HYPERLINK("https://app-web.statementrec.com/app#appuploadfiles/3a11f2ed-752f-be01-0004-883162296bc2","Blink Eyewear")</f>
      </c>
      <c r="B1452" s="3" t="s">
        <v>70</v>
      </c>
      <c r="C1452" s="4">
        <v>50</v>
      </c>
    </row>
    <row r="1453">
      <c r="A1453" s="5">
        <f>HYPERLINK("https://app-web.statementrec.com/app#appuploadfiles/3a11f84e-09ff-21bd-a950-a149108b0df7","A Class Windows Ltd")</f>
      </c>
      <c r="B1453" s="3" t="s">
        <v>17</v>
      </c>
      <c r="C1453" s="4">
        <v>12</v>
      </c>
    </row>
    <row r="1454">
      <c r="A1454" s="5">
        <f>HYPERLINK("https://app-web.statementrec.com/app#appuploadfiles/3a11f8cc-49b3-4104-4489-7b85ef5a1f50","Amir Asghari")</f>
      </c>
      <c r="B1454" s="3" t="s">
        <v>12</v>
      </c>
      <c r="C1454" s="4">
        <v>129</v>
      </c>
    </row>
    <row r="1455">
      <c r="A1455" s="5">
        <f>HYPERLINK("https://app-web.statementrec.com/app#appuploadfiles/3a11fb7e-ce31-29ba-fc91-e6120b1e3d83","Bay Ridge Flowers Corp")</f>
      </c>
      <c r="B1455" s="3" t="s">
        <v>40</v>
      </c>
      <c r="C1455" s="4">
        <v>8</v>
      </c>
    </row>
    <row r="1456">
      <c r="A1456" s="5">
        <f>HYPERLINK("https://app-web.statementrec.com/app#appuploadfiles/3a11fd44-c067-83a5-c263-4c9aaaa12f25","GURJIV SINGH JAITLA")</f>
      </c>
      <c r="B1456" s="3" t="s">
        <v>19</v>
      </c>
      <c r="C1456" s="4">
        <v>32</v>
      </c>
    </row>
    <row r="1457">
      <c r="A1457" s="5">
        <f>HYPERLINK("https://app-web.statementrec.com/app#appuploadfiles/3a11fd65-bb04-6931-10c4-51fab823d352","P H Winterton &amp; Son")</f>
      </c>
      <c r="B1457" s="3" t="s">
        <v>40</v>
      </c>
      <c r="C1457" s="4">
        <v>10</v>
      </c>
    </row>
    <row r="1458">
      <c r="A1458" s="5">
        <f>HYPERLINK("https://app-web.statementrec.com/app#appuploadfiles/3a11fda3-da06-90c6-938f-9181d6fcabdf","DJohnson")</f>
      </c>
      <c r="B1458" s="3" t="s">
        <v>141</v>
      </c>
      <c r="C1458" s="4">
        <v>13</v>
      </c>
    </row>
    <row r="1459">
      <c r="A1459" s="5">
        <f>HYPERLINK("https://app-web.statementrec.com/app#appuploadfiles/3a11fda8-d6d9-d882-9c18-41644b9a89af","Virdee Daycare Ltd")</f>
      </c>
      <c r="B1459" s="3" t="s">
        <v>77</v>
      </c>
      <c r="C1459" s="4">
        <v>2</v>
      </c>
    </row>
    <row r="1460">
      <c r="A1460" s="5">
        <f>HYPERLINK("https://app-web.statementrec.com/app#appuploadfiles/3a11fec6-d125-db20-1589-71328a4e1070","Tesseract Capital Ltd")</f>
      </c>
      <c r="B1460" s="3" t="s">
        <v>26</v>
      </c>
      <c r="C1460" s="4">
        <v>8</v>
      </c>
    </row>
    <row r="1461">
      <c r="A1461" s="5">
        <f>HYPERLINK("https://app-web.statementrec.com/app#appuploadfiles/3a11fec8-33ff-fc98-7c75-ed7736a07bc4","On Par Consulting Inc.")</f>
      </c>
      <c r="B1461" s="3" t="s">
        <v>158</v>
      </c>
      <c r="C1461" s="4">
        <v>8</v>
      </c>
    </row>
    <row r="1462">
      <c r="A1462" s="5">
        <f>HYPERLINK("https://app-web.statementrec.com/app#appuploadfiles/3a11fed0-01dc-da84-a695-4e4fd05198c4","G058-Golden Abacus Bolton Ltd")</f>
      </c>
      <c r="B1462" s="3" t="s">
        <v>143</v>
      </c>
      <c r="C1462" s="4">
        <v>8</v>
      </c>
    </row>
    <row r="1463">
      <c r="A1463" s="5">
        <f>HYPERLINK("https://app-web.statementrec.com/app#appuploadfiles/3a1207b0-46f8-e474-9a08-075331dbf914","Glenfort Timber Engineering")</f>
      </c>
      <c r="B1463" s="3" t="s">
        <v>346</v>
      </c>
      <c r="C1463" s="4">
        <v>59</v>
      </c>
    </row>
    <row r="1464">
      <c r="A1464" s="5">
        <f>HYPERLINK("https://app-web.statementrec.com/app#appuploadfiles/3a121bec-55b2-1e11-4a05-33b70fd632bf","Dr Barnard Inc")</f>
      </c>
      <c r="B1464" s="3" t="s">
        <v>38</v>
      </c>
      <c r="C1464" s="4">
        <v>30</v>
      </c>
    </row>
    <row r="1465">
      <c r="A1465" s="5">
        <f>HYPERLINK("https://app-web.statementrec.com/app#appuploadfiles/3a121d42-5e76-ff58-1d5e-d122b68ce424","Ugly UK Limited")</f>
      </c>
      <c r="B1465" s="3" t="s">
        <v>37</v>
      </c>
      <c r="C1465" s="4">
        <v>43</v>
      </c>
    </row>
    <row r="1466">
      <c r="A1466" s="5">
        <f>HYPERLINK("https://app-web.statementrec.com/app#appuploadfiles/3a12263c-651c-b44e-0481-dfd92b7b2d80","investec 400")</f>
      </c>
      <c r="B1466" s="3" t="s">
        <v>48</v>
      </c>
      <c r="C1466" s="4">
        <v>1</v>
      </c>
    </row>
    <row r="1467">
      <c r="A1467" s="5">
        <f>HYPERLINK("https://app-web.statementrec.com/app#appuploadfiles/3a12263c-cb5b-a2f9-4c26-ec9669680aca","investec 401")</f>
      </c>
      <c r="B1467" s="3" t="s">
        <v>48</v>
      </c>
      <c r="C1467" s="4">
        <v>2</v>
      </c>
    </row>
    <row r="1468">
      <c r="A1468" s="5">
        <f>HYPERLINK("https://app-web.statementrec.com/app#appuploadfiles/3a1226c1-89b1-ba5d-2703-e1104e39ec25","GMK Plastering Services Ltd")</f>
      </c>
      <c r="B1468" s="3" t="s">
        <v>36</v>
      </c>
      <c r="C1468" s="4">
        <v>1</v>
      </c>
    </row>
    <row r="1469">
      <c r="A1469" s="5">
        <f>HYPERLINK("https://app-web.statementrec.com/app#appuploadfiles/3a12274e-b663-b7d8-939d-f9d8defc45ce","STBRE Limited")</f>
      </c>
      <c r="B1469" s="3" t="s">
        <v>53</v>
      </c>
      <c r="C1469" s="4">
        <v>34</v>
      </c>
    </row>
    <row r="1470">
      <c r="A1470" s="5">
        <f>HYPERLINK("https://app-web.statementrec.com/app#appuploadfiles/3a1227ca-8e58-31ef-a9ef-ff341d8196cb","Savage Signage")</f>
      </c>
      <c r="B1470" s="3" t="s">
        <v>26</v>
      </c>
      <c r="C1470" s="4">
        <v>42</v>
      </c>
    </row>
    <row r="1471">
      <c r="A1471" s="5">
        <f>HYPERLINK("https://app-web.statementrec.com/app#appuploadfiles/3a123ba9-258b-c7da-a78e-4c550ef303bb","Oxford Team Leadership Coaching Limited")</f>
      </c>
      <c r="B1471" s="3" t="s">
        <v>17</v>
      </c>
      <c r="C1471" s="4">
        <v>12</v>
      </c>
    </row>
    <row r="1472">
      <c r="A1472" s="5">
        <f>HYPERLINK("https://app-web.statementrec.com/app#appuploadfiles/3a123bd1-2425-483a-af57-1f297178a428","JW &amp; JC Ltd")</f>
      </c>
      <c r="B1472" s="3" t="s">
        <v>18</v>
      </c>
      <c r="C1472" s="4">
        <v>8</v>
      </c>
    </row>
    <row r="1473">
      <c r="A1473" s="5">
        <f>HYPERLINK("https://app-web.statementrec.com/app#appuploadfiles/3a123c7e-96d9-d81d-5372-9cb291edf395","Assop Trading")</f>
      </c>
      <c r="B1473" s="3" t="s">
        <v>10</v>
      </c>
      <c r="C1473" s="4">
        <v>2</v>
      </c>
    </row>
    <row r="1474">
      <c r="A1474" s="5">
        <f>HYPERLINK("https://app-web.statementrec.com/app#appuploadfiles/3a12418b-7300-6fe0-5007-b554104a52bc","E LUSBY PROPERTIES")</f>
      </c>
      <c r="B1474" s="3" t="s">
        <v>13</v>
      </c>
      <c r="C1474" s="4">
        <v>6</v>
      </c>
    </row>
    <row r="1475">
      <c r="A1475" s="5">
        <f>HYPERLINK("https://app-web.statementrec.com/app#appuploadfiles/3a124566-691e-5408-457e-0849ead1dcee","Safety Net Fire Solutions LTd")</f>
      </c>
      <c r="B1475" s="3" t="s">
        <v>53</v>
      </c>
      <c r="C1475" s="4">
        <v>2</v>
      </c>
    </row>
    <row r="1476">
      <c r="A1476" s="5">
        <f>HYPERLINK("https://app-web.statementrec.com/app#appuploadfiles/3a124af3-16d9-41d8-1388-5a2b8251a78d","Kentucky Air Ltd")</f>
      </c>
      <c r="B1476" s="3" t="s">
        <v>17</v>
      </c>
      <c r="C1476" s="4">
        <v>3</v>
      </c>
    </row>
    <row r="1477">
      <c r="A1477" s="5">
        <f>HYPERLINK("https://app-web.statementrec.com/app#appuploadfiles/3a124ba7-0e7d-d698-9ee0-5c4d17c9d776","FL Hoteles")</f>
      </c>
      <c r="B1477" s="3" t="s">
        <v>357</v>
      </c>
      <c r="C1477" s="4">
        <v>10</v>
      </c>
    </row>
    <row r="1478">
      <c r="A1478" s="5">
        <f>HYPERLINK("https://app-web.statementrec.com/app#appuploadfiles/3a124fef-67cc-6985-5019-2f26afc6b2b9","RU ACCOUNTING AND BUSINESS SERVICES LTD")</f>
      </c>
      <c r="B1478" s="3" t="s">
        <v>17</v>
      </c>
      <c r="C1478" s="4">
        <v>13</v>
      </c>
    </row>
    <row r="1479">
      <c r="A1479" s="5">
        <f>HYPERLINK("https://app-web.statementrec.com/app#appuploadfiles/3a126097-e39e-42d5-4260-d3614e30c733","Affordable Paving (2012) Ltd")</f>
      </c>
      <c r="B1479" s="3" t="s">
        <v>358</v>
      </c>
      <c r="C1479" s="4">
        <v>13</v>
      </c>
    </row>
    <row r="1480">
      <c r="A1480" s="5">
        <f>HYPERLINK("https://app-web.statementrec.com/app#appuploadfiles/3a12656c-5595-b2db-a2f4-800d28ef1702","Goska")</f>
      </c>
      <c r="B1480" s="3" t="s">
        <v>359</v>
      </c>
      <c r="C1480" s="4">
        <v>21</v>
      </c>
    </row>
    <row r="1481">
      <c r="A1481" s="5">
        <f>HYPERLINK("https://app-web.statementrec.com/app#appuploadfiles/3a126657-52d2-7c8a-cf9e-9f117cf75a7e","Trademark Masons Ltd")</f>
      </c>
      <c r="B1481" s="3" t="s">
        <v>170</v>
      </c>
      <c r="C1481" s="4">
        <v>15</v>
      </c>
    </row>
    <row r="1482">
      <c r="A1482" s="5">
        <f>HYPERLINK("https://app-web.statementrec.com/app#appuploadfiles/3a1269ef-fead-3a70-bfee-f55bc8466fdc","JRN Financial Ltd")</f>
      </c>
      <c r="B1482" s="3" t="s">
        <v>17</v>
      </c>
      <c r="C1482" s="4">
        <v>10</v>
      </c>
    </row>
    <row r="1483">
      <c r="A1483" s="5">
        <f>HYPERLINK("https://app-web.statementrec.com/app#appuploadfiles/3a126a0d-a111-82ea-fed1-d71f882c8e80","GRC Solar Ltd")</f>
      </c>
      <c r="B1483" s="3" t="s">
        <v>15</v>
      </c>
      <c r="C1483" s="4">
        <v>6</v>
      </c>
    </row>
    <row r="1484">
      <c r="A1484" s="5">
        <f>HYPERLINK("https://app-web.statementrec.com/app#appuploadfiles/3a126a72-fc46-0b40-f185-73450f903b8e","Camalltaidh Ltd")</f>
      </c>
      <c r="B1484" s="3" t="s">
        <v>17</v>
      </c>
      <c r="C1484" s="4">
        <v>4</v>
      </c>
    </row>
    <row r="1485">
      <c r="A1485" s="5">
        <f>HYPERLINK("https://app-web.statementrec.com/app#appuploadfiles/3a126d96-4589-2e86-f165-2f5a3f6eb6f6","JK2 Consulting Ltd")</f>
      </c>
      <c r="B1485" s="3" t="s">
        <v>168</v>
      </c>
      <c r="C1485" s="4">
        <v>14</v>
      </c>
    </row>
    <row r="1486">
      <c r="A1486" s="5">
        <f>HYPERLINK("https://app-web.statementrec.com/app#appuploadfiles/3a126e8b-1b50-2dcd-9760-345e089036ec","CDM VISA (5141 &amp; 5158 combined)")</f>
      </c>
      <c r="B1486" s="3" t="s">
        <v>10</v>
      </c>
      <c r="C1486" s="4">
        <v>1</v>
      </c>
    </row>
    <row r="1487">
      <c r="A1487" s="5">
        <f>HYPERLINK("https://app-web.statementrec.com/app#appuploadfiles/3a126f55-f214-ecb2-1b99-766fea9c69e4","2023")</f>
      </c>
      <c r="B1487" s="3" t="s">
        <v>10</v>
      </c>
      <c r="C1487" s="4">
        <v>13</v>
      </c>
    </row>
    <row r="1488">
      <c r="A1488" s="5">
        <f>HYPERLINK("https://app-web.statementrec.com/app#appuploadfiles/3a127001-5d6d-5fc8-823e-62973f74f9ff","BH Trucking LLC")</f>
      </c>
      <c r="B1488" s="3" t="s">
        <v>40</v>
      </c>
      <c r="C1488" s="4">
        <v>28</v>
      </c>
    </row>
    <row r="1489">
      <c r="A1489" s="5">
        <f>HYPERLINK("https://app-web.statementrec.com/app#appuploadfiles/3a1273c9-384a-859c-9777-a14905097bd9","Your Choice IM")</f>
      </c>
      <c r="B1489" s="3" t="s">
        <v>80</v>
      </c>
      <c r="C1489" s="4">
        <v>2</v>
      </c>
    </row>
    <row r="1490">
      <c r="A1490" s="5">
        <f>HYPERLINK("https://app-web.statementrec.com/app#appuploadfiles/3a12744b-b555-981a-e923-9ea5ee77f164","TORSION PROJECTS LIMITED")</f>
      </c>
      <c r="B1490" s="3" t="s">
        <v>17</v>
      </c>
      <c r="C1490" s="4">
        <v>42</v>
      </c>
    </row>
    <row r="1491">
      <c r="A1491" s="5">
        <f>HYPERLINK("https://app-web.statementrec.com/app#appuploadfiles/3a1274a1-0e94-c8f4-87d6-eb443726e956","Compocity Ltd")</f>
      </c>
      <c r="B1491" s="3" t="s">
        <v>11</v>
      </c>
      <c r="C1491" s="4">
        <v>5</v>
      </c>
    </row>
    <row r="1492">
      <c r="A1492" s="5">
        <f>HYPERLINK("https://app-web.statementrec.com/app#appuploadfiles/3a127512-045a-3a8d-9de4-e9d2ddaef5f8","Colour Properties Ltd")</f>
      </c>
      <c r="B1492" s="3" t="s">
        <v>17</v>
      </c>
      <c r="C1492" s="4">
        <v>19</v>
      </c>
    </row>
    <row r="1493">
      <c r="A1493" s="5">
        <f>HYPERLINK("https://app-web.statementrec.com/app#appuploadfiles/3a127703-ce30-c8d9-c558-91bcf895e69b","Jim Grover Photography Ltd")</f>
      </c>
      <c r="B1493" s="3" t="s">
        <v>15</v>
      </c>
      <c r="C1493" s="4">
        <v>12</v>
      </c>
    </row>
    <row r="1494">
      <c r="A1494" s="5">
        <f>HYPERLINK("https://app-web.statementrec.com/app#appuploadfiles/3a1278ca-9718-7ecc-d7ca-af6b7659358c","The Flourishing Bean")</f>
      </c>
      <c r="B1494" s="3" t="s">
        <v>264</v>
      </c>
      <c r="C1494" s="4">
        <v>1</v>
      </c>
    </row>
    <row r="1495">
      <c r="A1495" s="5">
        <f>HYPERLINK("https://app-web.statementrec.com/app#appuploadfiles/3a128373-c90c-92f9-fb2d-6419c9211e55","Chalk Hill Studios Limited")</f>
      </c>
      <c r="B1495" s="3" t="s">
        <v>53</v>
      </c>
      <c r="C1495" s="4">
        <v>16</v>
      </c>
    </row>
    <row r="1496">
      <c r="A1496" s="5">
        <f>HYPERLINK("https://app-web.statementrec.com/app#appuploadfiles/3a12856a-4978-5647-3cd9-4672ce967ea0","Wagner Cattle Company Ltd - C3758 - Ibbotson")</f>
      </c>
      <c r="B1496" s="3" t="s">
        <v>294</v>
      </c>
      <c r="C1496" s="4">
        <v>52</v>
      </c>
    </row>
    <row r="1497">
      <c r="A1497" s="5">
        <f>HYPERLINK("https://app-web.statementrec.com/app#appuploadfiles/3a1287c4-8b71-d001-7902-47d5d2967ba2","Prime People")</f>
      </c>
      <c r="B1497" s="3" t="s">
        <v>153</v>
      </c>
      <c r="C1497" s="4">
        <v>4</v>
      </c>
    </row>
    <row r="1498">
      <c r="A1498" s="5">
        <f>HYPERLINK("https://app-web.statementrec.com/app#appuploadfiles/3a1288d9-cb80-96e0-d74d-88096bb78fa8","CABINET GALLERY LTD")</f>
      </c>
      <c r="B1498" s="3" t="s">
        <v>18</v>
      </c>
      <c r="C1498" s="4">
        <v>121</v>
      </c>
    </row>
    <row r="1499">
      <c r="A1499" s="5">
        <f>HYPERLINK("https://app-web.statementrec.com/app#appuploadfiles/3a128975-e1e2-670f-dda7-5b7afbd997c9","Strategic Numbers Limited")</f>
      </c>
      <c r="B1499" s="3" t="s">
        <v>43</v>
      </c>
      <c r="C1499" s="4">
        <v>15</v>
      </c>
    </row>
    <row r="1500">
      <c r="A1500" s="5">
        <f>HYPERLINK("https://app-web.statementrec.com/app#appuploadfiles/3a1289d6-60e9-d483-22ff-d54126d71101","Number 1 (Automotive Consultancy) Limited")</f>
      </c>
      <c r="B1500" s="3" t="s">
        <v>12</v>
      </c>
      <c r="C1500" s="4">
        <v>8</v>
      </c>
    </row>
    <row r="1501">
      <c r="A1501" s="5">
        <f>HYPERLINK("https://app-web.statementrec.com/app#appuploadfiles/3a128dfb-8970-a20a-b39d-fb0d32498f2c","L&amp;M Electrical Solutions Ltd")</f>
      </c>
      <c r="B1501" s="3" t="s">
        <v>360</v>
      </c>
      <c r="C1501" s="4">
        <v>10</v>
      </c>
    </row>
    <row r="1502">
      <c r="A1502" s="5">
        <f>HYPERLINK("https://app-web.statementrec.com/app#appuploadfiles/3a1292de-56ad-5c91-0387-1e67cce3b8c3","Michael Behan")</f>
      </c>
      <c r="B1502" s="3" t="s">
        <v>3</v>
      </c>
      <c r="C1502" s="4">
        <v>2</v>
      </c>
    </row>
    <row r="1503">
      <c r="A1503" s="5">
        <f>HYPERLINK("https://app-web.statementrec.com/app#appuploadfiles/3a129799-2211-8dee-aabe-874e7ba6189e","Knight District Heating Ltd")</f>
      </c>
      <c r="B1503" s="3" t="s">
        <v>86</v>
      </c>
      <c r="C1503" s="4">
        <v>20</v>
      </c>
    </row>
    <row r="1504">
      <c r="A1504" s="5">
        <f>HYPERLINK("https://app-web.statementrec.com/app#appuploadfiles/3a129908-2afc-09b5-1130-a75537c8b3c1","Denford Pub Co Ltd")</f>
      </c>
      <c r="B1504" s="3" t="s">
        <v>70</v>
      </c>
      <c r="C1504" s="4">
        <v>14</v>
      </c>
    </row>
    <row r="1505">
      <c r="A1505" s="5">
        <f>HYPERLINK("https://app-web.statementrec.com/app#appuploadfiles/3a12a75b-6136-72dc-06e9-9c80432068d4","Vanaja Ltd")</f>
      </c>
      <c r="B1505" s="3" t="s">
        <v>25</v>
      </c>
      <c r="C1505" s="4">
        <v>24</v>
      </c>
    </row>
    <row r="1506">
      <c r="A1506" s="5">
        <f>HYPERLINK("https://app-web.statementrec.com/app#appuploadfiles/3a12a771-ff46-babd-3744-bd72b4a8e469","148191 - ECLCH Property Limited")</f>
      </c>
      <c r="B1506" s="3" t="s">
        <v>12</v>
      </c>
      <c r="C1506" s="4">
        <v>8</v>
      </c>
    </row>
    <row r="1507">
      <c r="A1507" s="5">
        <f>HYPERLINK("https://app-web.statementrec.com/app#appuploadfiles/3a12a84b-93ee-0a6b-54be-f677ab517077","AG Capital")</f>
      </c>
      <c r="B1507" s="3" t="s">
        <v>3</v>
      </c>
      <c r="C1507" s="4">
        <v>20</v>
      </c>
    </row>
    <row r="1508">
      <c r="A1508" s="5">
        <f>HYPERLINK("https://app-web.statementrec.com/app#appuploadfiles/3a12a860-78c2-84c4-d846-d26faf50a6e6","D J Electrical")</f>
      </c>
      <c r="B1508" s="3" t="s">
        <v>12</v>
      </c>
      <c r="C1508" s="4">
        <v>2</v>
      </c>
    </row>
    <row r="1509">
      <c r="A1509" s="5">
        <f>HYPERLINK("https://app-web.statementrec.com/app#appuploadfiles/3a12a8fd-b057-6e82-75db-085043047a2f","Ester Orjuela Cardenas")</f>
      </c>
      <c r="B1509" s="3" t="s">
        <v>15</v>
      </c>
      <c r="C1509" s="4">
        <v>28</v>
      </c>
    </row>
    <row r="1510">
      <c r="A1510" s="5">
        <f>HYPERLINK("https://app-web.statementrec.com/app#appuploadfiles/3a12ac85-b5f6-8e99-baf4-081991263e29","Rachel Harris Soft Furnishings")</f>
      </c>
      <c r="B1510" s="3" t="s">
        <v>16</v>
      </c>
      <c r="C1510" s="4">
        <v>30</v>
      </c>
    </row>
    <row r="1511">
      <c r="A1511" s="5">
        <f>HYPERLINK("https://app-web.statementrec.com/app#appuploadfiles/3a12acb6-b766-3ab6-f94a-54fa2a15f37e","M Ryan Consulting Ltd")</f>
      </c>
      <c r="B1511" s="3" t="s">
        <v>84</v>
      </c>
      <c r="C1511" s="4">
        <v>3</v>
      </c>
    </row>
    <row r="1512">
      <c r="A1512" s="5">
        <f>HYPERLINK("https://app-web.statementrec.com/app#appuploadfiles/3a12ae0e-ffe6-7380-809a-f1fcf7d9f5d9","120/121 Lower Baggot Street")</f>
      </c>
      <c r="B1512" s="3" t="s">
        <v>15</v>
      </c>
      <c r="C1512" s="4">
        <v>2</v>
      </c>
    </row>
    <row r="1513">
      <c r="A1513" s="5">
        <f>HYPERLINK("https://app-web.statementrec.com/app#appuploadfiles/3a12b14b-895e-fef8-a60a-b69ee72208d6","OTB Sales and Manufacturing Ltd")</f>
      </c>
      <c r="B1513" s="3" t="s">
        <v>15</v>
      </c>
      <c r="C1513" s="4">
        <v>41</v>
      </c>
    </row>
    <row r="1514">
      <c r="A1514" s="5">
        <f>HYPERLINK("https://app-web.statementrec.com/app#appuploadfiles/3a12b1c0-355b-8fc2-510e-48fb67133570","Andrew Woodhouse TA Aqua Plumbing and Heating")</f>
      </c>
      <c r="B1514" s="3" t="s">
        <v>17</v>
      </c>
      <c r="C1514" s="4">
        <v>12</v>
      </c>
    </row>
    <row r="1515">
      <c r="A1515" s="5">
        <f>HYPERLINK("https://app-web.statementrec.com/app#appuploadfiles/3a12b257-8fec-322d-c1cb-424f76f56f50","AD Building Ventures Ltd")</f>
      </c>
      <c r="B1515" s="3" t="s">
        <v>3</v>
      </c>
      <c r="C1515" s="4">
        <v>11</v>
      </c>
    </row>
    <row r="1516">
      <c r="A1516" s="5">
        <f>HYPERLINK("https://app-web.statementrec.com/app#appuploadfiles/3a12b274-17cb-f61f-c07f-05c6ef9c08d9","Yamanu Tech")</f>
      </c>
      <c r="B1516" s="3" t="s">
        <v>43</v>
      </c>
      <c r="C1516" s="4">
        <v>24</v>
      </c>
    </row>
    <row r="1517">
      <c r="A1517" s="5">
        <f>HYPERLINK("https://app-web.statementrec.com/app#appuploadfiles/3a12b357-70e0-6b49-59f0-1ce482bb9f9a","LAAR Tobacco Vapor")</f>
      </c>
      <c r="B1517" s="3" t="s">
        <v>40</v>
      </c>
      <c r="C1517" s="4">
        <v>5</v>
      </c>
    </row>
    <row r="1518">
      <c r="A1518" s="5">
        <f>HYPERLINK("https://app-web.statementrec.com/app#appuploadfiles/3a12b683-2320-f296-93ea-917f62c9f568","Sarah Hardman")</f>
      </c>
      <c r="B1518" s="3" t="s">
        <v>18</v>
      </c>
      <c r="C1518" s="4">
        <v>82</v>
      </c>
    </row>
    <row r="1519">
      <c r="A1519" s="5">
        <f>HYPERLINK("https://app-web.statementrec.com/app#appuploadfiles/3a12b82d-11c2-aa61-4b33-d6a385c5f6ee","Langley")</f>
      </c>
      <c r="B1519" s="3" t="s">
        <v>361</v>
      </c>
      <c r="C1519" s="4">
        <v>72</v>
      </c>
    </row>
    <row r="1520">
      <c r="A1520" s="5">
        <f>HYPERLINK("https://app-web.statementrec.com/app#appuploadfiles/3a12b8c1-bee1-0b0d-8797-59e64d757f82","Drei Loewen Ltd.")</f>
      </c>
      <c r="B1520" s="3" t="s">
        <v>43</v>
      </c>
      <c r="C1520" s="4">
        <v>21</v>
      </c>
    </row>
    <row r="1521">
      <c r="A1521" s="5">
        <f>HYPERLINK("https://app-web.statementrec.com/app#appuploadfiles/3a12bc31-5503-c4f9-f739-7c2edc577e5a","TER LLP")</f>
      </c>
      <c r="B1521" s="3" t="s">
        <v>26</v>
      </c>
      <c r="C1521" s="4">
        <v>6</v>
      </c>
    </row>
    <row r="1522">
      <c r="A1522" s="5">
        <f>HYPERLINK("https://app-web.statementrec.com/app#appuploadfiles/3a12bc95-1550-baa9-64f6-f340140202e7","01.02.24 - 30.04.24")</f>
      </c>
      <c r="B1522" s="3" t="s">
        <v>362</v>
      </c>
      <c r="C1522" s="4">
        <v>16</v>
      </c>
    </row>
    <row r="1523">
      <c r="A1523" s="5">
        <f>HYPERLINK("https://app-web.statementrec.com/app#appuploadfiles/3a12bc98-632d-7736-f727-17e1404c310a","T031-Tay Solution Ltd")</f>
      </c>
      <c r="B1523" s="3" t="s">
        <v>17</v>
      </c>
      <c r="C1523" s="4">
        <v>2</v>
      </c>
    </row>
    <row r="1524">
      <c r="A1524" s="5">
        <f>HYPERLINK("https://app-web.statementrec.com/app#appuploadfiles/3a12bd79-8020-fec6-f3a3-d13a50db62a0","Gobble PR")</f>
      </c>
      <c r="B1524" s="3" t="s">
        <v>16</v>
      </c>
      <c r="C1524" s="4">
        <v>6</v>
      </c>
    </row>
    <row r="1525">
      <c r="A1525" s="5">
        <f>HYPERLINK("https://app-web.statementrec.com/app#appuploadfiles/3a12c716-fe42-1fca-cf6b-89bc6fad30cd","SMMIP Ltd")</f>
      </c>
      <c r="B1525" s="3" t="s">
        <v>168</v>
      </c>
      <c r="C1525" s="4">
        <v>30</v>
      </c>
    </row>
    <row r="1526">
      <c r="A1526" s="5">
        <f>HYPERLINK("https://app-web.statementrec.com/app#appuploadfiles/3a12d057-d44a-2554-4176-25dc2da88872","Carbon Zero Solutions Ltd")</f>
      </c>
      <c r="B1526" s="3" t="s">
        <v>84</v>
      </c>
      <c r="C1526" s="4">
        <v>9</v>
      </c>
    </row>
    <row r="1527">
      <c r="A1527" s="5">
        <f>HYPERLINK("https://app-web.statementrec.com/app#appuploadfiles/3a12d091-5c85-6b33-0871-6b998c1c50bc","TALENT BOUTIQUE SOLUTIONS LIMITED")</f>
      </c>
      <c r="B1527" s="3" t="s">
        <v>194</v>
      </c>
      <c r="C1527" s="4">
        <v>2</v>
      </c>
    </row>
    <row r="1528">
      <c r="A1528" s="5">
        <f>HYPERLINK("https://app-web.statementrec.com/app#appuploadfiles/3a12d580-84fb-b3da-bc1c-e31f1a1fbf4f","Eleva Services (UK) Limited")</f>
      </c>
      <c r="B1528" s="3" t="s">
        <v>81</v>
      </c>
      <c r="C1528" s="4">
        <v>3</v>
      </c>
    </row>
    <row r="1529">
      <c r="A1529" s="5">
        <f>HYPERLINK("https://app-web.statementrec.com/app#appuploadfiles/3a12d6c6-c0b6-134d-8631-5c4e0a8f6a03","2023 BOI CC")</f>
      </c>
      <c r="B1529" s="3" t="s">
        <v>188</v>
      </c>
      <c r="C1529" s="4">
        <v>2</v>
      </c>
    </row>
    <row r="1530">
      <c r="A1530" s="5">
        <f>HYPERLINK("https://app-web.statementrec.com/app#appuploadfiles/3a12d6cb-4e6c-9cad-d2fa-02356e11f3a0","Chorlton Furnishing")</f>
      </c>
      <c r="B1530" s="3" t="s">
        <v>13</v>
      </c>
      <c r="C1530" s="4">
        <v>4</v>
      </c>
    </row>
    <row r="1531">
      <c r="A1531" s="5">
        <f>HYPERLINK("https://app-web.statementrec.com/app#appuploadfiles/3a12d716-8481-7ff3-196c-181593f77c7d","2029 - Light Up Live(NI) Ltd")</f>
      </c>
      <c r="B1531" s="3" t="s">
        <v>21</v>
      </c>
      <c r="C1531" s="4">
        <v>7</v>
      </c>
    </row>
    <row r="1532">
      <c r="A1532" s="5">
        <f>HYPERLINK("https://app-web.statementrec.com/app#appuploadfiles/3a12db0e-5dcc-c041-3f17-d08569489e09","Ancient Greek Furniture")</f>
      </c>
      <c r="B1532" s="3" t="s">
        <v>363</v>
      </c>
      <c r="C1532" s="4">
        <v>1</v>
      </c>
    </row>
    <row r="1533">
      <c r="A1533" s="5">
        <f>HYPERLINK("https://app-web.statementrec.com/app#appuploadfiles/3a12dd33-7ce4-0897-df88-3cb78570bd4b","LMKCA")</f>
      </c>
      <c r="B1533" s="3" t="s">
        <v>364</v>
      </c>
      <c r="C1533" s="4">
        <v>91</v>
      </c>
    </row>
    <row r="1534">
      <c r="A1534" s="5">
        <f>HYPERLINK("https://app-web.statementrec.com/app#appuploadfiles/3a12df4c-ee78-d2bb-8dcf-509db7102505","IPH Conradie")</f>
      </c>
      <c r="B1534" s="3" t="s">
        <v>80</v>
      </c>
      <c r="C1534" s="4">
        <v>2</v>
      </c>
    </row>
    <row r="1535">
      <c r="A1535" s="5">
        <f>HYPERLINK("https://app-web.statementrec.com/app#appuploadfiles/3a12e032-be90-b467-8ba9-72bd96e1a802","JH Taxi Services Limited")</f>
      </c>
      <c r="B1535" s="3" t="s">
        <v>46</v>
      </c>
      <c r="C1535" s="4">
        <v>8</v>
      </c>
    </row>
    <row r="1536">
      <c r="A1536" s="5">
        <f>HYPERLINK("https://app-web.statementrec.com/app#appuploadfiles/3a12eb98-214b-3c72-7be8-bc826ba0cadf","Ryan James Executive Search Ltd")</f>
      </c>
      <c r="B1536" s="3" t="s">
        <v>365</v>
      </c>
      <c r="C1536" s="4">
        <v>1</v>
      </c>
    </row>
    <row r="1537">
      <c r="A1537" s="5">
        <f>HYPERLINK("https://app-web.statementrec.com/app#appuploadfiles/3a12eeb5-3e52-40d0-a52f-0b8055a4e7d8","Global Trading Logistics Ltd")</f>
      </c>
      <c r="B1537" s="3" t="s">
        <v>43</v>
      </c>
      <c r="C1537" s="4">
        <v>7</v>
      </c>
    </row>
    <row r="1538">
      <c r="A1538" s="5">
        <f>HYPERLINK("https://app-web.statementrec.com/app#appuploadfiles/3a12ef5e-8189-183a-b84e-0647bada5975","Wesley Cooper Ltd")</f>
      </c>
      <c r="B1538" s="3" t="s">
        <v>222</v>
      </c>
      <c r="C1538" s="4">
        <v>6</v>
      </c>
    </row>
    <row r="1539">
      <c r="A1539" s="5">
        <f>HYPERLINK("https://app-web.statementrec.com/app#appuploadfiles/3a12eff1-de97-24db-da23-27c92fb886c2","Tinnisoothe Limited")</f>
      </c>
      <c r="B1539" s="3" t="s">
        <v>120</v>
      </c>
      <c r="C1539" s="4">
        <v>2</v>
      </c>
    </row>
    <row r="1540">
      <c r="A1540" s="5">
        <f>HYPERLINK("https://app-web.statementrec.com/app#appuploadfiles/3a12f002-080a-53f6-8017-4224c3dc4100","KPH Renewables")</f>
      </c>
      <c r="B1540" s="3" t="s">
        <v>3</v>
      </c>
      <c r="C1540" s="4">
        <v>7</v>
      </c>
    </row>
    <row r="1541">
      <c r="A1541" s="5">
        <f>HYPERLINK("https://app-web.statementrec.com/app#appuploadfiles/3a12f460-4b53-8fc0-74e1-65aa8b47a4e1","Escape Beauty")</f>
      </c>
      <c r="B1541" s="3" t="s">
        <v>10</v>
      </c>
      <c r="C1541" s="4">
        <v>5</v>
      </c>
    </row>
    <row r="1542">
      <c r="A1542" s="5">
        <f>HYPERLINK("https://app-web.statementrec.com/app#appuploadfiles/3a12f52b-df98-f350-e408-78bbd947c5a4","Adam Collard")</f>
      </c>
      <c r="B1542" s="3" t="s">
        <v>19</v>
      </c>
      <c r="C1542" s="4">
        <v>42</v>
      </c>
    </row>
    <row r="1543">
      <c r="A1543" s="5">
        <f>HYPERLINK("https://app-web.statementrec.com/app#appuploadfiles/3a12f54f-eae4-ccb5-f942-441da2c29c31","Andrew Buchan Ltd")</f>
      </c>
      <c r="B1543" s="3" t="s">
        <v>33</v>
      </c>
      <c r="C1543" s="4">
        <v>2</v>
      </c>
    </row>
    <row r="1544">
      <c r="A1544" s="5">
        <f>HYPERLINK("https://app-web.statementrec.com/app#appuploadfiles/3a12f567-09cb-2214-6c4e-b2f7412a3dcd","The Ridge Coffee Shop Ltd")</f>
      </c>
      <c r="B1544" s="3" t="s">
        <v>17</v>
      </c>
      <c r="C1544" s="4">
        <v>12</v>
      </c>
    </row>
    <row r="1545">
      <c r="A1545" s="5">
        <f>HYPERLINK("https://app-web.statementrec.com/app#appuploadfiles/3a12fa2d-9487-572d-37c3-ed6f30569476","The Squire and Aussie Limited")</f>
      </c>
      <c r="B1545" s="3" t="s">
        <v>56</v>
      </c>
      <c r="C1545" s="4">
        <v>6</v>
      </c>
    </row>
    <row r="1546">
      <c r="A1546" s="5">
        <f>HYPERLINK("https://app-web.statementrec.com/app#appuploadfiles/3a12faff-dcab-2fb9-a7ed-f2a85cdc9573","A Ponder ltd")</f>
      </c>
      <c r="B1546" s="3" t="s">
        <v>366</v>
      </c>
      <c r="C1546" s="4">
        <v>38</v>
      </c>
    </row>
    <row r="1547">
      <c r="A1547" s="5">
        <f>HYPERLINK("https://app-web.statementrec.com/app#appuploadfiles/3a12ff4f-fb97-eb62-f2e8-663ee4951944","Oliver Beaumont")</f>
      </c>
      <c r="B1547" s="3" t="s">
        <v>367</v>
      </c>
      <c r="C1547" s="4">
        <v>38</v>
      </c>
    </row>
    <row r="1548">
      <c r="A1548" s="5">
        <f>HYPERLINK("https://app-web.statementrec.com/app#appuploadfiles/3a1301f3-22f8-3a40-9c36-dbb241dd0dec","Kaslo Husky")</f>
      </c>
      <c r="B1548" s="3" t="s">
        <v>56</v>
      </c>
      <c r="C1548" s="4">
        <v>30</v>
      </c>
    </row>
    <row r="1549">
      <c r="A1549" s="5">
        <f>HYPERLINK("https://app-web.statementrec.com/app#appuploadfiles/3a130440-a897-e6f2-db20-54f77008306f","5010 Mr M J Wonnacott")</f>
      </c>
      <c r="B1549" s="3" t="s">
        <v>12</v>
      </c>
      <c r="C1549" s="4">
        <v>2</v>
      </c>
    </row>
    <row r="1550">
      <c r="A1550" s="5">
        <f>HYPERLINK("https://app-web.statementrec.com/app#appuploadfiles/3a1305ba-aac9-ed4a-6101-33028bbf6ba8","Bdale HVAC")</f>
      </c>
      <c r="B1550" s="3" t="s">
        <v>56</v>
      </c>
      <c r="C1550" s="4">
        <v>23</v>
      </c>
    </row>
    <row r="1551">
      <c r="A1551" s="5">
        <f>HYPERLINK("https://app-web.statementrec.com/app#appuploadfiles/3a131372-ca75-fcab-a2c2-8df9f1e78d48","Clapton Ltd")</f>
      </c>
      <c r="B1551" s="3" t="s">
        <v>40</v>
      </c>
      <c r="C1551" s="4">
        <v>4</v>
      </c>
    </row>
    <row r="1552">
      <c r="A1552" s="5">
        <f>HYPERLINK("https://app-web.statementrec.com/app#appuploadfiles/3a131397-0215-5676-2d79-44b63f314183","T-Kartor")</f>
      </c>
      <c r="B1552" s="3" t="s">
        <v>47</v>
      </c>
      <c r="C1552" s="4">
        <v>1</v>
      </c>
    </row>
    <row r="1553">
      <c r="A1553" s="5">
        <f>HYPERLINK("https://app-web.statementrec.com/app#appuploadfiles/3a1313b9-5094-c0e2-6adc-f52845ad0deb","Redmond Surface Solutions Ltd")</f>
      </c>
      <c r="B1553" s="3" t="s">
        <v>10</v>
      </c>
      <c r="C1553" s="4">
        <v>1</v>
      </c>
    </row>
    <row r="1554">
      <c r="A1554" s="5">
        <f>HYPERLINK("https://app-web.statementrec.com/app#appuploadfiles/3a131441-ff4f-fad9-c044-d211d62c97b4","Taurus Global F A  Limited")</f>
      </c>
      <c r="B1554" s="3" t="s">
        <v>10</v>
      </c>
      <c r="C1554" s="4">
        <v>2</v>
      </c>
    </row>
    <row r="1555">
      <c r="A1555" s="5">
        <f>HYPERLINK("https://app-web.statementrec.com/app#appuploadfiles/3a131955-71e6-17fe-c917-c96c991f62f7","ESGCT Main Account")</f>
      </c>
      <c r="B1555" s="3" t="s">
        <v>10</v>
      </c>
      <c r="C1555" s="4">
        <v>2</v>
      </c>
    </row>
    <row r="1556">
      <c r="A1556" s="5">
        <f>HYPERLINK("https://app-web.statementrec.com/app#appuploadfiles/3a131990-1d93-2557-ad5c-0835bf5b617e","MNH Consulting")</f>
      </c>
      <c r="B1556" s="3" t="s">
        <v>48</v>
      </c>
      <c r="C1556" s="4">
        <v>10</v>
      </c>
    </row>
    <row r="1557">
      <c r="A1557" s="5">
        <f>HYPERLINK("https://app-web.statementrec.com/app#appuploadfiles/3a131dc6-5e5f-a8af-267e-870439b78573","Kiko Constructions Ltd")</f>
      </c>
      <c r="B1557" s="3" t="s">
        <v>368</v>
      </c>
      <c r="C1557" s="4">
        <v>29</v>
      </c>
    </row>
    <row r="1558">
      <c r="A1558" s="5">
        <f>HYPERLINK("https://app-web.statementrec.com/app#appuploadfiles/3a131e2e-61fb-9e7b-91ec-cffc5a42d1fd","F047 Ciaran Fleming")</f>
      </c>
      <c r="B1558" s="3" t="s">
        <v>10</v>
      </c>
      <c r="C1558" s="4">
        <v>7</v>
      </c>
    </row>
    <row r="1559">
      <c r="A1559" s="5">
        <f>HYPERLINK("https://app-web.statementrec.com/app#appuploadfiles/3a1322bb-1a17-bcfc-ee70-4cccd5d2bb53","Reproductive Health")</f>
      </c>
      <c r="B1559" s="3" t="s">
        <v>84</v>
      </c>
      <c r="C1559" s="4">
        <v>16</v>
      </c>
    </row>
    <row r="1560">
      <c r="A1560" s="5">
        <f>HYPERLINK("https://app-web.statementrec.com/app#appuploadfiles/3a1322bd-8ab3-b9e8-634e-058419020461","G63 Holding")</f>
      </c>
      <c r="B1560" s="3" t="s">
        <v>43</v>
      </c>
      <c r="C1560" s="4">
        <v>2</v>
      </c>
    </row>
    <row r="1561">
      <c r="A1561" s="5">
        <f>HYPERLINK("https://app-web.statementrec.com/app#appuploadfiles/3a13237d-4eb4-871a-5bf2-dd46cc648f3a","Milton Abbas Pub Co")</f>
      </c>
      <c r="B1561" s="3" t="s">
        <v>17</v>
      </c>
      <c r="C1561" s="4">
        <v>9</v>
      </c>
    </row>
    <row r="1562">
      <c r="A1562" s="5">
        <f>HYPERLINK("https://app-web.statementrec.com/app#appuploadfiles/3a1327e6-7647-fcbc-6e94-c97e4d00ae8e","McMillan Antiques")</f>
      </c>
      <c r="B1562" s="3" t="s">
        <v>12</v>
      </c>
      <c r="C1562" s="4">
        <v>60</v>
      </c>
    </row>
    <row r="1563">
      <c r="A1563" s="5">
        <f>HYPERLINK("https://app-web.statementrec.com/app#appuploadfiles/3a13281e-370b-6061-68e1-2b99c7ddf8bc","SMESTO")</f>
      </c>
      <c r="B1563" s="3" t="s">
        <v>84</v>
      </c>
      <c r="C1563" s="4">
        <v>13</v>
      </c>
    </row>
    <row r="1564">
      <c r="A1564" s="5">
        <f>HYPERLINK("https://app-web.statementrec.com/app#appuploadfiles/3a1332a0-c3fa-41b5-3f38-6048ec6f87d0","COJO HK CO., LIMITED")</f>
      </c>
      <c r="B1564" s="3" t="s">
        <v>369</v>
      </c>
      <c r="C1564" s="4">
        <v>65</v>
      </c>
    </row>
    <row r="1565">
      <c r="A1565" s="5">
        <f>HYPERLINK("https://app-web.statementrec.com/app#appuploadfiles/3a13358e-d26b-ad20-76ca-41118056b1cf","Xtreme FX")</f>
      </c>
      <c r="B1565" s="3" t="s">
        <v>201</v>
      </c>
      <c r="C1565" s="4">
        <v>5</v>
      </c>
    </row>
    <row r="1566">
      <c r="A1566" s="5">
        <f>HYPERLINK("https://app-web.statementrec.com/app#appuploadfiles/3a133783-0711-087a-6ce4-a0dfa9d0a63e","M-Squared")</f>
      </c>
      <c r="B1566" s="3" t="s">
        <v>370</v>
      </c>
      <c r="C1566" s="4">
        <v>19</v>
      </c>
    </row>
    <row r="1567">
      <c r="A1567" s="5">
        <f>HYPERLINK("https://app-web.statementrec.com/app#appuploadfiles/3a1337e6-4563-c329-0692-8ed44e613587","Bowller Environmental Electrical Systems")</f>
      </c>
      <c r="B1567" s="3" t="s">
        <v>371</v>
      </c>
      <c r="C1567" s="4">
        <v>5</v>
      </c>
    </row>
    <row r="1568">
      <c r="A1568" s="5">
        <f>HYPERLINK("https://app-web.statementrec.com/app#appuploadfiles/3a134203-bee1-6c26-e726-f4d2b09fae32","AJC Plumbing cc")</f>
      </c>
      <c r="B1568" s="3" t="s">
        <v>118</v>
      </c>
      <c r="C1568" s="4">
        <v>16</v>
      </c>
    </row>
    <row r="1569">
      <c r="A1569" s="5">
        <f>HYPERLINK("https://app-web.statementrec.com/app#appuploadfiles/3a1346e4-8a18-4872-ef91-70fd560a0ccf","McLaughlin Plant Sales Limited")</f>
      </c>
      <c r="B1569" s="3" t="s">
        <v>17</v>
      </c>
      <c r="C1569" s="4">
        <v>10</v>
      </c>
    </row>
    <row r="1570">
      <c r="A1570" s="5">
        <f>HYPERLINK("https://app-web.statementrec.com/app#appuploadfiles/3a134736-160b-2bc4-138a-6b4865a460f3","Michael Forde")</f>
      </c>
      <c r="B1570" s="3" t="s">
        <v>158</v>
      </c>
      <c r="C1570" s="4">
        <v>99</v>
      </c>
    </row>
    <row r="1571">
      <c r="A1571" s="5">
        <f>HYPERLINK("https://app-web.statementrec.com/app#appuploadfiles/3a134814-03ba-f322-dc66-01ed21a0d28b","The Worshipful Company of Loriners")</f>
      </c>
      <c r="B1571" s="3" t="s">
        <v>17</v>
      </c>
      <c r="C1571" s="4">
        <v>2</v>
      </c>
    </row>
    <row r="1572">
      <c r="A1572" s="5">
        <f>HYPERLINK("https://app-web.statementrec.com/app#appuploadfiles/3a134c38-1ba7-bb06-e7dd-e28a212ed8ff","AN-BEA0001 Beacom Farms Limited")</f>
      </c>
      <c r="B1572" s="3" t="s">
        <v>17</v>
      </c>
      <c r="C1572" s="4">
        <v>9</v>
      </c>
    </row>
    <row r="1573">
      <c r="A1573" s="5">
        <f>HYPERLINK("https://app-web.statementrec.com/app#appuploadfiles/3a134c3a-0605-2808-ee0d-c2a930f17ac6","John Prendergast")</f>
      </c>
      <c r="B1573" s="3" t="s">
        <v>75</v>
      </c>
      <c r="C1573" s="4">
        <v>34</v>
      </c>
    </row>
    <row r="1574">
      <c r="A1574" s="5">
        <f>HYPERLINK("https://app-web.statementrec.com/app#appuploadfiles/3a135bf4-5135-6112-4f13-df3d325a61dd","Andrew Butler Coaching Ltd")</f>
      </c>
      <c r="B1574" s="3" t="s">
        <v>372</v>
      </c>
      <c r="C1574" s="4">
        <v>8</v>
      </c>
    </row>
    <row r="1575">
      <c r="A1575" s="5">
        <f>HYPERLINK("https://app-web.statementrec.com/app#appuploadfiles/3a135c93-3866-1252-80a6-ae8af24d3b57","Williams Ian")</f>
      </c>
      <c r="B1575" s="3" t="s">
        <v>17</v>
      </c>
      <c r="C1575" s="4">
        <v>6</v>
      </c>
    </row>
    <row r="1576">
      <c r="A1576" s="5">
        <f>HYPERLINK("https://app-web.statementrec.com/app#appuploadfiles/3a135c9f-bec7-68d2-d01c-e294c2f8f566","SJC Electrical Services Ltd")</f>
      </c>
      <c r="B1576" s="3" t="s">
        <v>123</v>
      </c>
      <c r="C1576" s="4">
        <v>63</v>
      </c>
    </row>
    <row r="1577">
      <c r="A1577" s="5">
        <f>HYPERLINK("https://app-web.statementrec.com/app#appuploadfiles/3a1360fe-88a0-b9cd-b474-e0d8e7ed5eb8","JJ888 Property Ltd")</f>
      </c>
      <c r="B1577" s="3" t="s">
        <v>10</v>
      </c>
      <c r="C1577" s="4">
        <v>1</v>
      </c>
    </row>
    <row r="1578">
      <c r="A1578" s="5">
        <f>HYPERLINK("https://app-web.statementrec.com/app#appuploadfiles/3a13676c-7227-802b-5bcd-08467f391895","Mr Roland Fletcher")</f>
      </c>
      <c r="B1578" s="3" t="s">
        <v>18</v>
      </c>
      <c r="C1578" s="4">
        <v>12</v>
      </c>
    </row>
    <row r="1579">
      <c r="A1579" s="5">
        <f>HYPERLINK("https://app-web.statementrec.com/app#appuploadfiles/3a136c1f-3f51-d1e7-5fef-f39f47aa44b0","April 24 JAG")</f>
      </c>
      <c r="B1579" s="3" t="s">
        <v>40</v>
      </c>
      <c r="C1579" s="4">
        <v>20</v>
      </c>
    </row>
    <row r="1580">
      <c r="A1580" s="5">
        <f>HYPERLINK("https://app-web.statementrec.com/app#appuploadfiles/3a136fed-da22-4b14-b37d-5cee84a9a61f","Goldwagen Germiston")</f>
      </c>
      <c r="B1580" s="3" t="s">
        <v>38</v>
      </c>
      <c r="C1580" s="4">
        <v>24</v>
      </c>
    </row>
    <row r="1581">
      <c r="A1581" s="5">
        <f>HYPERLINK("https://app-web.statementrec.com/app#appuploadfiles/3a137099-8118-85a0-c189-8387e2b9b241","Michael Laverty Ltd")</f>
      </c>
      <c r="B1581" s="3" t="s">
        <v>86</v>
      </c>
      <c r="C1581" s="4">
        <v>11</v>
      </c>
    </row>
    <row r="1582">
      <c r="A1582" s="5">
        <f>HYPERLINK("https://app-web.statementrec.com/app#appuploadfiles/3a137e9a-8a33-0505-e86b-7f2ff39c7184","Eusme Limited")</f>
      </c>
      <c r="B1582" s="3" t="s">
        <v>11</v>
      </c>
      <c r="C1582" s="4">
        <v>9</v>
      </c>
    </row>
    <row r="1583">
      <c r="A1583" s="5">
        <f>HYPERLINK("https://app-web.statementrec.com/app#appuploadfiles/3a137f8e-a002-4f0d-5a2e-52b18bf37670","AN-GLE0009 Robert Glendinning")</f>
      </c>
      <c r="B1583" s="3" t="s">
        <v>29</v>
      </c>
      <c r="C1583" s="4">
        <v>8</v>
      </c>
    </row>
    <row r="1584">
      <c r="A1584" s="5">
        <f>HYPERLINK("https://app-web.statementrec.com/app#appuploadfiles/3a137fe1-15d7-04f3-aabf-f1316a939f51","WI-MES0080 - Messrs T H Graham")</f>
      </c>
      <c r="B1584" s="3" t="s">
        <v>12</v>
      </c>
      <c r="C1584" s="4">
        <v>6</v>
      </c>
    </row>
    <row r="1585">
      <c r="A1585" s="5">
        <f>HYPERLINK("https://app-web.statementrec.com/app#appuploadfiles/3a137fe5-a62e-e610-0c4e-4de1abc0052c","C7744 - Brennan and Rhatigan Partnership")</f>
      </c>
      <c r="B1585" s="3" t="s">
        <v>3</v>
      </c>
      <c r="C1585" s="4">
        <v>2</v>
      </c>
    </row>
    <row r="1586">
      <c r="A1586" s="5">
        <f>HYPERLINK("https://app-web.statementrec.com/app#appuploadfiles/3a137fef-7449-6bf4-76d7-0b19add68856","GH-DR0003 Craig Farm")</f>
      </c>
      <c r="B1586" s="3" t="s">
        <v>139</v>
      </c>
      <c r="C1586" s="4">
        <v>5</v>
      </c>
    </row>
    <row r="1587">
      <c r="A1587" s="5">
        <f>HYPERLINK("https://app-web.statementrec.com/app#appuploadfiles/3a1385a1-3ea9-2dbc-af9b-6e98293e0abf","WI-MES0028 - Messrs Armstrong")</f>
      </c>
      <c r="B1587" s="3" t="s">
        <v>13</v>
      </c>
      <c r="C1587" s="4">
        <v>5</v>
      </c>
    </row>
    <row r="1588">
      <c r="A1588" s="5">
        <f>HYPERLINK("https://app-web.statementrec.com/app#appuploadfiles/3a1389cb-43d8-358d-4610-25030c3f439c","Brenda")</f>
      </c>
      <c r="B1588" s="3" t="s">
        <v>12</v>
      </c>
      <c r="C1588" s="4">
        <v>3</v>
      </c>
    </row>
    <row r="1589">
      <c r="A1589" s="5">
        <f>HYPERLINK("https://app-web.statementrec.com/app#appuploadfiles/3a138a0f-ca19-e4bd-797e-353458046eb4","WI-PLY0012 - Plyline North West Ltd")</f>
      </c>
      <c r="B1589" s="3" t="s">
        <v>17</v>
      </c>
      <c r="C1589" s="4">
        <v>7</v>
      </c>
    </row>
    <row r="1590">
      <c r="A1590" s="5">
        <f>HYPERLINK("https://app-web.statementrec.com/app#appuploadfiles/3a138ed9-adc8-2550-8920-0745eb2d8f8a","CAF General")</f>
      </c>
      <c r="B1590" s="3" t="s">
        <v>94</v>
      </c>
      <c r="C1590" s="4">
        <v>5</v>
      </c>
    </row>
    <row r="1591">
      <c r="A1591" s="5">
        <f>HYPERLINK("https://app-web.statementrec.com/app#appuploadfiles/3a138ed9-d0cd-276a-51ac-20684f924720","CAF Housekeeping")</f>
      </c>
      <c r="B1591" s="3" t="s">
        <v>94</v>
      </c>
      <c r="C1591" s="4">
        <v>5</v>
      </c>
    </row>
    <row r="1592">
      <c r="A1592" s="5">
        <f>HYPERLINK("https://app-web.statementrec.com/app#appuploadfiles/3a138f28-7085-c393-3bad-d18375e81890","WI-MES0069 - Messrs K &amp; J Robinson")</f>
      </c>
      <c r="B1592" s="3" t="s">
        <v>18</v>
      </c>
      <c r="C1592" s="4">
        <v>2</v>
      </c>
    </row>
    <row r="1593">
      <c r="A1593" s="5">
        <f>HYPERLINK("https://app-web.statementrec.com/app#appuploadfiles/3a138f2e-cd61-8254-3908-7edaf285086b","Njilo Consulting and Logistics")</f>
      </c>
      <c r="B1593" s="3" t="s">
        <v>80</v>
      </c>
      <c r="C1593" s="4">
        <v>2</v>
      </c>
    </row>
    <row r="1594">
      <c r="A1594" s="5">
        <f>HYPERLINK("https://app-web.statementrec.com/app#appuploadfiles/3a139045-859f-21e8-7208-8d0382c4cc89","066-HMCR Consult")</f>
      </c>
      <c r="B1594" s="3" t="s">
        <v>17</v>
      </c>
      <c r="C1594" s="4">
        <v>5</v>
      </c>
    </row>
    <row r="1595">
      <c r="A1595" s="5">
        <f>HYPERLINK("https://app-web.statementrec.com/app#appuploadfiles/3a1391c1-a734-21f9-9c5e-603b811b32ce","2516427 Alberta Ltd.")</f>
      </c>
      <c r="B1595" s="3" t="s">
        <v>56</v>
      </c>
      <c r="C1595" s="4">
        <v>7</v>
      </c>
    </row>
    <row r="1596">
      <c r="A1596" s="5">
        <f>HYPERLINK("https://app-web.statementrec.com/app#appuploadfiles/3a1394cd-163d-370f-70b6-22bfd9d48929","Terri-anne")</f>
      </c>
      <c r="B1596" s="3" t="s">
        <v>40</v>
      </c>
      <c r="C1596" s="4">
        <v>1</v>
      </c>
    </row>
    <row r="1597">
      <c r="A1597" s="5">
        <f>HYPERLINK("https://app-web.statementrec.com/app#appuploadfiles/3a13a0e8-581b-adae-2b70-4a8f0d3d9620","Sue McGrath")</f>
      </c>
      <c r="B1597" s="3" t="s">
        <v>12</v>
      </c>
      <c r="C1597" s="4">
        <v>424</v>
      </c>
    </row>
    <row r="1598">
      <c r="A1598" s="5">
        <f>HYPERLINK("https://app-web.statementrec.com/app#appuploadfiles/3a13a3c4-1475-627d-5e89-4d594a9a4bf3","Sleepzone Group")</f>
      </c>
      <c r="B1598" s="3" t="s">
        <v>10</v>
      </c>
      <c r="C1598" s="4">
        <v>1</v>
      </c>
    </row>
    <row r="1599">
      <c r="A1599" s="5">
        <f>HYPERLINK("https://app-web.statementrec.com/app#appuploadfiles/3a13a962-a03b-410e-5db3-0bc12000cb1c","Credit Score Technology Limited")</f>
      </c>
      <c r="B1599" s="3" t="s">
        <v>11</v>
      </c>
      <c r="C1599" s="4">
        <v>10</v>
      </c>
    </row>
    <row r="1600">
      <c r="A1600" s="5">
        <f>HYPERLINK("https://app-web.statementrec.com/app#appuploadfiles/3a13acb8-5d4f-846e-1e91-ec027eb44925","PNW DENTAL SDN BHD")</f>
      </c>
      <c r="B1600" s="3" t="s">
        <v>180</v>
      </c>
      <c r="C1600" s="4">
        <v>14</v>
      </c>
    </row>
    <row r="1601">
      <c r="A1601" s="5">
        <f>HYPERLINK("https://app-web.statementrec.com/app#appuploadfiles/3a13adfb-f81a-04f0-dbfe-b6c4d551ddaa","WI-MES0057 - Messrs K Story")</f>
      </c>
      <c r="B1601" s="3" t="s">
        <v>373</v>
      </c>
      <c r="C1601" s="4">
        <v>3</v>
      </c>
    </row>
    <row r="1602">
      <c r="A1602" s="5">
        <f>HYPERLINK("https://app-web.statementrec.com/app#appuploadfiles/3a13af3b-d5ad-8db8-c63e-98d899d4939c","COPPER KEY")</f>
      </c>
      <c r="B1602" s="3" t="s">
        <v>3</v>
      </c>
      <c r="C1602" s="4">
        <v>13</v>
      </c>
    </row>
    <row r="1603">
      <c r="A1603" s="5">
        <f>HYPERLINK("https://app-web.statementrec.com/app#appuploadfiles/3a13af55-bf01-6896-57b5-c36f50bab6c4","1")</f>
      </c>
      <c r="B1603" s="3" t="s">
        <v>18</v>
      </c>
      <c r="C1603" s="4">
        <v>4</v>
      </c>
    </row>
    <row r="1604">
      <c r="A1604" s="5">
        <f>HYPERLINK("https://app-web.statementrec.com/app#appuploadfiles/3a13c050-0ac7-7d6a-5652-b0ebcca5a53c","Measure Group Europe Ltd")</f>
      </c>
      <c r="B1604" s="3" t="s">
        <v>43</v>
      </c>
      <c r="C1604" s="4">
        <v>42</v>
      </c>
    </row>
    <row r="1605">
      <c r="A1605" s="5">
        <f>HYPERLINK("https://app-web.statementrec.com/app#appuploadfiles/3a13cb17-0b43-117f-574f-bcbcfa5a77d3","ERS Pallets")</f>
      </c>
      <c r="B1605" s="3" t="s">
        <v>56</v>
      </c>
      <c r="C1605" s="4">
        <v>3</v>
      </c>
    </row>
    <row r="1606">
      <c r="A1606" s="5">
        <f>HYPERLINK("https://app-web.statementrec.com/app#appuploadfiles/3a13cd27-637a-de96-7c6d-4eda86eba371","SSFA Medical")</f>
      </c>
      <c r="B1606" s="3" t="s">
        <v>10</v>
      </c>
      <c r="C1606" s="4">
        <v>2</v>
      </c>
    </row>
    <row r="1607">
      <c r="A1607" s="5">
        <f>HYPERLINK("https://app-web.statementrec.com/app#appuploadfiles/3a13cd55-f643-7c0a-a077-60977a2f492e","Six Royals Group Ltd")</f>
      </c>
      <c r="B1607" s="3" t="s">
        <v>146</v>
      </c>
      <c r="C1607" s="4">
        <v>1</v>
      </c>
    </row>
    <row r="1608">
      <c r="A1608" s="5">
        <f>HYPERLINK("https://app-web.statementrec.com/app#appuploadfiles/3a13cd79-87ac-df84-fa76-f87afac779b4","Bailey Properties")</f>
      </c>
      <c r="B1608" s="3" t="s">
        <v>47</v>
      </c>
      <c r="C1608" s="4">
        <v>2</v>
      </c>
    </row>
    <row r="1609">
      <c r="A1609" s="5">
        <f>HYPERLINK("https://app-web.statementrec.com/app#appuploadfiles/3a13ce33-213e-1e97-26a4-97744f5544aa","Berchem Limited")</f>
      </c>
      <c r="B1609" s="3" t="s">
        <v>17</v>
      </c>
      <c r="C1609" s="4">
        <v>39</v>
      </c>
    </row>
    <row r="1610">
      <c r="A1610" s="5">
        <f>HYPERLINK("https://app-web.statementrec.com/app#appuploadfiles/3a13d05f-4d7c-86a2-1007-d54815905d69","VSB FACADES LTD")</f>
      </c>
      <c r="B1610" s="3" t="s">
        <v>18</v>
      </c>
      <c r="C1610" s="4">
        <v>9</v>
      </c>
    </row>
    <row r="1611">
      <c r="A1611" s="5">
        <f>HYPERLINK("https://app-web.statementrec.com/app#appuploadfiles/3a13d7c9-4747-3a6f-9a02-0910de48289c","MAHA LLC")</f>
      </c>
      <c r="B1611" s="3" t="s">
        <v>374</v>
      </c>
      <c r="C1611" s="4">
        <v>20</v>
      </c>
    </row>
    <row r="1612">
      <c r="A1612" s="5">
        <f>HYPERLINK("https://app-web.statementrec.com/app#appuploadfiles/3a13d7db-fb34-2d5e-1147-093c044816dd","LIGRESCO LIMITED")</f>
      </c>
      <c r="B1612" s="3" t="s">
        <v>375</v>
      </c>
      <c r="C1612" s="4">
        <v>29</v>
      </c>
    </row>
    <row r="1613">
      <c r="A1613" s="5">
        <f>HYPERLINK("https://app-web.statementrec.com/app#appuploadfiles/3a13da2c-83a0-7044-50ea-163aee72c76c","BEKAR and Sons Contracting LTD.")</f>
      </c>
      <c r="B1613" s="3" t="s">
        <v>26</v>
      </c>
      <c r="C1613" s="4">
        <v>8</v>
      </c>
    </row>
    <row r="1614">
      <c r="A1614" s="5">
        <f>HYPERLINK("https://app-web.statementrec.com/app#appuploadfiles/3a13e1f2-06bf-fb88-9775-e43c8a671a78","Electrostar Ltd")</f>
      </c>
      <c r="B1614" s="3" t="s">
        <v>70</v>
      </c>
      <c r="C1614" s="4">
        <v>20</v>
      </c>
    </row>
    <row r="1615">
      <c r="A1615" s="5">
        <f>HYPERLINK("https://app-web.statementrec.com/app#appuploadfiles/3a13ebba-cfa0-6aee-7a46-129a6987be71","Jacob Jackson")</f>
      </c>
      <c r="B1615" s="3" t="s">
        <v>19</v>
      </c>
      <c r="C1615" s="4">
        <v>8</v>
      </c>
    </row>
    <row r="1616">
      <c r="A1616" s="5">
        <f>HYPERLINK("https://app-web.statementrec.com/app#appuploadfiles/3a13ebc0-cc10-e87e-5a68-6882fc80215c","Bank Statement Conversion")</f>
      </c>
      <c r="B1616" s="3" t="s">
        <v>19</v>
      </c>
      <c r="C1616" s="4">
        <v>56</v>
      </c>
    </row>
    <row r="1617">
      <c r="A1617" s="5">
        <f>HYPERLINK("https://app-web.statementrec.com/app#appuploadfiles/3a13ec0a-3190-b592-ac84-8566c93130d9","Nipson ADT Services Ltd")</f>
      </c>
      <c r="B1617" s="3" t="s">
        <v>43</v>
      </c>
      <c r="C1617" s="4">
        <v>4</v>
      </c>
    </row>
    <row r="1618">
      <c r="A1618" s="5">
        <f>HYPERLINK("https://app-web.statementrec.com/app#appuploadfiles/3a13ed3f-fad0-7feb-f04a-8753abff3952","Fotia")</f>
      </c>
      <c r="B1618" s="3" t="s">
        <v>11</v>
      </c>
      <c r="C1618" s="4">
        <v>2</v>
      </c>
    </row>
    <row r="1619">
      <c r="A1619" s="5">
        <f>HYPERLINK("https://app-web.statementrec.com/app#appuploadfiles/3a13f1b7-ee03-3814-62e9-5fbf516a2415","WH - Millom Network Centre")</f>
      </c>
      <c r="B1619" s="3" t="s">
        <v>376</v>
      </c>
      <c r="C1619" s="4">
        <v>32</v>
      </c>
    </row>
    <row r="1620">
      <c r="A1620" s="5">
        <f>HYPERLINK("https://app-web.statementrec.com/app#appuploadfiles/3a13f289-1f88-8b33-2903-28a5e79ede60","DEVILLA CORP")</f>
      </c>
      <c r="B1620" s="3" t="s">
        <v>56</v>
      </c>
      <c r="C1620" s="4">
        <v>16</v>
      </c>
    </row>
    <row r="1621">
      <c r="A1621" s="5">
        <f>HYPERLINK("https://app-web.statementrec.com/app#appuploadfiles/3a140fea-fa9c-ca4b-b418-f50055916d29","All Active NI")</f>
      </c>
      <c r="B1621" s="3" t="s">
        <v>21</v>
      </c>
      <c r="C1621" s="4">
        <v>2</v>
      </c>
    </row>
    <row r="1622">
      <c r="A1622" s="5">
        <f>HYPERLINK("https://app-web.statementrec.com/app#appuploadfiles/3a141467-0455-4bce-565c-80cc853d8fcb","Hollyberry Props 57 (Pty) Ltd - MOR201")</f>
      </c>
      <c r="B1622" s="3" t="s">
        <v>80</v>
      </c>
      <c r="C1622" s="4">
        <v>4</v>
      </c>
    </row>
    <row r="1623">
      <c r="A1623" s="5">
        <f>HYPERLINK("https://app-web.statementrec.com/app#appuploadfiles/3a141616-829d-8155-f739-92fcf187ee20","Directive Property Ltd")</f>
      </c>
      <c r="B1623" s="3" t="s">
        <v>11</v>
      </c>
      <c r="C1623" s="4">
        <v>9</v>
      </c>
    </row>
    <row r="1624">
      <c r="A1624" s="5">
        <f>HYPERLINK("https://app-web.statementrec.com/app#appuploadfiles/3a1419fe-a15a-ed44-405f-d97bde32b5f6","Shane")</f>
      </c>
      <c r="B1624" s="3" t="s">
        <v>29</v>
      </c>
      <c r="C1624" s="4">
        <v>20</v>
      </c>
    </row>
    <row r="1625">
      <c r="A1625" s="5">
        <f>HYPERLINK("https://app-web.statementrec.com/app#appuploadfiles/3a141b02-ee5f-0b68-2aa2-5aa55921295b","WI-EEC002 - EEC (2012) Limited")</f>
      </c>
      <c r="B1625" s="3" t="s">
        <v>52</v>
      </c>
      <c r="C1625" s="4">
        <v>11</v>
      </c>
    </row>
    <row r="1626">
      <c r="A1626" s="5">
        <f>HYPERLINK("https://app-web.statementrec.com/app#appuploadfiles/3a141fb0-ff96-c7fc-0b14-4dce25dae510","CM-PAU0022 - Paul Sharp Contracting")</f>
      </c>
      <c r="B1626" s="3" t="s">
        <v>15</v>
      </c>
      <c r="C1626" s="4">
        <v>22</v>
      </c>
    </row>
    <row r="1627">
      <c r="A1627" s="5">
        <f>HYPERLINK("https://app-web.statementrec.com/app#appuploadfiles/3a14208a-4518-eca5-1e22-72c822de391a","WI-ELL0004 - Ellaway Ltd")</f>
      </c>
      <c r="B1627" s="3" t="s">
        <v>13</v>
      </c>
      <c r="C1627" s="4">
        <v>10</v>
      </c>
    </row>
    <row r="1628">
      <c r="A1628" s="5">
        <f>HYPERLINK("https://app-web.statementrec.com/app#appuploadfiles/3a142468-4e58-1686-df47-0898bdc221e6","Oherc Ltd")</f>
      </c>
      <c r="B1628" s="3" t="s">
        <v>12</v>
      </c>
      <c r="C1628" s="4">
        <v>3</v>
      </c>
    </row>
    <row r="1629">
      <c r="A1629" s="5">
        <f>HYPERLINK("https://app-web.statementrec.com/app#appuploadfiles/3a1424f7-4c36-8503-3ac0-54bfa4893c5d","Mrs Joanna Hughes")</f>
      </c>
      <c r="B1629" s="3" t="s">
        <v>19</v>
      </c>
      <c r="C1629" s="4">
        <v>24</v>
      </c>
    </row>
    <row r="1630">
      <c r="A1630" s="5">
        <f>HYPERLINK("https://app-web.statementrec.com/app#appuploadfiles/3a142534-5b44-3983-e74e-7f2d0d33d08b","KE Jones")</f>
      </c>
      <c r="B1630" s="3" t="s">
        <v>15</v>
      </c>
      <c r="C1630" s="4">
        <v>9</v>
      </c>
    </row>
    <row r="1631">
      <c r="A1631" s="5">
        <f>HYPERLINK("https://app-web.statementrec.com/app#appuploadfiles/3a1430d8-3f9d-a162-a060-9e1f33d4cd41","WHITE LAKE HOMES LIMITED")</f>
      </c>
      <c r="B1631" s="3" t="s">
        <v>17</v>
      </c>
      <c r="C1631" s="4">
        <v>2</v>
      </c>
    </row>
    <row r="1632">
      <c r="A1632" s="5">
        <f>HYPERLINK("https://app-web.statementrec.com/app#appuploadfiles/3a143467-3f79-7f47-b9f7-0d9dfd1f8f17","Digna Recruitment")</f>
      </c>
      <c r="B1632" s="3" t="s">
        <v>53</v>
      </c>
      <c r="C1632" s="4">
        <v>6</v>
      </c>
    </row>
    <row r="1633">
      <c r="A1633" s="5">
        <f>HYPERLINK("https://app-web.statementrec.com/app#appuploadfiles/3a1434fd-168c-bbcb-7036-d5d5fe26ebd2","Sara Pearce Fine Art Ltd")</f>
      </c>
      <c r="B1633" s="3" t="s">
        <v>246</v>
      </c>
      <c r="C1633" s="4">
        <v>4</v>
      </c>
    </row>
    <row r="1634">
      <c r="A1634" s="5">
        <f>HYPERLINK("https://app-web.statementrec.com/app#appuploadfiles/3a143516-9cc0-0e06-53d9-ae4d94c4aef3","S015-Shimmering Forest Ltd")</f>
      </c>
      <c r="B1634" s="3" t="s">
        <v>15</v>
      </c>
      <c r="C1634" s="4">
        <v>1</v>
      </c>
    </row>
    <row r="1635">
      <c r="A1635" s="5">
        <f>HYPERLINK("https://app-web.statementrec.com/app#appuploadfiles/3a143558-81c0-2c3f-9c9a-e270419acd91","WI-STE0039 - Steven Scott")</f>
      </c>
      <c r="B1635" s="3" t="s">
        <v>24</v>
      </c>
      <c r="C1635" s="4">
        <v>7</v>
      </c>
    </row>
    <row r="1636">
      <c r="A1636" s="5">
        <f>HYPERLINK("https://app-web.statementrec.com/app#appuploadfiles/3a1439fe-8988-27a9-3ea0-c4b12541217a","WI-MES0078 - Messrs T J Graham &amp; Sons")</f>
      </c>
      <c r="B1636" s="3" t="s">
        <v>18</v>
      </c>
      <c r="C1636" s="4">
        <v>19</v>
      </c>
    </row>
    <row r="1637">
      <c r="A1637" s="5">
        <f>HYPERLINK("https://app-web.statementrec.com/app#appuploadfiles/3a143e93-470f-f900-49d4-8f5ad938f7a1","Flavko LTD")</f>
      </c>
      <c r="B1637" s="3" t="s">
        <v>17</v>
      </c>
      <c r="C1637" s="4">
        <v>10</v>
      </c>
    </row>
    <row r="1638">
      <c r="A1638" s="5">
        <f>HYPERLINK("https://app-web.statementrec.com/app#appuploadfiles/3a143f15-21aa-7d75-cb59-6fe11735e776","Jason Sawyer")</f>
      </c>
      <c r="B1638" s="3" t="s">
        <v>19</v>
      </c>
      <c r="C1638" s="4">
        <v>4</v>
      </c>
    </row>
    <row r="1639">
      <c r="A1639" s="5">
        <f>HYPERLINK("https://app-web.statementrec.com/app#appuploadfiles/3a144035-d2f3-e9c7-0691-78bfbd328086","Thomas K Welding")</f>
      </c>
      <c r="B1639" s="3" t="s">
        <v>377</v>
      </c>
      <c r="C1639" s="4">
        <v>19</v>
      </c>
    </row>
    <row r="1640">
      <c r="A1640" s="5">
        <f>HYPERLINK("https://app-web.statementrec.com/app#appuploadfiles/3a14434a-9223-b72c-9a8c-869a15a6e876","Skatt Consulting")</f>
      </c>
      <c r="B1640" s="3" t="s">
        <v>118</v>
      </c>
      <c r="C1640" s="4">
        <v>13</v>
      </c>
    </row>
    <row r="1641">
      <c r="A1641" s="5">
        <f>HYPERLINK("https://app-web.statementrec.com/app#appuploadfiles/3a1444c3-534a-650d-c646-395c298e3929","WI-MRP0113 - P Graham &amp; M Fell")</f>
      </c>
      <c r="B1641" s="3" t="s">
        <v>17</v>
      </c>
      <c r="C1641" s="4">
        <v>6</v>
      </c>
    </row>
    <row r="1642">
      <c r="A1642" s="5">
        <f>HYPERLINK("https://app-web.statementrec.com/app#appuploadfiles/3a1444cb-2988-7aea-a67d-d2b380e75409","WI-MES0083 - Messrs Wise")</f>
      </c>
      <c r="B1642" s="3" t="s">
        <v>13</v>
      </c>
      <c r="C1642" s="4">
        <v>3</v>
      </c>
    </row>
    <row r="1643">
      <c r="A1643" s="5">
        <f>HYPERLINK("https://app-web.statementrec.com/app#appuploadfiles/3a145634-f8ae-1f88-ca81-869b839a79ed","2024 07 US Bank")</f>
      </c>
      <c r="B1643" s="3" t="s">
        <v>40</v>
      </c>
      <c r="C1643" s="4">
        <v>7</v>
      </c>
    </row>
    <row r="1644">
      <c r="A1644" s="5">
        <f>HYPERLINK("https://app-web.statementrec.com/app#appuploadfiles/3a145882-811e-1d31-6e3e-db7f4a457cb0","Mr &amp; Mrs Calder")</f>
      </c>
      <c r="B1644" s="3" t="s">
        <v>13</v>
      </c>
      <c r="C1644" s="4">
        <v>53</v>
      </c>
    </row>
    <row r="1645">
      <c r="A1645" s="5">
        <f>HYPERLINK("https://app-web.statementrec.com/app#appuploadfiles/3a145964-f9e4-74c4-2615-4aa9dfca39c7","M153 Tom Morgan")</f>
      </c>
      <c r="B1645" s="3" t="s">
        <v>18</v>
      </c>
      <c r="C1645" s="4">
        <v>5</v>
      </c>
    </row>
    <row r="1646">
      <c r="A1646" s="5">
        <f>HYPERLINK("https://app-web.statementrec.com/app#appuploadfiles/3a145d3c-330b-6757-db84-dfd9bc87ec63","WI-CRO0028 - Crosshill Farm Ltd")</f>
      </c>
      <c r="B1646" s="3" t="s">
        <v>15</v>
      </c>
      <c r="C1646" s="4">
        <v>2</v>
      </c>
    </row>
    <row r="1647">
      <c r="A1647" s="5">
        <f>HYPERLINK("https://app-web.statementrec.com/app#appuploadfiles/3a145def-a1f0-d2a7-58d8-2c24611cf69d","demo")</f>
      </c>
      <c r="B1647" s="3" t="s">
        <v>16</v>
      </c>
      <c r="C1647" s="4">
        <v>82</v>
      </c>
    </row>
    <row r="1648">
      <c r="A1648" s="5">
        <f>HYPERLINK("https://app-web.statementrec.com/app#appuploadfiles/3a145e3e-304d-e324-84eb-83ad9fa1bb32","2 COUSINS CONSTRUTION LLC")</f>
      </c>
      <c r="B1648" s="3" t="s">
        <v>378</v>
      </c>
      <c r="C1648" s="4">
        <v>6</v>
      </c>
    </row>
    <row r="1649">
      <c r="A1649" s="5">
        <f>HYPERLINK("https://app-web.statementrec.com/app#appuploadfiles/3a14623a-585e-7c25-b3c0-2e689306781e","WI-MES0042 - Messrs Hayton")</f>
      </c>
      <c r="B1649" s="3" t="s">
        <v>17</v>
      </c>
      <c r="C1649" s="4">
        <v>2</v>
      </c>
    </row>
    <row r="1650">
      <c r="A1650" s="5">
        <f>HYPERLINK("https://app-web.statementrec.com/app#appuploadfiles/3a14633c-3d26-0290-f9e1-09267b8a5e9c","WI-MES0077 - Messrs T H &amp; J Robinson")</f>
      </c>
      <c r="B1650" s="3" t="s">
        <v>17</v>
      </c>
      <c r="C1650" s="4">
        <v>6</v>
      </c>
    </row>
    <row r="1651">
      <c r="A1651" s="5">
        <f>HYPERLINK("https://app-web.statementrec.com/app#appuploadfiles/3a146391-4f14-d944-b460-69135ba289bd","WI-MES0079 - Mr Kent")</f>
      </c>
      <c r="B1651" s="3" t="s">
        <v>13</v>
      </c>
      <c r="C1651" s="4">
        <v>9</v>
      </c>
    </row>
    <row r="1652">
      <c r="A1652" s="5">
        <f>HYPERLINK("https://app-web.statementrec.com/app#appuploadfiles/3a146735-a0d6-718d-6812-c849445e8684","BSODR")</f>
      </c>
      <c r="B1652" s="3" t="s">
        <v>12</v>
      </c>
      <c r="C1652" s="4">
        <v>26</v>
      </c>
    </row>
    <row r="1653">
      <c r="A1653" s="5">
        <f>HYPERLINK("https://app-web.statementrec.com/app#appuploadfiles/3a14676b-a796-bfe7-a262-82226a305fe7","KDBL")</f>
      </c>
      <c r="B1653" s="3" t="s">
        <v>11</v>
      </c>
      <c r="C1653" s="4">
        <v>4</v>
      </c>
    </row>
    <row r="1654">
      <c r="A1654" s="5">
        <f>HYPERLINK("https://app-web.statementrec.com/app#appuploadfiles/3a146809-e746-db5c-72e2-8a3353afe41e","I &amp; D Taylor")</f>
      </c>
      <c r="B1654" s="3" t="s">
        <v>73</v>
      </c>
      <c r="C1654" s="4">
        <v>10</v>
      </c>
    </row>
    <row r="1655">
      <c r="A1655" s="5">
        <f>HYPERLINK("https://app-web.statementrec.com/app#appuploadfiles/3a146cb6-3a69-0d17-1f0a-286341b7938e","Santorini Dome House")</f>
      </c>
      <c r="B1655" s="3" t="s">
        <v>43</v>
      </c>
      <c r="C1655" s="4">
        <v>2</v>
      </c>
    </row>
    <row r="1656">
      <c r="A1656" s="5">
        <f>HYPERLINK("https://app-web.statementrec.com/app#appuploadfiles/3a147d63-a441-b4bf-86bc-3321d82ed534","Demo (Test) Ltd")</f>
      </c>
      <c r="B1656" s="3" t="s">
        <v>84</v>
      </c>
      <c r="C1656" s="4">
        <v>16</v>
      </c>
    </row>
    <row r="1657">
      <c r="A1657" s="5">
        <f>HYPERLINK("https://app-web.statementrec.com/app#appuploadfiles/3a14815e-966d-32be-cac9-5583acc6e0ed","WI-MES0059 - Messrs Connell")</f>
      </c>
      <c r="B1657" s="3" t="s">
        <v>18</v>
      </c>
      <c r="C1657" s="4">
        <v>12</v>
      </c>
    </row>
    <row r="1658">
      <c r="A1658" s="5">
        <f>HYPERLINK("https://app-web.statementrec.com/app#appuploadfiles/3a148171-4328-4057-de23-2abd5b0ad7e2","COUNTRY HILL COTTAGE LIMITED")</f>
      </c>
      <c r="B1658" s="3" t="s">
        <v>347</v>
      </c>
      <c r="C1658" s="4">
        <v>18</v>
      </c>
    </row>
    <row r="1659">
      <c r="A1659" s="5">
        <f>HYPERLINK("https://app-web.statementrec.com/app#appuploadfiles/3a148266-93fb-0ef1-1e39-2d7c61eb7de8","Fake Action Truth Limited")</f>
      </c>
      <c r="B1659" s="3" t="s">
        <v>94</v>
      </c>
      <c r="C1659" s="4">
        <v>10</v>
      </c>
    </row>
    <row r="1660">
      <c r="A1660" s="5">
        <f>HYPERLINK("https://app-web.statementrec.com/app#appuploadfiles/3a148290-59d0-ce65-fd4a-a18d3e7923f7","Solve Global")</f>
      </c>
      <c r="B1660" s="3" t="s">
        <v>12</v>
      </c>
      <c r="C1660" s="4">
        <v>21</v>
      </c>
    </row>
    <row r="1661">
      <c r="A1661" s="5">
        <f>HYPERLINK("https://app-web.statementrec.com/app#appuploadfiles/3a148334-63b2-ce93-4ca4-a63a54e32f41","04 - April")</f>
      </c>
      <c r="B1661" s="3" t="s">
        <v>46</v>
      </c>
      <c r="C1661" s="4">
        <v>4</v>
      </c>
    </row>
    <row r="1662">
      <c r="A1662" s="5">
        <f>HYPERLINK("https://app-web.statementrec.com/app#appuploadfiles/3a148373-5a5a-0d3f-2ef3-d97266b6c481","Higher Health Massage Therapy Inc.")</f>
      </c>
      <c r="B1662" s="3" t="s">
        <v>379</v>
      </c>
      <c r="C1662" s="4">
        <v>29</v>
      </c>
    </row>
    <row r="1663">
      <c r="A1663" s="5">
        <f>HYPERLINK("https://app-web.statementrec.com/app#appuploadfiles/3a148670-fc3d-df80-f7ef-0fb8488fbc02","Middling Pharma Limited")</f>
      </c>
      <c r="B1663" s="3" t="s">
        <v>40</v>
      </c>
      <c r="C1663" s="4">
        <v>45</v>
      </c>
    </row>
    <row r="1664">
      <c r="A1664" s="5">
        <f>HYPERLINK("https://app-web.statementrec.com/app#appuploadfiles/3a1486a2-6da7-d91f-0a5d-ea24d7afd830","Graft Ltd")</f>
      </c>
      <c r="B1664" s="3" t="s">
        <v>52</v>
      </c>
      <c r="C1664" s="4">
        <v>3</v>
      </c>
    </row>
    <row r="1665">
      <c r="A1665" s="5">
        <f>HYPERLINK("https://app-web.statementrec.com/app#appuploadfiles/3a1486be-acef-32b8-7a3a-11155ffed28d","01.05.24 - 31.07.24")</f>
      </c>
      <c r="B1665" s="3" t="s">
        <v>18</v>
      </c>
      <c r="C1665" s="4">
        <v>9</v>
      </c>
    </row>
    <row r="1666">
      <c r="A1666" s="5">
        <f>HYPERLINK("https://app-web.statementrec.com/app#appuploadfiles/3a1486e0-9f53-e839-0356-1a8d2dcdd37c","WI-MES0073 - Messrs S &amp; H Hall")</f>
      </c>
      <c r="B1666" s="3" t="s">
        <v>17</v>
      </c>
      <c r="C1666" s="4">
        <v>6</v>
      </c>
    </row>
    <row r="1667">
      <c r="A1667" s="5">
        <f>HYPERLINK("https://app-web.statementrec.com/app#appuploadfiles/3a14872a-461a-bcc4-d3b1-cc1488b0db2b","WI-MES0085 - Messrs K &amp; MR Coulthard")</f>
      </c>
      <c r="B1667" s="3" t="s">
        <v>13</v>
      </c>
      <c r="C1667" s="4">
        <v>9</v>
      </c>
    </row>
    <row r="1668">
      <c r="A1668" s="5">
        <f>HYPERLINK("https://app-web.statementrec.com/app#appuploadfiles/3a148cdd-b2d4-f5c5-5005-38852e23df95","WI-MES0032 - Messrs Barwise")</f>
      </c>
      <c r="B1668" s="3" t="s">
        <v>17</v>
      </c>
      <c r="C1668" s="4">
        <v>4</v>
      </c>
    </row>
    <row r="1669">
      <c r="A1669" s="5">
        <f>HYPERLINK("https://app-web.statementrec.com/app#appuploadfiles/3a148d01-b48e-7343-63f2-428b0a2db006","Kieron Field Limited")</f>
      </c>
      <c r="B1669" s="3" t="s">
        <v>29</v>
      </c>
      <c r="C1669" s="4">
        <v>33</v>
      </c>
    </row>
    <row r="1670">
      <c r="A1670" s="5">
        <f>HYPERLINK("https://app-web.statementrec.com/app#appuploadfiles/3a148df9-4477-83cf-f9fb-1e997686bee9","Beautiful Minds Counseling Center, LLC")</f>
      </c>
      <c r="B1670" s="3" t="s">
        <v>17</v>
      </c>
      <c r="C1670" s="4">
        <v>22</v>
      </c>
    </row>
    <row r="1671">
      <c r="A1671" s="5">
        <f>HYPERLINK("https://app-web.statementrec.com/app#appuploadfiles/3a14907e-4eea-8eb1-9c3a-3223f4bd587a","WI-MES0049 - Messrs Hickson")</f>
      </c>
      <c r="B1671" s="3" t="s">
        <v>17</v>
      </c>
      <c r="C1671" s="4">
        <v>9</v>
      </c>
    </row>
    <row r="1672">
      <c r="A1672" s="5">
        <f>HYPERLINK("https://app-web.statementrec.com/app#appuploadfiles/3a149161-d17f-1ea1-38fa-6cb7914b2194","WI-HUD0044 - Mr A Hudson")</f>
      </c>
      <c r="B1672" s="3" t="s">
        <v>13</v>
      </c>
      <c r="C1672" s="4">
        <v>8</v>
      </c>
    </row>
    <row r="1673">
      <c r="A1673" s="5">
        <f>HYPERLINK("https://app-web.statementrec.com/app#appuploadfiles/3a14972e-2bac-9e11-9974-4992b1632904","Afentra PLC")</f>
      </c>
      <c r="B1673" s="3" t="s">
        <v>380</v>
      </c>
      <c r="C1673" s="4">
        <v>30</v>
      </c>
    </row>
    <row r="1674">
      <c r="A1674" s="5">
        <f>HYPERLINK("https://app-web.statementrec.com/app#appuploadfiles/3a14a310-18a2-39e2-0b00-f099dab37b89","Brandy Maddison Event Planning &amp; Design")</f>
      </c>
      <c r="B1674" s="3" t="s">
        <v>144</v>
      </c>
      <c r="C1674" s="4">
        <v>13</v>
      </c>
    </row>
    <row r="1675">
      <c r="A1675" s="5">
        <f>HYPERLINK("https://app-web.statementrec.com/app#appuploadfiles/3a14a70c-fceb-a583-832c-e0a434011ac7","David Cuevas Ramirez LLC")</f>
      </c>
      <c r="B1675" s="3" t="s">
        <v>124</v>
      </c>
      <c r="C1675" s="4">
        <v>5</v>
      </c>
    </row>
    <row r="1676">
      <c r="A1676" s="5">
        <f>HYPERLINK("https://app-web.statementrec.com/app#appuploadfiles/3a14a70f-b861-1534-b9b8-9f542a5f06e8","Solution Comptable LD inc.")</f>
      </c>
      <c r="B1676" s="3" t="s">
        <v>381</v>
      </c>
      <c r="C1676" s="4">
        <v>4</v>
      </c>
    </row>
    <row r="1677">
      <c r="A1677" s="5">
        <f>HYPERLINK("https://app-web.statementrec.com/app#appuploadfiles/3a14a7b6-069e-e1db-496d-d3ea81e93fd7","Golden Mile Leasing")</f>
      </c>
      <c r="B1677" s="3" t="s">
        <v>382</v>
      </c>
      <c r="C1677" s="4">
        <v>8</v>
      </c>
    </row>
    <row r="1678">
      <c r="A1678" s="5">
        <f>HYPERLINK("https://app-web.statementrec.com/app#appuploadfiles/3a14a83a-e96b-efcf-9b2e-47f86e9c7646","Sothan Sothoan")</f>
      </c>
      <c r="B1678" s="3" t="s">
        <v>383</v>
      </c>
      <c r="C1678" s="4">
        <v>2</v>
      </c>
    </row>
    <row r="1679">
      <c r="A1679" s="5">
        <f>HYPERLINK("https://app-web.statementrec.com/app#appuploadfiles/3a14aa84-744c-f1da-6316-fac17d327e68","MES0079 - Messrs T W Kitchen &amp; Son")</f>
      </c>
      <c r="B1679" s="3" t="s">
        <v>15</v>
      </c>
      <c r="C1679" s="4">
        <v>9</v>
      </c>
    </row>
    <row r="1680">
      <c r="A1680" s="5">
        <f>HYPERLINK("https://app-web.statementrec.com/app#appuploadfiles/3a14afd8-c3d0-7344-861c-b6d46f037c76","Brach Construction")</f>
      </c>
      <c r="B1680" s="3" t="s">
        <v>10</v>
      </c>
      <c r="C1680" s="4">
        <v>7</v>
      </c>
    </row>
    <row r="1681">
      <c r="A1681" s="5">
        <f>HYPERLINK("https://app-web.statementrec.com/app#appuploadfiles/3a14b095-762e-da55-858e-b4a59a997a62","WI-MES0037 - Messrs Gate")</f>
      </c>
      <c r="B1681" s="3" t="s">
        <v>17</v>
      </c>
      <c r="C1681" s="4">
        <v>9</v>
      </c>
    </row>
    <row r="1682">
      <c r="A1682" s="5">
        <f>HYPERLINK("https://app-web.statementrec.com/app#appuploadfiles/3a14b4b5-105b-3127-8b32-3d6ff698cb5c","ETE Services Ltd")</f>
      </c>
      <c r="B1682" s="3" t="s">
        <v>17</v>
      </c>
      <c r="C1682" s="4">
        <v>81</v>
      </c>
    </row>
    <row r="1683">
      <c r="A1683" s="5">
        <f>HYPERLINK("https://app-web.statementrec.com/app#appuploadfiles/3a14c532-f18e-ecf8-2f24-ce5f739a4a03","STUDIO  IJO")</f>
      </c>
      <c r="B1683" s="3" t="s">
        <v>168</v>
      </c>
      <c r="C1683" s="4">
        <v>7</v>
      </c>
    </row>
    <row r="1684">
      <c r="A1684" s="5">
        <f>HYPERLINK("https://app-web.statementrec.com/app#appuploadfiles/3a14c966-0f8d-ad59-88a9-2026e6432d4e","Seven Seas Digital Media Limited")</f>
      </c>
      <c r="B1684" s="3" t="s">
        <v>11</v>
      </c>
      <c r="C1684" s="4">
        <v>4</v>
      </c>
    </row>
    <row r="1685">
      <c r="A1685" s="5">
        <f>HYPERLINK("https://app-web.statementrec.com/app#appuploadfiles/3a14c9c7-9396-48da-c20a-0ee197453162","WI-MES0036 - Seymour Farms")</f>
      </c>
      <c r="B1685" s="3" t="s">
        <v>18</v>
      </c>
      <c r="C1685" s="4">
        <v>8</v>
      </c>
    </row>
    <row r="1686">
      <c r="A1686" s="5">
        <f>HYPERLINK("https://app-web.statementrec.com/app#appuploadfiles/3a14ca23-796e-5221-fb68-45c690657056","PropCo A&amp;O Hostel and Hotel Brighton_1156895-104")</f>
      </c>
      <c r="B1686" s="3" t="s">
        <v>384</v>
      </c>
      <c r="C1686" s="4">
        <v>98</v>
      </c>
    </row>
    <row r="1687">
      <c r="A1687" s="5">
        <f>HYPERLINK("https://app-web.statementrec.com/app#appuploadfiles/3a14ca3c-e347-e163-1f75-d6654dd730e0","Le Roux, JDS (New You Salon) - LER300")</f>
      </c>
      <c r="B1687" s="3" t="s">
        <v>118</v>
      </c>
      <c r="C1687" s="4">
        <v>3</v>
      </c>
    </row>
    <row r="1688">
      <c r="A1688" s="5">
        <f>HYPERLINK("https://app-web.statementrec.com/app#appuploadfiles/3a14ce98-66a3-b4f9-5988-61740054df2b","Grove Interiors (London) Ltd")</f>
      </c>
      <c r="B1688" s="3" t="s">
        <v>53</v>
      </c>
      <c r="C1688" s="4">
        <v>24</v>
      </c>
    </row>
    <row r="1689">
      <c r="A1689" s="5">
        <f>HYPERLINK("https://app-web.statementrec.com/app#appuploadfiles/3a14ced9-7615-ae3d-42fb-a21448a595d2","G L Evans Construction Ltd")</f>
      </c>
      <c r="B1689" s="3" t="s">
        <v>73</v>
      </c>
      <c r="C1689" s="4">
        <v>4</v>
      </c>
    </row>
    <row r="1690">
      <c r="A1690" s="5">
        <f>HYPERLINK("https://app-web.statementrec.com/app#appuploadfiles/3a14cfdd-13d6-8339-cc00-a272341a0d0d","Murray Inspection Services Limited")</f>
      </c>
      <c r="B1690" s="3" t="s">
        <v>3</v>
      </c>
      <c r="C1690" s="4">
        <v>6</v>
      </c>
    </row>
    <row r="1691">
      <c r="A1691" s="5">
        <f>HYPERLINK("https://app-web.statementrec.com/app#appuploadfiles/3a14d8ac-6664-65af-d217-f420814e3961","Coley Properties (2018) Limited")</f>
      </c>
      <c r="B1691" s="3" t="s">
        <v>385</v>
      </c>
      <c r="C1691" s="4">
        <v>3</v>
      </c>
    </row>
    <row r="1692">
      <c r="A1692" s="5">
        <f>HYPERLINK("https://app-web.statementrec.com/app#appuploadfiles/3a14d8e2-ae8f-ca60-393f-14fdf02d3189","Steph Morgan Consulting Limited")</f>
      </c>
      <c r="B1692" s="3" t="s">
        <v>386</v>
      </c>
      <c r="C1692" s="4">
        <v>2</v>
      </c>
    </row>
    <row r="1693">
      <c r="A1693" s="5">
        <f>HYPERLINK("https://app-web.statementrec.com/app#appuploadfiles/3a14d9a2-901c-8e74-ec31-90a154daf4ac","PROFAD CARE AGENCY LIMITED")</f>
      </c>
      <c r="B1693" s="3" t="s">
        <v>387</v>
      </c>
      <c r="C1693" s="4">
        <v>350</v>
      </c>
    </row>
    <row r="1694">
      <c r="A1694" s="5">
        <f>HYPERLINK("https://app-web.statementrec.com/app#appuploadfiles/3a14dcab-6aa8-06d0-73bb-0d9c3a13a761","The Urban Deli LLC")</f>
      </c>
      <c r="B1694" s="3" t="s">
        <v>58</v>
      </c>
      <c r="C1694" s="4">
        <v>164</v>
      </c>
    </row>
    <row r="1695">
      <c r="A1695" s="5">
        <f>HYPERLINK("https://app-web.statementrec.com/app#appuploadfiles/3a14f1ec-b47e-87c6-64ee-eaf506246b64","Attollo Cranes")</f>
      </c>
      <c r="B1695" s="3" t="s">
        <v>388</v>
      </c>
      <c r="C1695" s="4">
        <v>21</v>
      </c>
    </row>
    <row r="1696">
      <c r="A1696" s="5">
        <f>HYPERLINK("https://app-web.statementrec.com/app#appuploadfiles/3a14f29a-fb56-0fae-a841-841a372f11da","DJS Hydraulics &amp; Agri")</f>
      </c>
      <c r="B1696" s="3" t="s">
        <v>17</v>
      </c>
      <c r="C1696" s="4">
        <v>18</v>
      </c>
    </row>
    <row r="1697">
      <c r="A1697" s="5">
        <f>HYPERLINK("https://app-web.statementrec.com/app#appuploadfiles/3a14f29f-18e9-7dcf-da9b-380df15f15e4","VCP Services Ltd")</f>
      </c>
      <c r="B1697" s="3" t="s">
        <v>17</v>
      </c>
      <c r="C1697" s="4">
        <v>5</v>
      </c>
    </row>
    <row r="1698">
      <c r="A1698" s="5">
        <f>HYPERLINK("https://app-web.statementrec.com/app#appuploadfiles/3a14f385-11da-7b9b-22ba-0da317ada1f2","LLNE")</f>
      </c>
      <c r="B1698" s="3" t="s">
        <v>19</v>
      </c>
      <c r="C1698" s="4">
        <v>3</v>
      </c>
    </row>
    <row r="1699">
      <c r="A1699" s="5">
        <f>HYPERLINK("https://app-web.statementrec.com/app#appuploadfiles/3a14f3bf-55d4-a681-b2fc-1fe33e837519","Ardenode Media")</f>
      </c>
      <c r="B1699" s="3" t="s">
        <v>11</v>
      </c>
      <c r="C1699" s="4">
        <v>7</v>
      </c>
    </row>
    <row r="1700">
      <c r="A1700" s="5">
        <f>HYPERLINK("https://app-web.statementrec.com/app#appuploadfiles/3a14f7d0-0e4e-88ec-93d3-f7b51b6331cd","C056-Citta Developments Limited")</f>
      </c>
      <c r="B1700" s="3" t="s">
        <v>15</v>
      </c>
      <c r="C1700" s="4">
        <v>1</v>
      </c>
    </row>
    <row r="1701">
      <c r="A1701" s="5">
        <f>HYPERLINK("https://app-web.statementrec.com/app#appuploadfiles/3a14f842-9d86-a208-0eb2-370a813a968a","Dan wilson")</f>
      </c>
      <c r="B1701" s="3" t="s">
        <v>19</v>
      </c>
      <c r="C1701" s="4">
        <v>42</v>
      </c>
    </row>
    <row r="1702">
      <c r="A1702" s="5">
        <f>HYPERLINK("https://app-web.statementrec.com/app#appuploadfiles/3a14f84b-8132-1324-4aa4-f136fe798fd9","Lower Green Limited")</f>
      </c>
      <c r="B1702" s="3" t="s">
        <v>389</v>
      </c>
      <c r="C1702" s="4">
        <v>35</v>
      </c>
    </row>
    <row r="1703">
      <c r="A1703" s="5">
        <f>HYPERLINK("https://app-web.statementrec.com/app#appuploadfiles/3a14f892-8397-863f-fd29-de7ed66ea0ba","Bogheri MB005")</f>
      </c>
      <c r="B1703" s="3" t="s">
        <v>73</v>
      </c>
      <c r="C1703" s="4">
        <v>22</v>
      </c>
    </row>
    <row r="1704">
      <c r="A1704" s="5">
        <f>HYPERLINK("https://app-web.statementrec.com/app#appuploadfiles/3a14faa3-252c-e42d-656d-6e48576f8cbf","HORIZON AVENIR PLUS Inc.")</f>
      </c>
      <c r="B1704" s="3" t="s">
        <v>282</v>
      </c>
      <c r="C1704" s="4">
        <v>31</v>
      </c>
    </row>
    <row r="1705">
      <c r="A1705" s="5">
        <f>HYPERLINK("https://app-web.statementrec.com/app#appuploadfiles/3a14fdd2-f10c-290d-e12c-e1de887ef7a5","J &amp; M Building Developments")</f>
      </c>
      <c r="B1705" s="3" t="s">
        <v>17</v>
      </c>
      <c r="C1705" s="4">
        <v>7</v>
      </c>
    </row>
    <row r="1706">
      <c r="A1706" s="5">
        <f>HYPERLINK("https://app-web.statementrec.com/app#appuploadfiles/3a14fe62-0aa0-4ba8-0b6f-d1490ed751c7","Xtreme Wholesale Liquidators")</f>
      </c>
      <c r="B1706" s="3" t="s">
        <v>124</v>
      </c>
      <c r="C1706" s="4">
        <v>26</v>
      </c>
    </row>
    <row r="1707">
      <c r="A1707" s="5">
        <f>HYPERLINK("https://app-web.statementrec.com/app#appuploadfiles/3a150d52-2efe-270e-6603-04b7c7720c79","Elaine Murphy")</f>
      </c>
      <c r="B1707" s="3" t="s">
        <v>15</v>
      </c>
      <c r="C1707" s="4">
        <v>3</v>
      </c>
    </row>
    <row r="1708">
      <c r="A1708" s="5">
        <f>HYPERLINK("https://app-web.statementrec.com/app#appuploadfiles/3a1510d3-b476-bc79-a72f-e5fc5a26abd1","SAIE")</f>
      </c>
      <c r="B1708" s="3" t="s">
        <v>80</v>
      </c>
      <c r="C1708" s="4">
        <v>27</v>
      </c>
    </row>
    <row r="1709">
      <c r="A1709" s="5">
        <f>HYPERLINK("https://app-web.statementrec.com/app#appuploadfiles/3a151149-a12e-d762-14e0-039cdef73ce0","CJP Chartered Accountants")</f>
      </c>
      <c r="B1709" s="3" t="s">
        <v>21</v>
      </c>
      <c r="C1709" s="4">
        <v>159</v>
      </c>
    </row>
    <row r="1710">
      <c r="A1710" s="5">
        <f>HYPERLINK("https://app-web.statementrec.com/app#appuploadfiles/3a15114d-5c0b-7b46-24cc-221a8fb0a44a","WI-MES0044 - Messrs Holliday")</f>
      </c>
      <c r="B1710" s="3" t="s">
        <v>18</v>
      </c>
      <c r="C1710" s="4">
        <v>5</v>
      </c>
    </row>
    <row r="1711">
      <c r="A1711" s="5">
        <f>HYPERLINK("https://app-web.statementrec.com/app#appuploadfiles/3a151156-8fe1-eff3-7528-c4eb4736489e","Sarelle Kellone Ltd. trading as Herology")</f>
      </c>
      <c r="B1711" s="3" t="s">
        <v>11</v>
      </c>
      <c r="C1711" s="4">
        <v>17</v>
      </c>
    </row>
    <row r="1712">
      <c r="A1712" s="5">
        <f>HYPERLINK("https://app-web.statementrec.com/app#appuploadfiles/3a1512fc-55b4-a9f2-5e77-be97bd20138a","CWB")</f>
      </c>
      <c r="B1712" s="3" t="s">
        <v>390</v>
      </c>
      <c r="C1712" s="4">
        <v>6</v>
      </c>
    </row>
    <row r="1713">
      <c r="A1713" s="5">
        <f>HYPERLINK("https://app-web.statementrec.com/app#appuploadfiles/3a1513bc-3156-36c0-4715-dd3401d5ed1c","HAMPTONS GENERAL MAINTENANCE LLC")</f>
      </c>
      <c r="B1713" s="3" t="s">
        <v>146</v>
      </c>
      <c r="C1713" s="4">
        <v>22</v>
      </c>
    </row>
    <row r="1714">
      <c r="A1714" s="5">
        <f>HYPERLINK("https://app-web.statementrec.com/app#appuploadfiles/3a151884-6667-303e-20c3-8e7aa4da01ed","KBSK Trading")</f>
      </c>
      <c r="B1714" s="3" t="s">
        <v>255</v>
      </c>
      <c r="C1714" s="4">
        <v>55</v>
      </c>
    </row>
    <row r="1715">
      <c r="A1715" s="5">
        <f>HYPERLINK("https://app-web.statementrec.com/app#appuploadfiles/3a1518a9-3103-d090-32ee-25f69ebe98bd","0970Ags24")</f>
      </c>
      <c r="B1715" s="3" t="s">
        <v>146</v>
      </c>
      <c r="C1715" s="4">
        <v>10</v>
      </c>
    </row>
    <row r="1716">
      <c r="A1716" s="5">
        <f>HYPERLINK("https://app-web.statementrec.com/app#appuploadfiles/3a151bfd-ba6b-4635-03ed-3b3324768bb3","Univa Ltd")</f>
      </c>
      <c r="B1716" s="3" t="s">
        <v>29</v>
      </c>
      <c r="C1716" s="4">
        <v>2</v>
      </c>
    </row>
    <row r="1717">
      <c r="A1717" s="5">
        <f>HYPERLINK("https://app-web.statementrec.com/app#appuploadfiles/3a151c7a-c79a-4b64-797f-ec05b4ad0e78","Gary Lee Curran Construction Ltd")</f>
      </c>
      <c r="B1717" s="3" t="s">
        <v>11</v>
      </c>
      <c r="C1717" s="4">
        <v>37</v>
      </c>
    </row>
    <row r="1718">
      <c r="A1718" s="5">
        <f>HYPERLINK("https://app-web.statementrec.com/app#appuploadfiles/3a151d50-65ad-3f0e-f1bc-fe81654ad8b4","ADA Fitness")</f>
      </c>
      <c r="B1718" s="3" t="s">
        <v>12</v>
      </c>
      <c r="C1718" s="4">
        <v>27</v>
      </c>
    </row>
    <row r="1719">
      <c r="A1719" s="5">
        <f>HYPERLINK("https://app-web.statementrec.com/app#appuploadfiles/3a151dd7-3931-70e5-f0e9-d4105d3a4bb5","ServiceMasterRCA")</f>
      </c>
      <c r="B1719" s="3" t="s">
        <v>16</v>
      </c>
      <c r="C1719" s="4">
        <v>6</v>
      </c>
    </row>
    <row r="1720">
      <c r="A1720" s="5">
        <f>HYPERLINK("https://app-web.statementrec.com/app#appuploadfiles/3a15213e-1395-2a70-cf30-0a1a88e1a566","Maclous")</f>
      </c>
      <c r="B1720" s="3" t="s">
        <v>80</v>
      </c>
      <c r="C1720" s="4">
        <v>8</v>
      </c>
    </row>
    <row r="1721">
      <c r="A1721" s="5">
        <f>HYPERLINK("https://app-web.statementrec.com/app#appuploadfiles/3a1526c5-9879-8a1c-c510-17b39de03452","AFELI SOLUTIONS")</f>
      </c>
      <c r="B1721" s="3" t="s">
        <v>80</v>
      </c>
      <c r="C1721" s="4">
        <v>3</v>
      </c>
    </row>
    <row r="1722">
      <c r="A1722" s="5">
        <f>HYPERLINK("https://app-web.statementrec.com/app#appuploadfiles/3a15273d-773d-115d-4f5f-7f009cf54160","ABC Client")</f>
      </c>
      <c r="B1722" s="3" t="s">
        <v>391</v>
      </c>
      <c r="C1722" s="4">
        <v>25</v>
      </c>
    </row>
    <row r="1723">
      <c r="A1723" s="5">
        <f>HYPERLINK("https://app-web.statementrec.com/app#appuploadfiles/3a1531bf-b9a7-2cf3-dd71-728b3cb09dae","S088 Helen Steadmond")</f>
      </c>
      <c r="B1723" s="3" t="s">
        <v>26</v>
      </c>
      <c r="C1723" s="4">
        <v>70</v>
      </c>
    </row>
    <row r="1724">
      <c r="A1724" s="5">
        <f>HYPERLINK("https://app-web.statementrec.com/app#appuploadfiles/3a15321a-48cd-8614-b55c-bc1873266861","ServiceMaster A1")</f>
      </c>
      <c r="B1724" s="3" t="s">
        <v>146</v>
      </c>
      <c r="C1724" s="4">
        <v>8</v>
      </c>
    </row>
    <row r="1725">
      <c r="A1725" s="5">
        <f>HYPERLINK("https://app-web.statementrec.com/app#appuploadfiles/3a153601-85c1-a647-e808-f5e8471852ba","SJB MARINE")</f>
      </c>
      <c r="B1725" s="3" t="s">
        <v>70</v>
      </c>
      <c r="C1725" s="4">
        <v>17</v>
      </c>
    </row>
    <row r="1726">
      <c r="A1726" s="5">
        <f>HYPERLINK("https://app-web.statementrec.com/app#appuploadfiles/3a15367e-c87b-6dd3-2fe0-5d02746e9dab","Mrs Paint CC")</f>
      </c>
      <c r="B1726" s="3" t="s">
        <v>118</v>
      </c>
      <c r="C1726" s="4">
        <v>29</v>
      </c>
    </row>
    <row r="1727">
      <c r="A1727" s="5">
        <f>HYPERLINK("https://app-web.statementrec.com/app#appuploadfiles/3a15377f-990a-8ccd-c2b3-625055bf43bf","New Hapkin Trust")</f>
      </c>
      <c r="B1727" s="3" t="s">
        <v>47</v>
      </c>
      <c r="C1727" s="4">
        <v>7</v>
      </c>
    </row>
    <row r="1728">
      <c r="A1728" s="5">
        <f>HYPERLINK("https://app-web.statementrec.com/app#appuploadfiles/3a153b69-4121-0ce6-6432-60dff306d9fb","Dr. A Groenewoud Ingelyf - GRO101")</f>
      </c>
      <c r="B1728" s="3" t="s">
        <v>48</v>
      </c>
      <c r="C1728" s="4">
        <v>19</v>
      </c>
    </row>
    <row r="1729">
      <c r="A1729" s="5">
        <f>HYPERLINK("https://app-web.statementrec.com/app#appuploadfiles/3a153d0d-2220-4e99-571d-4f9391dc6630","4 WAY PEST CONTROL INC")</f>
      </c>
      <c r="B1729" s="3" t="s">
        <v>146</v>
      </c>
      <c r="C1729" s="4">
        <v>16</v>
      </c>
    </row>
    <row r="1730">
      <c r="A1730" s="5">
        <f>HYPERLINK("https://app-web.statementrec.com/app#appuploadfiles/3a15464f-bbcf-b9fa-6b71-4df4f333f9b8","Chantal Lemay")</f>
      </c>
      <c r="B1730" s="3" t="s">
        <v>47</v>
      </c>
      <c r="C1730" s="4">
        <v>1</v>
      </c>
    </row>
    <row r="1731">
      <c r="A1731" s="5">
        <f>HYPERLINK("https://app-web.statementrec.com/app#appuploadfiles/3a154aa9-0a19-fb63-5dcb-388327f9c05b","Thembelani Glass Specialist")</f>
      </c>
      <c r="B1731" s="3" t="s">
        <v>392</v>
      </c>
      <c r="C1731" s="4">
        <v>6</v>
      </c>
    </row>
    <row r="1732">
      <c r="A1732" s="5">
        <f>HYPERLINK("https://app-web.statementrec.com/app#appuploadfiles/3a1554a1-3a2f-e954-040b-94ce694438d4","MTEC Renewables Ltd")</f>
      </c>
      <c r="B1732" s="3" t="s">
        <v>393</v>
      </c>
      <c r="C1732" s="4">
        <v>42</v>
      </c>
    </row>
    <row r="1733">
      <c r="A1733" s="5">
        <f>HYPERLINK("https://app-web.statementrec.com/app#appuploadfiles/3a1559a7-7431-5013-75e8-7ada4072b201","ICS Print Limited")</f>
      </c>
      <c r="B1733" s="3" t="s">
        <v>123</v>
      </c>
      <c r="C1733" s="4">
        <v>3</v>
      </c>
    </row>
    <row r="1734">
      <c r="A1734" s="5">
        <f>HYPERLINK("https://app-web.statementrec.com/app#appuploadfiles/3a1559b6-d185-f30b-1e9f-6a2a074e912e","Messrs Mark and Wayne Cosheril")</f>
      </c>
      <c r="B1734" s="3" t="s">
        <v>12</v>
      </c>
      <c r="C1734" s="4">
        <v>5</v>
      </c>
    </row>
    <row r="1735">
      <c r="A1735" s="5">
        <f>HYPERLINK("https://app-web.statementrec.com/app#appuploadfiles/3a155c6b-ccb5-23bc-77cc-0c03d588f0db","SS61 Salmon Arm")</f>
      </c>
      <c r="B1735" s="3" t="s">
        <v>394</v>
      </c>
      <c r="C1735" s="4">
        <v>7</v>
      </c>
    </row>
    <row r="1736">
      <c r="A1736" s="5">
        <f>HYPERLINK("https://app-web.statementrec.com/app#appuploadfiles/3a155f14-4be9-65eb-7c93-c53b025cc47e","CHRISTOPHER MULQUEEN")</f>
      </c>
      <c r="B1736" s="3" t="s">
        <v>75</v>
      </c>
      <c r="C1736" s="4">
        <v>19</v>
      </c>
    </row>
    <row r="1737">
      <c r="A1737" s="5">
        <f>HYPERLINK("https://app-web.statementrec.com/app#appuploadfiles/3a1563b9-8d8d-ce00-963e-b4d6924e97c9","NogyMotor")</f>
      </c>
      <c r="B1737" s="3" t="s">
        <v>26</v>
      </c>
      <c r="C1737" s="4">
        <v>2</v>
      </c>
    </row>
    <row r="1738">
      <c r="A1738" s="5">
        <f>HYPERLINK("https://app-web.statementrec.com/app#appuploadfiles/3a15655f-dc27-e088-dac4-eaa1fa055fb7","Wright Environmental Services")</f>
      </c>
      <c r="B1738" s="3" t="s">
        <v>56</v>
      </c>
      <c r="C1738" s="4">
        <v>2</v>
      </c>
    </row>
    <row r="1739">
      <c r="A1739" s="5">
        <f>HYPERLINK("https://app-web.statementrec.com/app#appuploadfiles/3a1565f2-5b81-407f-f3b6-f4ef0c23b608","Glassola")</f>
      </c>
      <c r="B1739" s="3" t="s">
        <v>181</v>
      </c>
      <c r="C1739" s="4">
        <v>4</v>
      </c>
    </row>
    <row r="1740">
      <c r="A1740" s="5">
        <f>HYPERLINK("https://app-web.statementrec.com/app#appuploadfiles/3a1568e3-e61f-f11d-ee1a-221973e1a63e","(BOA) ANDREW JUDGE")</f>
      </c>
      <c r="B1740" s="3" t="s">
        <v>13</v>
      </c>
      <c r="C1740" s="4">
        <v>42</v>
      </c>
    </row>
    <row r="1741">
      <c r="A1741" s="5">
        <f>HYPERLINK("https://app-web.statementrec.com/app#appuploadfiles/3a157ae1-57f0-6ff0-8f7d-74edda318cbc","Affinity")</f>
      </c>
      <c r="B1741" s="3" t="s">
        <v>214</v>
      </c>
      <c r="C1741" s="4">
        <v>2</v>
      </c>
    </row>
    <row r="1742">
      <c r="A1742" s="5">
        <f>HYPERLINK("https://app-web.statementrec.com/app#appuploadfiles/3a158248-ee08-65f9-92e9-40d2bc6ce27b","Bobsy Tyson")</f>
      </c>
      <c r="B1742" s="3" t="s">
        <v>12</v>
      </c>
      <c r="C1742" s="4">
        <v>37</v>
      </c>
    </row>
    <row r="1743">
      <c r="A1743" s="5">
        <f>HYPERLINK("https://app-web.statementrec.com/app#appuploadfiles/3a1583d7-ba8a-034e-a725-c75ff08fea41","Phelan Cloud Accounting Limitd")</f>
      </c>
      <c r="B1743" s="3" t="s">
        <v>251</v>
      </c>
      <c r="C1743" s="4">
        <v>1</v>
      </c>
    </row>
    <row r="1744">
      <c r="A1744" s="5">
        <f>HYPERLINK("https://app-web.statementrec.com/app#appuploadfiles/3a1588b8-712a-92df-025e-19ddcf889a5f","David Sydney Bowen")</f>
      </c>
      <c r="B1744" s="3" t="s">
        <v>17</v>
      </c>
      <c r="C1744" s="4">
        <v>5</v>
      </c>
    </row>
    <row r="1745">
      <c r="A1745" s="5">
        <f>HYPERLINK("https://app-web.statementrec.com/app#appuploadfiles/3a1588ee-fe31-44dc-3e15-d698cf155b96","NE Commercial Lettings Ltd")</f>
      </c>
      <c r="B1745" s="3" t="s">
        <v>123</v>
      </c>
      <c r="C1745" s="4">
        <v>2</v>
      </c>
    </row>
    <row r="1746">
      <c r="A1746" s="5">
        <f>HYPERLINK("https://app-web.statementrec.com/app#appuploadfiles/3a158ba7-6a30-e1a9-06b4-6944b61e025c","GAINSCOUT FREIGHT SERVICES PTY LTD")</f>
      </c>
      <c r="B1746" s="3" t="s">
        <v>118</v>
      </c>
      <c r="C1746" s="4">
        <v>3</v>
      </c>
    </row>
    <row r="1747">
      <c r="A1747" s="5">
        <f>HYPERLINK("https://app-web.statementrec.com/app#appuploadfiles/3a159500-aa20-b9dc-0c0f-64630ae2f413","Elsie Erokwu")</f>
      </c>
      <c r="B1747" s="3" t="s">
        <v>18</v>
      </c>
      <c r="C1747" s="4">
        <v>6</v>
      </c>
    </row>
    <row r="1748">
      <c r="A1748" s="5">
        <f>HYPERLINK("https://app-web.statementrec.com/app#appuploadfiles/3a15a14c-90fa-8d82-bd69-0b2260cc99ff","Badenhorst Nico h/a Ros Beef Boerdery")</f>
      </c>
      <c r="B1748" s="3" t="s">
        <v>118</v>
      </c>
      <c r="C1748" s="4">
        <v>5</v>
      </c>
    </row>
    <row r="1749">
      <c r="A1749" s="5">
        <f>HYPERLINK("https://app-web.statementrec.com/app#appuploadfiles/3a15a199-7e44-dfc9-9538-cfd45c019beb","The Members Yellow Train Trading 27 CC")</f>
      </c>
      <c r="B1749" s="3" t="s">
        <v>395</v>
      </c>
      <c r="C1749" s="4">
        <v>15</v>
      </c>
    </row>
    <row r="1750">
      <c r="A1750" s="5">
        <f>HYPERLINK("https://app-web.statementrec.com/app#appuploadfiles/3a15a2c5-f284-b7da-2e96-3380b062ca3a","Homes's Chinese Takeaway Limited")</f>
      </c>
      <c r="B1750" s="3" t="s">
        <v>12</v>
      </c>
      <c r="C1750" s="4">
        <v>7</v>
      </c>
    </row>
    <row r="1751">
      <c r="A1751" s="5">
        <f>HYPERLINK("https://app-web.statementrec.com/app#appuploadfiles/3a15a6ad-5a8e-7f1c-02a8-fc68844a65a8","CC May 2023 - March 2024")</f>
      </c>
      <c r="B1751" s="3" t="s">
        <v>17</v>
      </c>
      <c r="C1751" s="4">
        <v>27</v>
      </c>
    </row>
    <row r="1752">
      <c r="A1752" s="5">
        <f>HYPERLINK("https://app-web.statementrec.com/app#appuploadfiles/3a15a6f0-e99d-c2b1-4f7a-80f4d12ee6a2","Thomas McKee")</f>
      </c>
      <c r="B1752" s="3" t="s">
        <v>21</v>
      </c>
      <c r="C1752" s="4">
        <v>9</v>
      </c>
    </row>
    <row r="1753">
      <c r="A1753" s="5">
        <f>HYPERLINK("https://app-web.statementrec.com/app#appuploadfiles/3a15a7ed-c516-6ce2-d98d-4a2f76b49595","AJC Developments Limited")</f>
      </c>
      <c r="B1753" s="3" t="s">
        <v>10</v>
      </c>
      <c r="C1753" s="4">
        <v>12</v>
      </c>
    </row>
    <row r="1754">
      <c r="A1754" s="5">
        <f>HYPERLINK("https://app-web.statementrec.com/app#appuploadfiles/3a15a803-f507-0f88-0f73-a49599ae4a23","Freshcold Ltd")</f>
      </c>
      <c r="B1754" s="3" t="s">
        <v>53</v>
      </c>
      <c r="C1754" s="4">
        <v>8</v>
      </c>
    </row>
    <row r="1755">
      <c r="A1755" s="5">
        <f>HYPERLINK("https://app-web.statementrec.com/app#appuploadfiles/3a15a9a3-acb1-2eeb-94bc-d2927ea62680","Uzair Khan")</f>
      </c>
      <c r="B1755" s="3" t="s">
        <v>40</v>
      </c>
      <c r="C1755" s="4">
        <v>20</v>
      </c>
    </row>
    <row r="1756">
      <c r="A1756" s="5">
        <f>HYPERLINK("https://app-web.statementrec.com/app#appuploadfiles/3a15ab86-71d1-2db7-0be5-a3c02d9d508f","Extreme Enegry Solutions (Pty) Ltd")</f>
      </c>
      <c r="B1756" s="3" t="s">
        <v>290</v>
      </c>
      <c r="C1756" s="4">
        <v>60</v>
      </c>
    </row>
    <row r="1757">
      <c r="A1757" s="5">
        <f>HYPERLINK("https://app-web.statementrec.com/app#appuploadfiles/3a15ac00-874d-73c2-dcc5-2ea897d00bd4","Premier Transport")</f>
      </c>
      <c r="B1757" s="3" t="s">
        <v>18</v>
      </c>
      <c r="C1757" s="4">
        <v>12</v>
      </c>
    </row>
    <row r="1758">
      <c r="A1758" s="5">
        <f>HYPERLINK("https://app-web.statementrec.com/app#appuploadfiles/3a15aced-ab2b-db70-9bd7-8f63aa6e087a","RIVERSIDE LEGAL SERVICES LIMITED")</f>
      </c>
      <c r="B1758" s="3" t="s">
        <v>17</v>
      </c>
      <c r="C1758" s="4">
        <v>13</v>
      </c>
    </row>
    <row r="1759">
      <c r="A1759" s="5">
        <f>HYPERLINK("https://app-web.statementrec.com/app#appuploadfiles/3a15ad47-fa00-baef-501a-0f65ee0a2d3a","Stewart Avery Landscape Gardener")</f>
      </c>
      <c r="B1759" s="3" t="s">
        <v>13</v>
      </c>
      <c r="C1759" s="4">
        <v>118</v>
      </c>
    </row>
    <row r="1760">
      <c r="A1760" s="5">
        <f>HYPERLINK("https://app-web.statementrec.com/app#appuploadfiles/3a15bd18-b652-901f-b15f-4a2e3cf329b8","Tinson Construction Ltd")</f>
      </c>
      <c r="B1760" s="3" t="s">
        <v>15</v>
      </c>
      <c r="C1760" s="4">
        <v>28</v>
      </c>
    </row>
    <row r="1761">
      <c r="A1761" s="5">
        <f>HYPERLINK("https://app-web.statementrec.com/app#appuploadfiles/3a15c0ae-35af-4946-d08e-39d2a4975241","PJPB Associates Limited")</f>
      </c>
      <c r="B1761" s="3" t="s">
        <v>16</v>
      </c>
      <c r="C1761" s="4">
        <v>7</v>
      </c>
    </row>
    <row r="1762">
      <c r="A1762" s="5">
        <f>HYPERLINK("https://app-web.statementrec.com/app#appuploadfiles/3a15c0cd-29cd-fd9c-2488-21cefc8448a2","L. Scurfield")</f>
      </c>
      <c r="B1762" s="3" t="s">
        <v>8</v>
      </c>
      <c r="C1762" s="4">
        <v>8</v>
      </c>
    </row>
    <row r="1763">
      <c r="A1763" s="5">
        <f>HYPERLINK("https://app-web.statementrec.com/app#appuploadfiles/3a15c6ad-fdb0-e829-7fbf-bbc674486e0f","Eldonpine Ltd")</f>
      </c>
      <c r="B1763" s="3" t="s">
        <v>13</v>
      </c>
      <c r="C1763" s="4">
        <v>3</v>
      </c>
    </row>
    <row r="1764">
      <c r="A1764" s="5">
        <f>HYPERLINK("https://app-web.statementrec.com/app#appuploadfiles/3a15c6f7-628b-f618-66f8-e2dfc4fd12cb","Robinsons Estate Agents Ltd")</f>
      </c>
      <c r="B1764" s="3" t="s">
        <v>17</v>
      </c>
      <c r="C1764" s="4">
        <v>5</v>
      </c>
    </row>
    <row r="1765">
      <c r="A1765" s="5">
        <f>HYPERLINK("https://app-web.statementrec.com/app#appuploadfiles/3a15c7c2-5d11-80bf-62eb-544df86f0128","Solid Rock Crushing")</f>
      </c>
      <c r="B1765" s="3" t="s">
        <v>396</v>
      </c>
      <c r="C1765" s="4">
        <v>9</v>
      </c>
    </row>
    <row r="1766">
      <c r="A1766" s="5">
        <f>HYPERLINK("https://app-web.statementrec.com/app#appuploadfiles/3a15d4c7-118b-b68d-0479-b73a5cdcbfc4","THAMES NEWS SERVICES LIMITED")</f>
      </c>
      <c r="B1766" s="3" t="s">
        <v>40</v>
      </c>
      <c r="C1766" s="4">
        <v>5</v>
      </c>
    </row>
    <row r="1767">
      <c r="A1767" s="5">
        <f>HYPERLINK("https://app-web.statementrec.com/app#appuploadfiles/3a15d603-dd86-1da8-767b-00beb7f7142e","Amber &amp; Co (Mgmt) Ltd")</f>
      </c>
      <c r="B1767" s="3" t="s">
        <v>141</v>
      </c>
      <c r="C1767" s="4">
        <v>76</v>
      </c>
    </row>
    <row r="1768">
      <c r="A1768" s="5">
        <f>HYPERLINK("https://app-web.statementrec.com/app#appuploadfiles/3a15dd5c-1282-616b-0e81-6cad0866b660","CORPORATION OBUBE INC.")</f>
      </c>
      <c r="B1768" s="3" t="s">
        <v>40</v>
      </c>
      <c r="C1768" s="4">
        <v>36</v>
      </c>
    </row>
    <row r="1769">
      <c r="A1769" s="5">
        <f>HYPERLINK("https://app-web.statementrec.com/app#appuploadfiles/3a15dea6-9333-3b3e-c660-8f9370e03ef9","Earths Innovations")</f>
      </c>
      <c r="B1769" s="3" t="s">
        <v>397</v>
      </c>
      <c r="C1769" s="4">
        <v>34</v>
      </c>
    </row>
    <row r="1770">
      <c r="A1770" s="5">
        <f>HYPERLINK("https://app-web.statementrec.com/app#appuploadfiles/3a15e510-7562-78c7-0591-3362c3d8c0cd","Eamon Duggan")</f>
      </c>
      <c r="B1770" s="3" t="s">
        <v>75</v>
      </c>
      <c r="C1770" s="4">
        <v>37</v>
      </c>
    </row>
    <row r="1771">
      <c r="A1771" s="5">
        <f>HYPERLINK("https://app-web.statementrec.com/app#appuploadfiles/3a15e53c-5eb6-0437-78c5-7ce7bc925fd8","Waggs and Whiskers")</f>
      </c>
      <c r="B1771" s="3" t="s">
        <v>17</v>
      </c>
      <c r="C1771" s="4">
        <v>4</v>
      </c>
    </row>
    <row r="1772">
      <c r="A1772" s="5">
        <f>HYPERLINK("https://app-web.statementrec.com/app#appuploadfiles/3a15e583-0aee-9130-aef4-0ab005069b0a","PD Spares (Pty) Ltd")</f>
      </c>
      <c r="B1772" s="3" t="s">
        <v>80</v>
      </c>
      <c r="C1772" s="4">
        <v>3</v>
      </c>
    </row>
    <row r="1773">
      <c r="A1773" s="5">
        <f>HYPERLINK("https://app-web.statementrec.com/app#appuploadfiles/3a15e59f-9641-bc83-a909-f04815d0b761","Peter Burgess")</f>
      </c>
      <c r="B1773" s="3" t="s">
        <v>17</v>
      </c>
      <c r="C1773" s="4">
        <v>6</v>
      </c>
    </row>
    <row r="1774">
      <c r="A1774" s="5">
        <f>HYPERLINK("https://app-web.statementrec.com/app#appuploadfiles/3a15e9dc-0114-ae6e-4a5d-f269fef4464a","Tilley Roofing (Holdings) Ltd")</f>
      </c>
      <c r="B1774" s="3" t="s">
        <v>81</v>
      </c>
      <c r="C1774" s="4">
        <v>9</v>
      </c>
    </row>
    <row r="1775">
      <c r="A1775" s="5">
        <f>HYPERLINK("https://app-web.statementrec.com/app#appuploadfiles/3a15ea7a-3c16-d5ea-c156-cac527ff0f05","Freebird Carpentry")</f>
      </c>
      <c r="B1775" s="3" t="s">
        <v>398</v>
      </c>
      <c r="C1775" s="4">
        <v>21</v>
      </c>
    </row>
    <row r="1776">
      <c r="A1776" s="5">
        <f>HYPERLINK("https://app-web.statementrec.com/app#appuploadfiles/3a15eea8-f382-5734-41b9-6faf10474306","Betchton Limited")</f>
      </c>
      <c r="B1776" s="3" t="s">
        <v>3</v>
      </c>
      <c r="C1776" s="4">
        <v>36</v>
      </c>
    </row>
    <row r="1777">
      <c r="A1777" s="5">
        <f>HYPERLINK("https://app-web.statementrec.com/app#appuploadfiles/3a15ef5f-cb51-2cfd-97ce-7e3488e3271b","XFusion Limited")</f>
      </c>
      <c r="B1777" s="3" t="s">
        <v>18</v>
      </c>
      <c r="C1777" s="4">
        <v>4</v>
      </c>
    </row>
    <row r="1778">
      <c r="A1778" s="5">
        <f>HYPERLINK("https://app-web.statementrec.com/app#appuploadfiles/3a15f43b-ca19-a6c0-7a4a-ae33dce4385a","Gerardo Lincs")</f>
      </c>
      <c r="B1778" s="3" t="s">
        <v>12</v>
      </c>
      <c r="C1778" s="4">
        <v>9</v>
      </c>
    </row>
    <row r="1779">
      <c r="A1779" s="5">
        <f>HYPERLINK("https://app-web.statementrec.com/app#appuploadfiles/3a15f951-2ceb-86c5-5b50-8b0024d91ea7","Minkels UK Limited")</f>
      </c>
      <c r="B1779" s="3" t="s">
        <v>399</v>
      </c>
      <c r="C1779" s="4">
        <v>21</v>
      </c>
    </row>
    <row r="1780">
      <c r="A1780" s="5">
        <f>HYPERLINK("https://app-web.statementrec.com/app#appuploadfiles/3a15fa90-386a-699b-8fc0-2a1c7b804ef3","POR04 - Port of Call")</f>
      </c>
      <c r="B1780" s="3" t="s">
        <v>84</v>
      </c>
      <c r="C1780" s="4">
        <v>5</v>
      </c>
    </row>
    <row r="1781">
      <c r="A1781" s="5">
        <f>HYPERLINK("https://app-web.statementrec.com/app#appuploadfiles/3a160475-6c21-ec80-08e4-dd992219b4d8","R0030 Ren et Voigt Ltd")</f>
      </c>
      <c r="B1781" s="3" t="s">
        <v>47</v>
      </c>
      <c r="C1781" s="4">
        <v>12</v>
      </c>
    </row>
    <row r="1782">
      <c r="A1782" s="5">
        <f>HYPERLINK("https://app-web.statementrec.com/app#appuploadfiles/3a1608cd-73f0-85a3-916c-744d6379dcb4","Aimee Marie Hair &amp; Beauty Ltd")</f>
      </c>
      <c r="B1782" s="3" t="s">
        <v>70</v>
      </c>
      <c r="C1782" s="4">
        <v>9</v>
      </c>
    </row>
    <row r="1783">
      <c r="A1783" s="5">
        <f>HYPERLINK("https://app-web.statementrec.com/app#appuploadfiles/3a160a0c-eb69-3117-048b-5ebb8add4637","Bank Conversion Company")</f>
      </c>
      <c r="B1783" s="3" t="s">
        <v>11</v>
      </c>
      <c r="C1783" s="4">
        <v>3</v>
      </c>
    </row>
    <row r="1784">
      <c r="A1784" s="5">
        <f>HYPERLINK("https://app-web.statementrec.com/app#appuploadfiles/3a160ecd-be01-3990-7846-aea2e6805e40","Tomos Williams Wheldon Joinery")</f>
      </c>
      <c r="B1784" s="3" t="s">
        <v>18</v>
      </c>
      <c r="C1784" s="4">
        <v>21</v>
      </c>
    </row>
    <row r="1785">
      <c r="A1785" s="5">
        <f>HYPERLINK("https://app-web.statementrec.com/app#appuploadfiles/3a160edd-d9d8-0dde-3164-61163e05b27e","X10 Ltd")</f>
      </c>
      <c r="B1785" s="3" t="s">
        <v>295</v>
      </c>
      <c r="C1785" s="4">
        <v>1</v>
      </c>
    </row>
    <row r="1786">
      <c r="A1786" s="5">
        <f>HYPERLINK("https://app-web.statementrec.com/app#appuploadfiles/3a160f65-4373-d467-fcc3-4fab731e2e11","Bayajula services")</f>
      </c>
      <c r="B1786" s="3" t="s">
        <v>80</v>
      </c>
      <c r="C1786" s="4">
        <v>4</v>
      </c>
    </row>
    <row r="1787">
      <c r="A1787" s="5">
        <f>HYPERLINK("https://app-web.statementrec.com/app#appuploadfiles/3a160f6f-58bb-a32a-6e5b-4179f4d0250d","Dummy")</f>
      </c>
      <c r="B1787" s="3" t="s">
        <v>18</v>
      </c>
      <c r="C1787" s="4">
        <v>49</v>
      </c>
    </row>
    <row r="1788">
      <c r="A1788" s="5">
        <f>HYPERLINK("https://app-web.statementrec.com/app#appuploadfiles/3a160fc4-d87a-6c3e-4e1d-cec9e1207c5e","Protaea Corporation")</f>
      </c>
      <c r="B1788" s="3" t="s">
        <v>15</v>
      </c>
      <c r="C1788" s="4">
        <v>56</v>
      </c>
    </row>
    <row r="1789">
      <c r="A1789" s="5">
        <f>HYPERLINK("https://app-web.statementrec.com/app#appuploadfiles/3a161501-8a5c-01a1-6ea8-ece3d97e3366","Charles Real Estate")</f>
      </c>
      <c r="B1789" s="3" t="s">
        <v>15</v>
      </c>
      <c r="C1789" s="4">
        <v>6</v>
      </c>
    </row>
    <row r="1790">
      <c r="A1790" s="5">
        <f>HYPERLINK("https://app-web.statementrec.com/app#appuploadfiles/3a162aab-278b-516f-b123-d45a77673fe9","JAG EXPERTISES")</f>
      </c>
      <c r="B1790" s="3" t="s">
        <v>158</v>
      </c>
      <c r="C1790" s="4">
        <v>20</v>
      </c>
    </row>
    <row r="1791">
      <c r="A1791" s="5">
        <f>HYPERLINK("https://app-web.statementrec.com/app#appuploadfiles/3a162cd3-13b1-dd94-bf5f-b80eca99ce7e","AN-COC0006 RW&amp;J Cochrane &amp; Sons Ltd")</f>
      </c>
      <c r="B1791" s="3" t="s">
        <v>400</v>
      </c>
      <c r="C1791" s="4">
        <v>4</v>
      </c>
    </row>
    <row r="1792">
      <c r="A1792" s="5">
        <f>HYPERLINK("https://app-web.statementrec.com/app#appuploadfiles/3a162f59-34fe-065a-328a-db6f107afb9f","Haruko PTE")</f>
      </c>
      <c r="B1792" s="3" t="s">
        <v>401</v>
      </c>
      <c r="C1792" s="4">
        <v>27</v>
      </c>
    </row>
    <row r="1793">
      <c r="A1793" s="5">
        <f>HYPERLINK("https://app-web.statementrec.com/app#appuploadfiles/3a1632d6-658c-3191-65e4-c3e75dd33e78","WI-RAW0001 - R A Wise &amp; Sons")</f>
      </c>
      <c r="B1793" s="3" t="s">
        <v>24</v>
      </c>
      <c r="C1793" s="4">
        <v>15</v>
      </c>
    </row>
    <row r="1794">
      <c r="A1794" s="5">
        <f>HYPERLINK("https://app-web.statementrec.com/app#appuploadfiles/3a163301-da43-037a-fa4a-71129bd186dc","Win Yee Limited")</f>
      </c>
      <c r="B1794" s="3" t="s">
        <v>16</v>
      </c>
      <c r="C1794" s="4">
        <v>4</v>
      </c>
    </row>
    <row r="1795">
      <c r="A1795" s="5">
        <f>HYPERLINK("https://app-web.statementrec.com/app#appuploadfiles/3a16379b-1c30-52d8-88e3-5118f158e56b","Juliet Blanch")</f>
      </c>
      <c r="B1795" s="3" t="s">
        <v>402</v>
      </c>
      <c r="C1795" s="4">
        <v>91</v>
      </c>
    </row>
    <row r="1796">
      <c r="A1796" s="5">
        <f>HYPERLINK("https://app-web.statementrec.com/app#appuploadfiles/3a1637f7-2384-73f3-4c73-f770ff359c85","MO015 - Morgy's Bar Ltd")</f>
      </c>
      <c r="B1796" s="3" t="s">
        <v>168</v>
      </c>
      <c r="C1796" s="4">
        <v>36</v>
      </c>
    </row>
    <row r="1797">
      <c r="A1797" s="5">
        <f>HYPERLINK("https://app-web.statementrec.com/app#appuploadfiles/3a163b80-450d-1ee7-9fda-8f31e74bea15","Vine-Yl Ltd")</f>
      </c>
      <c r="B1797" s="3" t="s">
        <v>403</v>
      </c>
      <c r="C1797" s="4">
        <v>4</v>
      </c>
    </row>
    <row r="1798">
      <c r="A1798" s="5">
        <f>HYPERLINK("https://app-web.statementrec.com/app#appuploadfiles/3a163c96-b615-2edd-0db9-344204f7d86f","Gill")</f>
      </c>
      <c r="B1798" s="3" t="s">
        <v>153</v>
      </c>
      <c r="C1798" s="4">
        <v>62</v>
      </c>
    </row>
    <row r="1799">
      <c r="A1799" s="5">
        <f>HYPERLINK("https://app-web.statementrec.com/app#appuploadfiles/3a163c9b-42a9-96d6-9f13-2143150ee931","Re:Source")</f>
      </c>
      <c r="B1799" s="3" t="s">
        <v>8</v>
      </c>
      <c r="C1799" s="4">
        <v>1</v>
      </c>
    </row>
    <row r="1800">
      <c r="A1800" s="5">
        <f>HYPERLINK("https://app-web.statementrec.com/app#appuploadfiles/3a163d71-ff52-9998-800a-2feee318b6ed","Carmichael Fisher (US) Limited")</f>
      </c>
      <c r="B1800" s="3" t="s">
        <v>404</v>
      </c>
      <c r="C1800" s="4">
        <v>3</v>
      </c>
    </row>
    <row r="1801">
      <c r="A1801" s="5">
        <f>HYPERLINK("https://app-web.statementrec.com/app#appuploadfiles/3a164324-914b-aeee-13c0-86f6f88ed9cc","Blue Haven Capital")</f>
      </c>
      <c r="B1801" s="3" t="s">
        <v>405</v>
      </c>
      <c r="C1801" s="4">
        <v>6</v>
      </c>
    </row>
    <row r="1802">
      <c r="A1802" s="5">
        <f>HYPERLINK("https://app-web.statementrec.com/app#appuploadfiles/3a164419-537e-da86-aa01-cdc66cfa3782","MOSINA'S CORP")</f>
      </c>
      <c r="B1802" s="3" t="s">
        <v>326</v>
      </c>
      <c r="C1802" s="4">
        <v>23</v>
      </c>
    </row>
    <row r="1803">
      <c r="A1803" s="5">
        <f>HYPERLINK("https://app-web.statementrec.com/app#appuploadfiles/3a165097-296d-5654-1efc-583a46ae57c3","Y A H Elmassry")</f>
      </c>
      <c r="B1803" s="3" t="s">
        <v>17</v>
      </c>
      <c r="C1803" s="4">
        <v>37</v>
      </c>
    </row>
    <row r="1804">
      <c r="A1804" s="5">
        <f>HYPERLINK("https://app-web.statementrec.com/app#appuploadfiles/3a1651b1-34db-f137-ab50-faf5f81af628","Castle Developmenta (Lisburn) Ltd")</f>
      </c>
      <c r="B1804" s="3" t="s">
        <v>21</v>
      </c>
      <c r="C1804" s="4">
        <v>3</v>
      </c>
    </row>
    <row r="1805">
      <c r="A1805" s="5">
        <f>HYPERLINK("https://app-web.statementrec.com/app#appuploadfiles/3a1652c8-435c-32e8-a88d-6808c54d4027","JIMENEZ MR DISCOUNT 5 LLC")</f>
      </c>
      <c r="B1805" s="3" t="s">
        <v>124</v>
      </c>
      <c r="C1805" s="4">
        <v>9</v>
      </c>
    </row>
    <row r="1806">
      <c r="A1806" s="5">
        <f>HYPERLINK("https://app-web.statementrec.com/app#appuploadfiles/3a1652fd-460c-b786-37f4-0f583c8f7d0e","Production Well")</f>
      </c>
      <c r="B1806" s="3" t="s">
        <v>60</v>
      </c>
      <c r="C1806" s="4">
        <v>4</v>
      </c>
    </row>
    <row r="1807">
      <c r="A1807" s="5">
        <f>HYPERLINK("https://app-web.statementrec.com/app#appuploadfiles/3a1656ad-ffcd-2d0b-21fd-8b9697185ca9","F043-Forever Handyman Services")</f>
      </c>
      <c r="B1807" s="3" t="s">
        <v>406</v>
      </c>
      <c r="C1807" s="4">
        <v>3</v>
      </c>
    </row>
    <row r="1808">
      <c r="A1808" s="5">
        <f>HYPERLINK("https://app-web.statementrec.com/app#appuploadfiles/3a165855-3d45-d5df-d4bf-e1e604439304","PRESTON MARINE, S. A.")</f>
      </c>
      <c r="B1808" s="3" t="s">
        <v>407</v>
      </c>
      <c r="C1808" s="4">
        <v>165</v>
      </c>
    </row>
    <row r="1809">
      <c r="A1809" s="5">
        <f>HYPERLINK("https://app-web.statementrec.com/app#appuploadfiles/3a165a87-030d-0f5c-dbdb-399b863cc532","Blue Sky")</f>
      </c>
      <c r="B1809" s="3" t="s">
        <v>120</v>
      </c>
      <c r="C1809" s="4">
        <v>4</v>
      </c>
    </row>
    <row r="1810">
      <c r="A1810" s="5">
        <f>HYPERLINK("https://app-web.statementrec.com/app#appuploadfiles/3a165afb-9587-b763-9857-5792eb066aec","datafan")</f>
      </c>
      <c r="B1810" s="3" t="s">
        <v>11</v>
      </c>
      <c r="C1810" s="4">
        <v>9</v>
      </c>
    </row>
    <row r="1811">
      <c r="A1811" s="5">
        <f>HYPERLINK("https://app-web.statementrec.com/app#appuploadfiles/3a165b10-1e47-4e4f-bbe2-ba26818ace4c","GNG Credit Ltd")</f>
      </c>
      <c r="B1811" s="3" t="s">
        <v>21</v>
      </c>
      <c r="C1811" s="4">
        <v>23</v>
      </c>
    </row>
    <row r="1812">
      <c r="A1812" s="5">
        <f>HYPERLINK("https://app-web.statementrec.com/app#appuploadfiles/3a165c2a-698b-a5dc-df3b-fc400d2c4df4","Colm Corrigan Builders")</f>
      </c>
      <c r="B1812" s="3" t="s">
        <v>10</v>
      </c>
      <c r="C1812" s="4">
        <v>11</v>
      </c>
    </row>
    <row r="1813">
      <c r="A1813" s="5">
        <f>HYPERLINK("https://app-web.statementrec.com/app#appuploadfiles/3a165c88-179f-0a47-1473-e96819d6b54a","W I Xue Ltd")</f>
      </c>
      <c r="B1813" s="3" t="s">
        <v>15</v>
      </c>
      <c r="C1813" s="4">
        <v>3</v>
      </c>
    </row>
    <row r="1814">
      <c r="A1814" s="5">
        <f>HYPERLINK("https://app-web.statementrec.com/app#appuploadfiles/3a16608f-8fae-7503-3c83-f0048882a253","Tabscot Ltd")</f>
      </c>
      <c r="B1814" s="3" t="s">
        <v>408</v>
      </c>
      <c r="C1814" s="4">
        <v>12</v>
      </c>
    </row>
    <row r="1815">
      <c r="A1815" s="5">
        <f>HYPERLINK("https://app-web.statementrec.com/app#appuploadfiles/3a1666aa-3ba0-61bf-de57-7bfe3e9df6b6","Herbase ltd")</f>
      </c>
      <c r="B1815" s="3" t="s">
        <v>356</v>
      </c>
      <c r="C1815" s="4">
        <v>34</v>
      </c>
    </row>
    <row r="1816">
      <c r="A1816" s="5">
        <f>HYPERLINK("https://app-web.statementrec.com/app#appuploadfiles/3a1673ad-1326-7656-8ca9-69302f03d4a6","Bundacree Valley Pty Ltd")</f>
      </c>
      <c r="B1816" s="3" t="s">
        <v>40</v>
      </c>
      <c r="C1816" s="4">
        <v>10</v>
      </c>
    </row>
    <row r="1817">
      <c r="A1817" s="5">
        <f>HYPERLINK("https://app-web.statementrec.com/app#appuploadfiles/3a167617-cd0c-8ba7-ebfd-b14fcfbfb02b","Ed Clancy Limited")</f>
      </c>
      <c r="B1817" s="3" t="s">
        <v>81</v>
      </c>
      <c r="C1817" s="4">
        <v>5</v>
      </c>
    </row>
    <row r="1818">
      <c r="A1818" s="5">
        <f>HYPERLINK("https://app-web.statementrec.com/app#appuploadfiles/3a167a9f-b32c-aedd-2cc1-dfb02e0adc11","ELB Bloodstock")</f>
      </c>
      <c r="B1818" s="3" t="s">
        <v>409</v>
      </c>
      <c r="C1818" s="4">
        <v>17</v>
      </c>
    </row>
    <row r="1819">
      <c r="A1819" s="5">
        <f>HYPERLINK("https://app-web.statementrec.com/app#appuploadfiles/3a167ade-fe7d-5be4-e7a5-b39b4167d308","Kelly Markley")</f>
      </c>
      <c r="B1819" s="3" t="s">
        <v>26</v>
      </c>
      <c r="C1819" s="4">
        <v>36</v>
      </c>
    </row>
    <row r="1820">
      <c r="A1820" s="5">
        <f>HYPERLINK("https://app-web.statementrec.com/app#appuploadfiles/3a167b37-8bdf-94e9-a76b-363eec372d26","Socal Services")</f>
      </c>
      <c r="B1820" s="3" t="s">
        <v>80</v>
      </c>
      <c r="C1820" s="4">
        <v>5</v>
      </c>
    </row>
    <row r="1821">
      <c r="A1821" s="5">
        <f>HYPERLINK("https://app-web.statementrec.com/app#appuploadfiles/3a167c26-1b48-4142-70c5-770bb5a0a8af","Rick's Trenching")</f>
      </c>
      <c r="B1821" s="3" t="s">
        <v>158</v>
      </c>
      <c r="C1821" s="4">
        <v>3</v>
      </c>
    </row>
    <row r="1822">
      <c r="A1822" s="5">
        <f>HYPERLINK("https://app-web.statementrec.com/app#appuploadfiles/3a167c3c-c68f-1927-131c-4738b5bcfd6a","Breakaway Towing")</f>
      </c>
      <c r="B1822" s="3" t="s">
        <v>47</v>
      </c>
      <c r="C1822" s="4">
        <v>16</v>
      </c>
    </row>
    <row r="1823">
      <c r="A1823" s="5">
        <f>HYPERLINK("https://app-web.statementrec.com/app#appuploadfiles/3a168538-5f08-6e7b-6d4c-de74c3f2929b","ok transport heysham")</f>
      </c>
      <c r="B1823" s="3" t="s">
        <v>17</v>
      </c>
      <c r="C1823" s="4">
        <v>19</v>
      </c>
    </row>
    <row r="1824">
      <c r="A1824" s="5">
        <f>HYPERLINK("https://app-web.statementrec.com/app#appuploadfiles/3a168ad5-e2bf-34a6-3b2c-63d17a6710f3","Reliable Records")</f>
      </c>
      <c r="B1824" s="3" t="s">
        <v>84</v>
      </c>
      <c r="C1824" s="4">
        <v>3</v>
      </c>
    </row>
    <row r="1825">
      <c r="A1825" s="5">
        <f>HYPERLINK("https://app-web.statementrec.com/app#appuploadfiles/3a16902c-5110-bd59-abc8-134d0a0499ac","Wok Tasty")</f>
      </c>
      <c r="B1825" s="3" t="s">
        <v>410</v>
      </c>
      <c r="C1825" s="4">
        <v>20</v>
      </c>
    </row>
    <row r="1826">
      <c r="A1826" s="5">
        <f>HYPERLINK("https://app-web.statementrec.com/app#appuploadfiles/3a1698ee-c440-6a0a-3f1a-0ad617085bc4","Virginia Oliver")</f>
      </c>
      <c r="B1826" s="3" t="s">
        <v>370</v>
      </c>
      <c r="C1826" s="4">
        <v>8</v>
      </c>
    </row>
    <row r="1827">
      <c r="A1827" s="5">
        <f>HYPERLINK("https://app-web.statementrec.com/app#appuploadfiles/3a169e53-b5a6-b3bd-7f42-e10e3ec028b8","Tommy Tully")</f>
      </c>
      <c r="B1827" s="3" t="s">
        <v>75</v>
      </c>
      <c r="C1827" s="4">
        <v>8</v>
      </c>
    </row>
    <row r="1828">
      <c r="A1828" s="5">
        <f>HYPERLINK("https://app-web.statementrec.com/app#appuploadfiles/3a169eca-7104-1e43-f9cb-959dfd9e80ae","Acute Pest")</f>
      </c>
      <c r="B1828" s="3" t="s">
        <v>411</v>
      </c>
      <c r="C1828" s="4">
        <v>22</v>
      </c>
    </row>
    <row r="1829">
      <c r="A1829" s="5">
        <f>HYPERLINK("https://app-web.statementrec.com/app#appuploadfiles/3a169ef9-a432-b625-dc82-ce9d285a560f","Lorenzo Realty LLC")</f>
      </c>
      <c r="B1829" s="3" t="s">
        <v>412</v>
      </c>
      <c r="C1829" s="4">
        <v>22</v>
      </c>
    </row>
    <row r="1830">
      <c r="A1830" s="5">
        <f>HYPERLINK("https://app-web.statementrec.com/app#appuploadfiles/3a169fff-274a-9d60-dc70-3a43654cc56d","White Board Investments LLC")</f>
      </c>
      <c r="B1830" s="3" t="s">
        <v>412</v>
      </c>
      <c r="C1830" s="4">
        <v>14</v>
      </c>
    </row>
    <row r="1831">
      <c r="A1831" s="5">
        <f>HYPERLINK("https://app-web.statementrec.com/app#appuploadfiles/3a16a0d3-7a6c-020c-4fd8-9ecc80c60dad","Palistory Inc")</f>
      </c>
      <c r="B1831" s="3" t="s">
        <v>413</v>
      </c>
      <c r="C1831" s="4">
        <v>34</v>
      </c>
    </row>
    <row r="1832">
      <c r="A1832" s="5">
        <f>HYPERLINK("https://app-web.statementrec.com/app#appuploadfiles/3a16a173-1276-6e45-e1c5-c26ce0b7b27b","Jack McMullen (Sole Trade)")</f>
      </c>
      <c r="B1832" s="3" t="s">
        <v>19</v>
      </c>
      <c r="C1832" s="4">
        <v>12</v>
      </c>
    </row>
    <row r="1833">
      <c r="A1833" s="5">
        <f>HYPERLINK("https://app-web.statementrec.com/app#appuploadfiles/3a16a399-fc48-edc3-a6e8-65f6d5f80522","My Haven Sauna")</f>
      </c>
      <c r="B1833" s="3" t="s">
        <v>11</v>
      </c>
      <c r="C1833" s="4">
        <v>7</v>
      </c>
    </row>
    <row r="1834">
      <c r="A1834" s="5">
        <f>HYPERLINK("https://app-web.statementrec.com/app#appuploadfiles/3a16a3f9-0b93-209a-44d6-b98836b2965d","Heatherlea Fine Foods")</f>
      </c>
      <c r="B1834" s="3" t="s">
        <v>3</v>
      </c>
      <c r="C1834" s="4">
        <v>17</v>
      </c>
    </row>
    <row r="1835">
      <c r="A1835" s="5">
        <f>HYPERLINK("https://app-web.statementrec.com/app#appuploadfiles/3a16a457-6415-3b46-7890-27b7eaf9bd30","Clapham Road Studios")</f>
      </c>
      <c r="B1835" s="3" t="s">
        <v>414</v>
      </c>
      <c r="C1835" s="4">
        <v>9</v>
      </c>
    </row>
    <row r="1836">
      <c r="A1836" s="5">
        <f>HYPERLINK("https://app-web.statementrec.com/app#appuploadfiles/3a16a8d0-fd66-4e6f-74a0-b23a951e557e","Keira Dulake")</f>
      </c>
      <c r="B1836" s="3" t="s">
        <v>40</v>
      </c>
      <c r="C1836" s="4">
        <v>1</v>
      </c>
    </row>
    <row r="1837">
      <c r="A1837" s="5">
        <f>HYPERLINK("https://app-web.statementrec.com/app#appuploadfiles/3a16a8d6-09ec-2c72-32e7-84787f78cddd","Gillian Ainsley")</f>
      </c>
      <c r="B1837" s="3" t="s">
        <v>415</v>
      </c>
      <c r="C1837" s="4">
        <v>6</v>
      </c>
    </row>
    <row r="1838">
      <c r="A1838" s="5">
        <f>HYPERLINK("https://app-web.statementrec.com/app#appuploadfiles/3a16a98d-eedf-f372-a355-7c363da499a9","SAFFRON ARTISANS STUDIOS LTD")</f>
      </c>
      <c r="B1838" s="3" t="s">
        <v>15</v>
      </c>
      <c r="C1838" s="4">
        <v>4</v>
      </c>
    </row>
    <row r="1839">
      <c r="A1839" s="5">
        <f>HYPERLINK("https://app-web.statementrec.com/app#appuploadfiles/3a16a9da-cdfc-317b-6561-6a0be8b7553b","Current Account May 2023 - March 2024")</f>
      </c>
      <c r="B1839" s="3" t="s">
        <v>15</v>
      </c>
      <c r="C1839" s="4">
        <v>3</v>
      </c>
    </row>
    <row r="1840">
      <c r="A1840" s="5">
        <f>HYPERLINK("https://app-web.statementrec.com/app#appuploadfiles/3a16b2c5-f190-092e-f6e8-01111574252e","Mark Henry Ross")</f>
      </c>
      <c r="B1840" s="3" t="s">
        <v>13</v>
      </c>
      <c r="C1840" s="4">
        <v>6</v>
      </c>
    </row>
    <row r="1841">
      <c r="A1841" s="5">
        <f>HYPERLINK("https://app-web.statementrec.com/app#appuploadfiles/3a16bfbb-a0a2-3caa-8ae9-a62aef1c44ea","PEAK PLUMBING SOLUTIONS LLC")</f>
      </c>
      <c r="B1841" s="3" t="s">
        <v>58</v>
      </c>
      <c r="C1841" s="4">
        <v>16</v>
      </c>
    </row>
    <row r="1842">
      <c r="A1842" s="5">
        <f>HYPERLINK("https://app-web.statementrec.com/app#appuploadfiles/3a16c1ec-229d-8503-e6fd-95a34465b319","Produce Inspectors of Europe UK Limited")</f>
      </c>
      <c r="B1842" s="3" t="s">
        <v>17</v>
      </c>
      <c r="C1842" s="4">
        <v>4</v>
      </c>
    </row>
    <row r="1843">
      <c r="A1843" s="5">
        <f>HYPERLINK("https://app-web.statementrec.com/app#appuploadfiles/3a16c217-903d-cef4-344b-bbf5f2878ce1","Nuway CapitalLtd")</f>
      </c>
      <c r="B1843" s="3" t="s">
        <v>416</v>
      </c>
      <c r="C1843" s="4">
        <v>18</v>
      </c>
    </row>
    <row r="1844">
      <c r="A1844" s="5">
        <f>HYPERLINK("https://app-web.statementrec.com/app#appuploadfiles/3a16c7cf-3b52-ce55-952e-0cad13fd94c2","erova")</f>
      </c>
      <c r="B1844" s="3" t="s">
        <v>18</v>
      </c>
      <c r="C1844" s="4">
        <v>2</v>
      </c>
    </row>
    <row r="1845">
      <c r="A1845" s="5">
        <f>HYPERLINK("https://app-web.statementrec.com/app#appuploadfiles/3a16c804-1149-4ba4-a361-5fa8aeeb988a","EURO STANDARD PLUMBING LTD")</f>
      </c>
      <c r="B1845" s="3" t="s">
        <v>15</v>
      </c>
      <c r="C1845" s="4">
        <v>3</v>
      </c>
    </row>
    <row r="1846">
      <c r="A1846" s="5">
        <f>HYPERLINK("https://app-web.statementrec.com/app#appuploadfiles/3a16c931-56ae-ac43-8ce9-0c1ebcc6b9ee","Liberati and Associates, Inc")</f>
      </c>
      <c r="B1846" s="3" t="s">
        <v>351</v>
      </c>
      <c r="C1846" s="4">
        <v>15</v>
      </c>
    </row>
    <row r="1847">
      <c r="A1847" s="5">
        <f>HYPERLINK("https://app-web.statementrec.com/app#appuploadfiles/3a16cca4-147e-b1f9-56b7-e81eb5726652","Caddy Mann")</f>
      </c>
      <c r="B1847" s="3" t="s">
        <v>190</v>
      </c>
      <c r="C1847" s="4">
        <v>6</v>
      </c>
    </row>
    <row r="1848">
      <c r="A1848" s="5">
        <f>HYPERLINK("https://app-web.statementrec.com/app#appuploadfiles/3a16cd89-1e5c-1788-d598-017ffebf7b8c","LUKASZ SZLUFIX")</f>
      </c>
      <c r="B1848" s="3" t="s">
        <v>417</v>
      </c>
      <c r="C1848" s="4">
        <v>222</v>
      </c>
    </row>
    <row r="1849">
      <c r="A1849" s="5">
        <f>HYPERLINK("https://app-web.statementrec.com/app#appuploadfiles/3a16d2e1-b8e9-3545-3155-8e50f0bbfe52","TRES JOLIE LIMITED")</f>
      </c>
      <c r="B1849" s="3" t="s">
        <v>70</v>
      </c>
      <c r="C1849" s="4">
        <v>90</v>
      </c>
    </row>
    <row r="1850">
      <c r="A1850" s="5">
        <f>HYPERLINK("https://app-web.statementrec.com/app#appuploadfiles/3a16d728-bc36-c04e-e755-d98739bbd878","Advance MediSpa Limited")</f>
      </c>
      <c r="B1850" s="3" t="s">
        <v>418</v>
      </c>
      <c r="C1850" s="4">
        <v>5</v>
      </c>
    </row>
    <row r="1851">
      <c r="A1851" s="5">
        <f>HYPERLINK("https://app-web.statementrec.com/app#appuploadfiles/3a16e1e8-cc79-a3dc-a49d-6926b85e3183","MASTERS OUTDOOR LEISURE LIMITED")</f>
      </c>
      <c r="B1851" s="3" t="s">
        <v>17</v>
      </c>
      <c r="C1851" s="4">
        <v>22</v>
      </c>
    </row>
    <row r="1852">
      <c r="A1852" s="5">
        <f>HYPERLINK("https://app-web.statementrec.com/app#appuploadfiles/3a16e76a-5099-8bc0-81eb-10cb4b9c1618","AD2LYNX LTD")</f>
      </c>
      <c r="B1852" s="3" t="s">
        <v>419</v>
      </c>
      <c r="C1852" s="4">
        <v>11</v>
      </c>
    </row>
    <row r="1853">
      <c r="A1853" s="5">
        <f>HYPERLINK("https://app-web.statementrec.com/app#appuploadfiles/3a16ec46-c37b-aae1-4bfc-0bec70b0b363","MTEC")</f>
      </c>
      <c r="B1853" s="3" t="s">
        <v>10</v>
      </c>
      <c r="C1853" s="4">
        <v>10</v>
      </c>
    </row>
    <row r="1854">
      <c r="A1854" s="5">
        <f>HYPERLINK("https://app-web.statementrec.com/app#appuploadfiles/3a16ec78-8c1c-bfd0-b4eb-6b4f963d870f","A J WEBB &amp; SON (SHEFFIELD) LTD")</f>
      </c>
      <c r="B1854" s="3" t="s">
        <v>420</v>
      </c>
      <c r="C1854" s="4">
        <v>347</v>
      </c>
    </row>
    <row r="1855">
      <c r="A1855" s="5">
        <f>HYPERLINK("https://app-web.statementrec.com/app#appuploadfiles/3a16ec7d-c1c1-60bf-67f5-d5b466b4cdf4","Credit Card - Lorraine")</f>
      </c>
      <c r="B1855" s="3" t="s">
        <v>15</v>
      </c>
      <c r="C1855" s="4">
        <v>1</v>
      </c>
    </row>
    <row r="1856">
      <c r="A1856" s="5">
        <f>HYPERLINK("https://app-web.statementrec.com/app#appuploadfiles/3a16f5c1-1983-210b-9af1-49abc8b020af","MOO-CLOTHING LIMITED")</f>
      </c>
      <c r="B1856" s="3" t="s">
        <v>8</v>
      </c>
      <c r="C1856" s="4">
        <v>16</v>
      </c>
    </row>
    <row r="1857">
      <c r="A1857" s="5">
        <f>HYPERLINK("https://app-web.statementrec.com/app#appuploadfiles/3a16f612-1d1f-69bb-a5fa-4927b2e771c9","DELPH BARN")</f>
      </c>
      <c r="B1857" s="3" t="s">
        <v>270</v>
      </c>
      <c r="C1857" s="4">
        <v>4</v>
      </c>
    </row>
    <row r="1858">
      <c r="A1858" s="5">
        <f>HYPERLINK("https://app-web.statementrec.com/app#appuploadfiles/3a173dc5-7fc6-f40a-f47f-84140bdbd914","Bank")</f>
      </c>
      <c r="B1858" s="3" t="s">
        <v>421</v>
      </c>
      <c r="C1858" s="4">
        <v>16</v>
      </c>
    </row>
    <row r="1859">
      <c r="A1859" s="5">
        <f>HYPERLINK("https://app-web.statementrec.com/app#appuploadfiles/3a174d8a-15c9-d7ea-fe52-dca294886d0e","7percent ventures Ltd")</f>
      </c>
      <c r="B1859" s="3" t="s">
        <v>18</v>
      </c>
      <c r="C1859" s="4">
        <v>24</v>
      </c>
    </row>
    <row r="1860">
      <c r="A1860" s="5">
        <f>HYPERLINK("https://app-web.statementrec.com/app#appuploadfiles/3a174e30-9c01-3e45-8b17-e4a98175d09a","Hypercolour Blue Ltd")</f>
      </c>
      <c r="B1860" s="3" t="s">
        <v>3</v>
      </c>
      <c r="C1860" s="4">
        <v>7</v>
      </c>
    </row>
    <row r="1861">
      <c r="A1861" s="5">
        <f>HYPERLINK("https://app-web.statementrec.com/app#appuploadfiles/3a1757ef-498b-8db7-7b43-b26e176197fa","Hepworth &amp; Mitchell")</f>
      </c>
      <c r="B1861" s="3" t="s">
        <v>15</v>
      </c>
      <c r="C1861" s="4">
        <v>3</v>
      </c>
    </row>
    <row r="1862">
      <c r="A1862" s="5">
        <f>HYPERLINK("https://app-web.statementrec.com/app#appuploadfiles/3a175de4-00dd-77e6-576b-e0b5331272ab","CLAUDIPIA LLC")</f>
      </c>
      <c r="B1862" s="3" t="s">
        <v>58</v>
      </c>
      <c r="C1862" s="4">
        <v>12</v>
      </c>
    </row>
    <row r="1863">
      <c r="A1863" s="5">
        <f>HYPERLINK("https://app-web.statementrec.com/app#appuploadfiles/3a175ff1-da65-ff5f-6ed5-3311ee05652a","Rain City Notary")</f>
      </c>
      <c r="B1863" s="3" t="s">
        <v>78</v>
      </c>
      <c r="C1863" s="4">
        <v>45</v>
      </c>
    </row>
    <row r="1864">
      <c r="A1864" s="5">
        <f>HYPERLINK("https://app-web.statementrec.com/app#appuploadfiles/3a1761e1-5e61-98a8-d3c2-bfe7646dd80a","Cubitt")</f>
      </c>
      <c r="B1864" s="3" t="s">
        <v>13</v>
      </c>
      <c r="C1864" s="4">
        <v>5</v>
      </c>
    </row>
    <row r="1865">
      <c r="A1865" s="5">
        <f>HYPERLINK("https://app-web.statementrec.com/app#appuploadfiles/3a176215-5d98-6657-1435-add41fa1249f","Only The Poets")</f>
      </c>
      <c r="B1865" s="3" t="s">
        <v>53</v>
      </c>
      <c r="C1865" s="4">
        <v>2</v>
      </c>
    </row>
    <row r="1866">
      <c r="A1866" s="5">
        <f>HYPERLINK("https://app-web.statementrec.com/app#appuploadfiles/3a177123-c1f5-10eb-78ce-89bf631f31f6","Trendline Kitchens (PTY) LTD")</f>
      </c>
      <c r="B1866" s="3" t="s">
        <v>38</v>
      </c>
      <c r="C1866" s="4">
        <v>9</v>
      </c>
    </row>
    <row r="1867">
      <c r="A1867" s="5">
        <f>HYPERLINK("https://app-web.statementrec.com/app#appuploadfiles/3a17721b-681d-e38f-40be-0dfaf9eda72e","McMerwe")</f>
      </c>
      <c r="B1867" s="3" t="s">
        <v>80</v>
      </c>
      <c r="C1867" s="4">
        <v>3</v>
      </c>
    </row>
    <row r="1868">
      <c r="A1868" s="5">
        <f>HYPERLINK("https://app-web.statementrec.com/app#appuploadfiles/3a17725c-5b4b-fd31-b729-08403d7cef6e","TGI International Ltd")</f>
      </c>
      <c r="B1868" s="3" t="s">
        <v>43</v>
      </c>
      <c r="C1868" s="4">
        <v>129</v>
      </c>
    </row>
    <row r="1869">
      <c r="A1869" s="5">
        <f>HYPERLINK("https://app-web.statementrec.com/app#appuploadfiles/3a1772bf-f8b9-5d7e-986e-2f5daf99d295","THE ALCOVE RESTAURANT INC")</f>
      </c>
      <c r="B1869" s="3" t="s">
        <v>17</v>
      </c>
      <c r="C1869" s="4">
        <v>3</v>
      </c>
    </row>
    <row r="1870">
      <c r="A1870" s="5">
        <f>HYPERLINK("https://app-web.statementrec.com/app#appuploadfiles/3a177acf-5093-fd34-4b2c-a3f2ad1ad38c","Megajest Pty Ltd")</f>
      </c>
      <c r="B1870" s="3" t="s">
        <v>60</v>
      </c>
      <c r="C1870" s="4">
        <v>14</v>
      </c>
    </row>
    <row r="1871">
      <c r="A1871" s="5">
        <f>HYPERLINK("https://app-web.statementrec.com/app#appuploadfiles/3a177c87-6bde-16a0-a669-d6fdbb18584d","SD Structures Ltd")</f>
      </c>
      <c r="B1871" s="3" t="s">
        <v>406</v>
      </c>
      <c r="C1871" s="4">
        <v>14</v>
      </c>
    </row>
    <row r="1872">
      <c r="A1872" s="5">
        <f>HYPERLINK("https://app-web.statementrec.com/app#appuploadfiles/3a1780d3-c651-5771-c892-6b2aba0708d6","Unsociable Agency Ltd")</f>
      </c>
      <c r="B1872" s="3" t="s">
        <v>116</v>
      </c>
      <c r="C1872" s="4">
        <v>1</v>
      </c>
    </row>
    <row r="1873">
      <c r="A1873" s="5">
        <f>HYPERLINK("https://app-web.statementrec.com/app#appuploadfiles/3a178299-9377-5924-7adb-aafa61601108","J Innes 24")</f>
      </c>
      <c r="B1873" s="3" t="s">
        <v>70</v>
      </c>
      <c r="C1873" s="4">
        <v>12</v>
      </c>
    </row>
    <row r="1874">
      <c r="A1874" s="5">
        <f>HYPERLINK("https://app-web.statementrec.com/app#appuploadfiles/3a178750-6f69-d273-9968-3246bb8e53ec","COMS Energy Ltd")</f>
      </c>
      <c r="B1874" s="3" t="s">
        <v>422</v>
      </c>
      <c r="C1874" s="4">
        <v>6</v>
      </c>
    </row>
    <row r="1875">
      <c r="A1875" s="5">
        <f>HYPERLINK("https://app-web.statementrec.com/app#appuploadfiles/3a1798a8-c727-1368-d7bd-a4513518dd52","WHAT NOW THERAPY")</f>
      </c>
      <c r="B1875" s="3" t="s">
        <v>16</v>
      </c>
      <c r="C1875" s="4">
        <v>14</v>
      </c>
    </row>
    <row r="1876">
      <c r="A1876" s="5">
        <f>HYPERLINK("https://app-web.statementrec.com/app#appuploadfiles/3a179aee-86ab-8f52-394b-7ed141344043","Russell Stevenson")</f>
      </c>
      <c r="B1876" s="3" t="s">
        <v>423</v>
      </c>
      <c r="C1876" s="4">
        <v>360</v>
      </c>
    </row>
    <row r="1877">
      <c r="A1877" s="5">
        <f>HYPERLINK("https://app-web.statementrec.com/app#appuploadfiles/3a179bbf-212f-9bc1-507c-0d0f1ba3af7d","Mr Shaun Blower")</f>
      </c>
      <c r="B1877" s="3" t="s">
        <v>70</v>
      </c>
      <c r="C1877" s="4">
        <v>95</v>
      </c>
    </row>
    <row r="1878">
      <c r="A1878" s="5">
        <f>HYPERLINK("https://app-web.statementrec.com/app#appuploadfiles/3a179c50-4140-163a-972e-f37c8560b068","G L Electrical Solutions Ltd")</f>
      </c>
      <c r="B1878" s="3" t="s">
        <v>33</v>
      </c>
      <c r="C1878" s="4">
        <v>9</v>
      </c>
    </row>
    <row r="1879">
      <c r="A1879" s="5">
        <f>HYPERLINK("https://app-web.statementrec.com/app#appuploadfiles/3a17a006-507a-a5b4-339b-d344611fa303","2821 Orla McSorley (Pizzarella)")</f>
      </c>
      <c r="B1879" s="3" t="s">
        <v>12</v>
      </c>
      <c r="C1879" s="4">
        <v>12</v>
      </c>
    </row>
    <row r="1880">
      <c r="A1880" s="5">
        <f>HYPERLINK("https://app-web.statementrec.com/app#appuploadfiles/3a17a030-0fb0-d79d-4afa-0e23dd9945d9","Fitz Tranz Ltd")</f>
      </c>
      <c r="B1880" s="3" t="s">
        <v>3</v>
      </c>
      <c r="C1880" s="4">
        <v>8</v>
      </c>
    </row>
    <row r="1881">
      <c r="A1881" s="5">
        <f>HYPERLINK("https://app-web.statementrec.com/app#appuploadfiles/3a17a08a-f25c-b839-8e5c-1c8909b18fc6","WG Carter Trust_019160-221")</f>
      </c>
      <c r="B1881" s="3" t="s">
        <v>424</v>
      </c>
      <c r="C1881" s="4">
        <v>15</v>
      </c>
    </row>
    <row r="1882">
      <c r="A1882" s="5">
        <f>HYPERLINK("https://app-web.statementrec.com/app#appuploadfiles/3a17a08c-9e23-7cff-7f9a-1c4df1f78f9f","Hooker Trust - General Fund_019223-221")</f>
      </c>
      <c r="B1882" s="3" t="s">
        <v>86</v>
      </c>
      <c r="C1882" s="4">
        <v>11</v>
      </c>
    </row>
    <row r="1883">
      <c r="A1883" s="5">
        <f>HYPERLINK("https://app-web.statementrec.com/app#appuploadfiles/3a17a08e-0f78-39b3-44c4-a282dbb9fa80","Stanbridge Trust (Ian's fund, Andrew's fund and Catherine's fund)_019313-221")</f>
      </c>
      <c r="B1883" s="3" t="s">
        <v>56</v>
      </c>
      <c r="C1883" s="4">
        <v>11</v>
      </c>
    </row>
    <row r="1884">
      <c r="A1884" s="5">
        <f>HYPERLINK("https://app-web.statementrec.com/app#appuploadfiles/3a17a08e-64cf-4547-9291-d313a95b77a3","Stanbridge Trust (Margaret's fund and Ronald's fund)_019313-221")</f>
      </c>
      <c r="B1884" s="3" t="s">
        <v>425</v>
      </c>
      <c r="C1884" s="4">
        <v>11</v>
      </c>
    </row>
    <row r="1885">
      <c r="A1885" s="5">
        <f>HYPERLINK("https://app-web.statementrec.com/app#appuploadfiles/3a17a08f-8e6d-779a-97e9-af48f54173ef","JB Hooker Trust_780440-221")</f>
      </c>
      <c r="B1885" s="3" t="s">
        <v>56</v>
      </c>
      <c r="C1885" s="4">
        <v>9</v>
      </c>
    </row>
    <row r="1886">
      <c r="A1886" s="5">
        <f>HYPERLINK("https://app-web.statementrec.com/app#appuploadfiles/3a17a0b6-0014-80b7-9903-f470e9882268","RJM Osborne and Sons")</f>
      </c>
      <c r="B1886" s="3" t="s">
        <v>12</v>
      </c>
      <c r="C1886" s="4">
        <v>2</v>
      </c>
    </row>
    <row r="1887">
      <c r="A1887" s="5">
        <f>HYPERLINK("https://app-web.statementrec.com/app#appuploadfiles/3a17a241-70f6-bb46-a8ce-a288e24c34ce","M H FLOORING INC")</f>
      </c>
      <c r="B1887" s="3" t="s">
        <v>58</v>
      </c>
      <c r="C1887" s="4">
        <v>6</v>
      </c>
    </row>
    <row r="1888">
      <c r="A1888" s="5">
        <f>HYPERLINK("https://app-web.statementrec.com/app#appuploadfiles/3a17a4a0-8f56-fd59-776f-f0ec034f3d28","A Brammer")</f>
      </c>
      <c r="B1888" s="3" t="s">
        <v>426</v>
      </c>
      <c r="C1888" s="4">
        <v>81</v>
      </c>
    </row>
    <row r="1889">
      <c r="A1889" s="5">
        <f>HYPERLINK("https://app-web.statementrec.com/app#appuploadfiles/3a17a5fb-2b88-89cd-a2e5-9d22741f48b4","NEW VISION COFFEE EUROPE LIMITED-2025-01-23 03-36-00")</f>
      </c>
      <c r="B1889" s="3" t="s">
        <v>17</v>
      </c>
      <c r="C1889" s="4">
        <v>46</v>
      </c>
    </row>
    <row r="1890">
      <c r="A1890" s="5">
        <f>HYPERLINK("https://app-web.statementrec.com/app#appuploadfiles/3a17a707-a763-d256-af20-35a5ac0bf34d","O &amp; C GENERAL CONSTRUCTION CORP")</f>
      </c>
      <c r="B1890" s="3" t="s">
        <v>427</v>
      </c>
      <c r="C1890" s="4">
        <v>16</v>
      </c>
    </row>
    <row r="1891">
      <c r="A1891" s="5">
        <f>HYPERLINK("https://app-web.statementrec.com/app#appuploadfiles/3a17aacb-f89d-0e0c-5e57-ae49f84aa96e","M J BROADFOOT")</f>
      </c>
      <c r="B1891" s="3" t="s">
        <v>12</v>
      </c>
      <c r="C1891" s="4">
        <v>66</v>
      </c>
    </row>
    <row r="1892">
      <c r="A1892" s="5">
        <f>HYPERLINK("https://app-web.statementrec.com/app#appuploadfiles/3a17abb5-20d7-8288-5022-67c7860d5e9e","2024")</f>
      </c>
      <c r="B1892" s="3" t="s">
        <v>201</v>
      </c>
      <c r="C1892" s="4">
        <v>41</v>
      </c>
    </row>
    <row r="1893">
      <c r="A1893" s="5">
        <f>HYPERLINK("https://app-web.statementrec.com/app#appuploadfiles/3a17ba31-69ac-7134-5dcf-0031cde66e22","Arcadia Luxury")</f>
      </c>
      <c r="B1893" s="3" t="s">
        <v>70</v>
      </c>
      <c r="C1893" s="4">
        <v>1</v>
      </c>
    </row>
    <row r="1894">
      <c r="A1894" s="5">
        <f>HYPERLINK("https://app-web.statementrec.com/app#appuploadfiles/3a17baca-e2b4-2def-c2c6-aee71a19918b","Evanthia Nicolaides")</f>
      </c>
      <c r="B1894" s="3" t="s">
        <v>428</v>
      </c>
      <c r="C1894" s="4">
        <v>6</v>
      </c>
    </row>
    <row r="1895">
      <c r="A1895" s="5">
        <f>HYPERLINK("https://app-web.statementrec.com/app#appuploadfiles/3a17be6c-5b6c-43d0-6d34-fb402956957f","Central Skin (Pty) Ltd - SAA101")</f>
      </c>
      <c r="B1895" s="3" t="s">
        <v>118</v>
      </c>
      <c r="C1895" s="4">
        <v>5</v>
      </c>
    </row>
    <row r="1896">
      <c r="A1896" s="5">
        <f>HYPERLINK("https://app-web.statementrec.com/app#appuploadfiles/3a17c3f7-be20-edfb-6a22-de86565d0023","James Smith")</f>
      </c>
      <c r="B1896" s="3" t="s">
        <v>15</v>
      </c>
      <c r="C1896" s="4">
        <v>38</v>
      </c>
    </row>
    <row r="1897">
      <c r="A1897" s="5">
        <f>HYPERLINK("https://app-web.statementrec.com/app#appuploadfiles/3a17c441-d47a-d89a-bfd7-bd671b53fbdc","Anwill Transport")</f>
      </c>
      <c r="B1897" s="3" t="s">
        <v>429</v>
      </c>
      <c r="C1897" s="4">
        <v>33</v>
      </c>
    </row>
    <row r="1898">
      <c r="A1898" s="5">
        <f>HYPERLINK("https://app-web.statementrec.com/app#appuploadfiles/3a17c50d-faff-0dc4-dea9-5bbedcdacdf4","Acaster Forge LTD")</f>
      </c>
      <c r="B1898" s="3" t="s">
        <v>18</v>
      </c>
      <c r="C1898" s="4">
        <v>32</v>
      </c>
    </row>
    <row r="1899">
      <c r="A1899" s="5">
        <f>HYPERLINK("https://app-web.statementrec.com/app#appuploadfiles/3a17c56b-070c-a248-6966-c34dec9e0e3e","Ciara Treacy")</f>
      </c>
      <c r="B1899" s="3" t="s">
        <v>19</v>
      </c>
      <c r="C1899" s="4">
        <v>20</v>
      </c>
    </row>
    <row r="1900">
      <c r="A1900" s="5">
        <f>HYPERLINK("https://app-web.statementrec.com/app#appuploadfiles/3a17c5f7-a6bb-2250-fdc0-292ee6200c4c","Omnium")</f>
      </c>
      <c r="B1900" s="3" t="s">
        <v>29</v>
      </c>
      <c r="C1900" s="4">
        <v>1</v>
      </c>
    </row>
    <row r="1901">
      <c r="A1901" s="5">
        <f>HYPERLINK("https://app-web.statementrec.com/app#appuploadfiles/3a17c83d-5294-de69-9fa3-e4b491b5ad7b","Du Toit, JM - DUT202")</f>
      </c>
      <c r="B1901" s="3" t="s">
        <v>80</v>
      </c>
      <c r="C1901" s="4">
        <v>24</v>
      </c>
    </row>
    <row r="1902">
      <c r="A1902" s="5">
        <f>HYPERLINK("https://app-web.statementrec.com/app#appuploadfiles/3a17d493-ac38-2783-83d7-2be113781990","ANTHONY SHOE REPAIR")</f>
      </c>
      <c r="B1902" s="3" t="s">
        <v>15</v>
      </c>
      <c r="C1902" s="4">
        <v>4</v>
      </c>
    </row>
    <row r="1903">
      <c r="A1903" s="5">
        <f>HYPERLINK("https://app-web.statementrec.com/app#appuploadfiles/3a17df23-e4e3-421b-85cb-f81b5b3b7a0d","Spraytex")</f>
      </c>
      <c r="B1903" s="3" t="s">
        <v>15</v>
      </c>
      <c r="C1903" s="4">
        <v>10</v>
      </c>
    </row>
    <row r="1904">
      <c r="A1904" s="5">
        <f>HYPERLINK("https://app-web.statementrec.com/app#appuploadfiles/3a17e2fc-6a3f-4a28-81ae-e634b368fbbb","Prestige Vehicle Testing Station CC")</f>
      </c>
      <c r="B1904" s="3" t="s">
        <v>80</v>
      </c>
      <c r="C1904" s="4">
        <v>15</v>
      </c>
    </row>
    <row r="1905">
      <c r="A1905" s="5">
        <f>HYPERLINK("https://app-web.statementrec.com/app#appuploadfiles/3a17e30f-87b8-4555-69e8-7419ef86c9d3","LiveStrata Ltd")</f>
      </c>
      <c r="B1905" s="3" t="s">
        <v>13</v>
      </c>
      <c r="C1905" s="4">
        <v>3</v>
      </c>
    </row>
    <row r="1906">
      <c r="A1906" s="5">
        <f>HYPERLINK("https://app-web.statementrec.com/app#appuploadfiles/3a17e3c2-f594-8d00-1af4-1b3f2483585b","Brookside")</f>
      </c>
      <c r="B1906" s="3" t="s">
        <v>33</v>
      </c>
      <c r="C1906" s="4">
        <v>17</v>
      </c>
    </row>
    <row r="1907">
      <c r="A1907" s="5">
        <f>HYPERLINK("https://app-web.statementrec.com/app#appuploadfiles/3a17e3e4-ce65-fadf-68f1-c930bb616247","Pen y Buarth Cyf")</f>
      </c>
      <c r="B1907" s="3" t="s">
        <v>17</v>
      </c>
      <c r="C1907" s="4">
        <v>5</v>
      </c>
    </row>
    <row r="1908">
      <c r="A1908" s="5">
        <f>HYPERLINK("https://app-web.statementrec.com/app#appuploadfiles/3a17e79c-7a65-3916-5aaa-9b11cd822612","Kameeldoring Catering")</f>
      </c>
      <c r="B1908" s="3" t="s">
        <v>342</v>
      </c>
      <c r="C1908" s="4">
        <v>20</v>
      </c>
    </row>
    <row r="1909">
      <c r="A1909" s="5">
        <f>HYPERLINK("https://app-web.statementrec.com/app#appuploadfiles/3a17e8c5-b8fb-cce9-6a77-7ac4a2602ee0","Cambridge CS")</f>
      </c>
      <c r="B1909" s="3" t="s">
        <v>10</v>
      </c>
      <c r="C1909" s="4">
        <v>10</v>
      </c>
    </row>
    <row r="1910">
      <c r="A1910" s="5">
        <f>HYPERLINK("https://app-web.statementrec.com/app#appuploadfiles/3a17e8eb-c9de-311e-34a4-e2288d4125c3","Monree Ltd")</f>
      </c>
      <c r="B1910" s="3" t="s">
        <v>84</v>
      </c>
      <c r="C1910" s="4">
        <v>11</v>
      </c>
    </row>
    <row r="1911">
      <c r="A1911" s="5">
        <f>HYPERLINK("https://app-web.statementrec.com/app#appuploadfiles/3a17ea32-81ac-2af9-e3a7-489d509283d6","TSA Properties")</f>
      </c>
      <c r="B1911" s="3" t="s">
        <v>120</v>
      </c>
      <c r="C1911" s="4">
        <v>3</v>
      </c>
    </row>
    <row r="1912">
      <c r="A1912" s="5">
        <f>HYPERLINK("https://app-web.statementrec.com/app#appuploadfiles/3a17ec6d-a520-2ac7-6a39-42753bcaf7d9","NCCA National-Converted")</f>
      </c>
      <c r="B1912" s="3" t="s">
        <v>80</v>
      </c>
      <c r="C1912" s="4">
        <v>1</v>
      </c>
    </row>
    <row r="1913">
      <c r="A1913" s="5">
        <f>HYPERLINK("https://app-web.statementrec.com/app#appuploadfiles/3a17ed23-aa05-e646-2d6a-77943feab212","JAK Contracts Painting Ltd")</f>
      </c>
      <c r="B1913" s="3" t="s">
        <v>430</v>
      </c>
      <c r="C1913" s="4">
        <v>3</v>
      </c>
    </row>
    <row r="1914">
      <c r="A1914" s="5">
        <f>HYPERLINK("https://app-web.statementrec.com/app#appuploadfiles/3a17edf2-094c-0ef3-1d02-b8723d945bf4","Rebel Accountants")</f>
      </c>
      <c r="B1914" s="3" t="s">
        <v>3</v>
      </c>
      <c r="C1914" s="4">
        <v>2</v>
      </c>
    </row>
    <row r="1915">
      <c r="A1915" s="5">
        <f>HYPERLINK("https://app-web.statementrec.com/app#appuploadfiles/3a17eec3-a030-05e4-276d-374e0241e0ef","C&amp;D")</f>
      </c>
      <c r="B1915" s="3" t="s">
        <v>15</v>
      </c>
      <c r="C1915" s="4">
        <v>6</v>
      </c>
    </row>
    <row r="1916">
      <c r="A1916" s="5">
        <f>HYPERLINK("https://app-web.statementrec.com/app#appuploadfiles/3a17f01d-f513-777a-7a43-a0f5e5c7c55e","Cintoa Limited")</f>
      </c>
      <c r="B1916" s="3" t="s">
        <v>43</v>
      </c>
      <c r="C1916" s="4">
        <v>4</v>
      </c>
    </row>
    <row r="1917">
      <c r="A1917" s="5">
        <f>HYPERLINK("https://app-web.statementrec.com/app#appuploadfiles/3a180203-34e0-5ae9-7c7c-c449224d381a","Darren Blackaby")</f>
      </c>
      <c r="B1917" s="3" t="s">
        <v>19</v>
      </c>
      <c r="C1917" s="4">
        <v>10</v>
      </c>
    </row>
    <row r="1918">
      <c r="A1918" s="5">
        <f>HYPERLINK("https://app-web.statementrec.com/app#appuploadfiles/3a18028c-7837-72af-3c9e-5d88d279e7b3","KNIGHTLY CONSTRUCTION LTD.")</f>
      </c>
      <c r="B1918" s="3" t="s">
        <v>431</v>
      </c>
      <c r="C1918" s="4">
        <v>1</v>
      </c>
    </row>
    <row r="1919">
      <c r="A1919" s="5">
        <f>HYPERLINK("https://app-web.statementrec.com/app#appuploadfiles/3a1803ff-87f8-3348-9079-1a478a3a30a3","Via Via")</f>
      </c>
      <c r="B1919" s="3" t="s">
        <v>60</v>
      </c>
      <c r="C1919" s="4">
        <v>2</v>
      </c>
    </row>
    <row r="1920">
      <c r="A1920" s="5">
        <f>HYPERLINK("https://app-web.statementrec.com/app#appuploadfiles/3a1806ae-ee11-ce2f-e06d-a4cb1a6b1bc4","Corvusfield")</f>
      </c>
      <c r="B1920" s="3" t="s">
        <v>432</v>
      </c>
      <c r="C1920" s="4">
        <v>2</v>
      </c>
    </row>
    <row r="1921">
      <c r="A1921" s="5">
        <f>HYPERLINK("https://app-web.statementrec.com/app#appuploadfiles/3a180871-1f69-97a1-8783-ffd04df1251e","MCES Inc")</f>
      </c>
      <c r="B1921" s="3" t="s">
        <v>379</v>
      </c>
      <c r="C1921" s="4">
        <v>5</v>
      </c>
    </row>
    <row r="1922">
      <c r="A1922" s="5">
        <f>HYPERLINK("https://app-web.statementrec.com/app#appuploadfiles/3a180ba3-9d68-78b8-4fb2-07c27d7acf0f","Train with Sophie C Ltd")</f>
      </c>
      <c r="B1922" s="3" t="s">
        <v>53</v>
      </c>
      <c r="C1922" s="4">
        <v>4</v>
      </c>
    </row>
    <row r="1923">
      <c r="A1923" s="5">
        <f>HYPERLINK("https://app-web.statementrec.com/app#appuploadfiles/3a180cc2-c2f6-c2ab-bd03-b2a2df10016d","Betty Boos Cafe")</f>
      </c>
      <c r="B1923" s="3" t="s">
        <v>433</v>
      </c>
      <c r="C1923" s="4">
        <v>24</v>
      </c>
    </row>
    <row r="1924">
      <c r="A1924" s="5">
        <f>HYPERLINK("https://app-web.statementrec.com/app#appuploadfiles/3a180e2c-94c1-70dc-5e3e-04cb3c9c4cc7","CORPORATION CRÉATIVE DIFFÉRENCE INC")</f>
      </c>
      <c r="B1924" s="3" t="s">
        <v>47</v>
      </c>
      <c r="C1924" s="4">
        <v>17</v>
      </c>
    </row>
    <row r="1925">
      <c r="A1925" s="5">
        <f>HYPERLINK("https://app-web.statementrec.com/app#appuploadfiles/3a181198-3c22-e9cb-96ec-295e163dacb7","Bond Thoroughbred Ltd")</f>
      </c>
      <c r="B1925" s="3" t="s">
        <v>434</v>
      </c>
      <c r="C1925" s="4">
        <v>11</v>
      </c>
    </row>
    <row r="1926">
      <c r="A1926" s="5">
        <f>HYPERLINK("https://app-web.statementrec.com/app#appuploadfiles/3a1811d2-9420-2742-1d9a-b89b43ca9038","IK Consultancy Ltd")</f>
      </c>
      <c r="B1926" s="3" t="s">
        <v>12</v>
      </c>
      <c r="C1926" s="4">
        <v>4</v>
      </c>
    </row>
    <row r="1927">
      <c r="A1927" s="5">
        <f>HYPERLINK("https://app-web.statementrec.com/app#appuploadfiles/3a1811df-b2ec-1591-0e44-9605974dfee7","M&amp;T x9097")</f>
      </c>
      <c r="B1927" s="3" t="s">
        <v>435</v>
      </c>
      <c r="C1927" s="4">
        <v>3</v>
      </c>
    </row>
    <row r="1928">
      <c r="A1928" s="5">
        <f>HYPERLINK("https://app-web.statementrec.com/app#appuploadfiles/3a181282-9b00-e1c6-d319-5ec62f2d24ef","ISLA COLON SA")</f>
      </c>
      <c r="B1928" s="3" t="s">
        <v>326</v>
      </c>
      <c r="C1928" s="4">
        <v>1</v>
      </c>
    </row>
    <row r="1929">
      <c r="A1929" s="5">
        <f>HYPERLINK("https://app-web.statementrec.com/app#appuploadfiles/3a181621-16c5-1403-df27-d5877266099b","R L Plant Maintenance Ltd")</f>
      </c>
      <c r="B1929" s="3" t="s">
        <v>10</v>
      </c>
      <c r="C1929" s="4">
        <v>4</v>
      </c>
    </row>
    <row r="1930">
      <c r="A1930" s="5">
        <f>HYPERLINK("https://app-web.statementrec.com/app#appuploadfiles/3a181676-c359-538c-761a-20f93a41a1d2","Urban Platform Architects and Planners")</f>
      </c>
      <c r="B1930" s="3" t="s">
        <v>118</v>
      </c>
      <c r="C1930" s="4">
        <v>9</v>
      </c>
    </row>
    <row r="1931">
      <c r="A1931" s="5">
        <f>HYPERLINK("https://app-web.statementrec.com/app#appuploadfiles/3a18170d-c88f-1d65-1386-0a69481a56b7","OLIVER &amp; CHARLES PAINTING &amp; SCENIC SERVI")</f>
      </c>
      <c r="B1931" s="3" t="s">
        <v>26</v>
      </c>
      <c r="C1931" s="4">
        <v>19</v>
      </c>
    </row>
    <row r="1932">
      <c r="A1932" s="5">
        <f>HYPERLINK("https://app-web.statementrec.com/app#appuploadfiles/3a182672-44da-c5a7-fcc5-da0ef371475e","Ballistix X (Pty) Ltd")</f>
      </c>
      <c r="B1932" s="3" t="s">
        <v>80</v>
      </c>
      <c r="C1932" s="4">
        <v>9</v>
      </c>
    </row>
    <row r="1933">
      <c r="A1933" s="5">
        <f>HYPERLINK("https://app-web.statementrec.com/app#appuploadfiles/3a18269d-8cc5-21a5-83c7-09112451fc98","Synergise Ltd")</f>
      </c>
      <c r="B1933" s="3" t="s">
        <v>14</v>
      </c>
      <c r="C1933" s="4">
        <v>10</v>
      </c>
    </row>
    <row r="1934">
      <c r="A1934" s="5">
        <f>HYPERLINK("https://app-web.statementrec.com/app#appuploadfiles/3a182d8d-cfb7-deea-4662-174ee55e9296","TJM Law Corporation")</f>
      </c>
      <c r="B1934" s="3" t="s">
        <v>16</v>
      </c>
      <c r="C1934" s="4">
        <v>3</v>
      </c>
    </row>
    <row r="1935">
      <c r="A1935" s="5">
        <f>HYPERLINK("https://app-web.statementrec.com/app#appuploadfiles/3a182fb6-82b5-8189-0037-faecbb5b05f9","Lords Medical Services Ltd")</f>
      </c>
      <c r="B1935" s="3" t="s">
        <v>16</v>
      </c>
      <c r="C1935" s="4">
        <v>7</v>
      </c>
    </row>
    <row r="1936">
      <c r="A1936" s="5">
        <f>HYPERLINK("https://app-web.statementrec.com/app#appuploadfiles/3a1831b9-b3ad-3d0d-796d-8116f1f467df","SIJ - Sunningdale")</f>
      </c>
      <c r="B1936" s="3" t="s">
        <v>17</v>
      </c>
      <c r="C1936" s="4">
        <v>3</v>
      </c>
    </row>
    <row r="1937">
      <c r="A1937" s="5">
        <f>HYPERLINK("https://app-web.statementrec.com/app#appuploadfiles/3a1834d4-c46c-1376-7802-26e2f76d3b9b","Roger Healey - Property")</f>
      </c>
      <c r="B1937" s="3" t="s">
        <v>436</v>
      </c>
      <c r="C1937" s="4">
        <v>8</v>
      </c>
    </row>
    <row r="1938">
      <c r="A1938" s="5">
        <f>HYPERLINK("https://app-web.statementrec.com/app#appuploadfiles/3a1834e1-93f6-ee9e-4d26-91fbc2466e7d","DIEGOS LTD")</f>
      </c>
      <c r="B1938" s="3" t="s">
        <v>15</v>
      </c>
      <c r="C1938" s="4">
        <v>5</v>
      </c>
    </row>
    <row r="1939">
      <c r="A1939" s="5">
        <f>HYPERLINK("https://app-web.statementrec.com/app#appuploadfiles/3a183527-d8c5-c9dd-3dd7-dfda0de67768","Loft Aesthetics Ltd")</f>
      </c>
      <c r="B1939" s="3" t="s">
        <v>53</v>
      </c>
      <c r="C1939" s="4">
        <v>28</v>
      </c>
    </row>
    <row r="1940">
      <c r="A1940" s="5">
        <f>HYPERLINK("https://app-web.statementrec.com/app#appuploadfiles/3a183535-03f0-86bf-050f-8ab0fa7a8021","Oliver's Pure Indulgence Limited")</f>
      </c>
      <c r="B1940" s="3" t="s">
        <v>18</v>
      </c>
      <c r="C1940" s="4">
        <v>20</v>
      </c>
    </row>
    <row r="1941">
      <c r="A1941" s="5">
        <f>HYPERLINK("https://app-web.statementrec.com/app#appuploadfiles/3a1839ea-28fc-52c5-cd55-4e7ef4f06822","Fortune Dragon (2021) Limited")</f>
      </c>
      <c r="B1941" s="3" t="s">
        <v>15</v>
      </c>
      <c r="C1941" s="4">
        <v>12</v>
      </c>
    </row>
    <row r="1942">
      <c r="A1942" s="5">
        <f>HYPERLINK("https://app-web.statementrec.com/app#appuploadfiles/3a183a3b-765c-461b-2fd5-0f3c144ae823","Talent Mine International")</f>
      </c>
      <c r="B1942" s="3" t="s">
        <v>11</v>
      </c>
      <c r="C1942" s="4">
        <v>3</v>
      </c>
    </row>
    <row r="1943">
      <c r="A1943" s="5">
        <f>HYPERLINK("https://app-web.statementrec.com/app#appuploadfiles/3a183b56-f42f-98a3-27eb-ac6fb43ad01e","Desjardins CAD")</f>
      </c>
      <c r="B1943" s="3" t="s">
        <v>56</v>
      </c>
      <c r="C1943" s="4">
        <v>6</v>
      </c>
    </row>
    <row r="1944">
      <c r="A1944" s="5">
        <f>HYPERLINK("https://app-web.statementrec.com/app#appuploadfiles/3a1849e0-97c3-f5c1-6da0-e7631301b22a","MASTER K9")</f>
      </c>
      <c r="B1944" s="3" t="s">
        <v>344</v>
      </c>
      <c r="C1944" s="4">
        <v>1</v>
      </c>
    </row>
    <row r="1945">
      <c r="A1945" s="5">
        <f>HYPERLINK("https://app-web.statementrec.com/app#appuploadfiles/3a184a7f-6613-7151-47aa-aecdfd07bb46","PW Trading")</f>
      </c>
      <c r="B1945" s="3" t="s">
        <v>30</v>
      </c>
      <c r="C1945" s="4">
        <v>21</v>
      </c>
    </row>
    <row r="1946">
      <c r="A1946" s="5">
        <f>HYPERLINK("https://app-web.statementrec.com/app#appuploadfiles/3a184f16-513c-8eb0-0b13-7fa6099bf1ca","Shooters")</f>
      </c>
      <c r="B1946" s="3" t="s">
        <v>8</v>
      </c>
      <c r="C1946" s="4">
        <v>5</v>
      </c>
    </row>
    <row r="1947">
      <c r="A1947" s="5">
        <f>HYPERLINK("https://app-web.statementrec.com/app#appuploadfiles/3a1858d6-93ee-2d55-9f29-d2df1e1980d0","Townbraccen")</f>
      </c>
      <c r="B1947" s="3" t="s">
        <v>10</v>
      </c>
      <c r="C1947" s="4">
        <v>3</v>
      </c>
    </row>
    <row r="1948">
      <c r="A1948" s="5">
        <f>HYPERLINK("https://app-web.statementrec.com/app#appuploadfiles/3a185e57-1959-30ed-e504-c6fbd8083379","Stentor Consulting Ltd")</f>
      </c>
      <c r="B1948" s="3" t="s">
        <v>43</v>
      </c>
      <c r="C1948" s="4">
        <v>17</v>
      </c>
    </row>
    <row r="1949">
      <c r="A1949" s="5">
        <f>HYPERLINK("https://app-web.statementrec.com/app#appuploadfiles/3a185ef7-9e9e-e9b8-b6d5-8a1a11fec109","Ceapach an Tseagail Tógóla Teoranta")</f>
      </c>
      <c r="B1949" s="3" t="s">
        <v>75</v>
      </c>
      <c r="C1949" s="4">
        <v>2</v>
      </c>
    </row>
    <row r="1950">
      <c r="A1950" s="5">
        <f>HYPERLINK("https://app-web.statementrec.com/app#appuploadfiles/3a186084-152a-c3da-9ac0-696c6dc6e758","2025 year end")</f>
      </c>
      <c r="B1950" s="3" t="s">
        <v>47</v>
      </c>
      <c r="C1950" s="4">
        <v>35</v>
      </c>
    </row>
    <row r="1951">
      <c r="A1951" s="5">
        <f>HYPERLINK("https://app-web.statementrec.com/app#appuploadfiles/3a1869af-1c6a-e468-8297-66c468ec7ecd","Enterprise Holdings (NW) Ltd")</f>
      </c>
      <c r="B1951" s="3" t="s">
        <v>26</v>
      </c>
      <c r="C1951" s="4">
        <v>4</v>
      </c>
    </row>
    <row r="1952">
      <c r="A1952" s="5">
        <f>HYPERLINK("https://app-web.statementrec.com/app#appuploadfiles/3a186a1f-af38-dcbb-2eda-6413bbc22a6c","Elite Linen Textile Services Limited")</f>
      </c>
      <c r="B1952" s="3" t="s">
        <v>18</v>
      </c>
      <c r="C1952" s="4">
        <v>6</v>
      </c>
    </row>
    <row r="1953">
      <c r="A1953" s="5">
        <f>HYPERLINK("https://app-web.statementrec.com/app#appuploadfiles/3a186d7a-8d5e-bbd0-ff08-d6eb3a892778","AMEX")</f>
      </c>
      <c r="B1953" s="3" t="s">
        <v>437</v>
      </c>
      <c r="C1953" s="4">
        <v>18</v>
      </c>
    </row>
    <row r="1954">
      <c r="A1954" s="5">
        <f>HYPERLINK("https://app-web.statementrec.com/app#appuploadfiles/3a186df9-60f5-c926-dab6-77c64f4c4f6a","The Fit Clinic Ltd")</f>
      </c>
      <c r="B1954" s="3" t="s">
        <v>56</v>
      </c>
      <c r="C1954" s="4">
        <v>3</v>
      </c>
    </row>
    <row r="1955">
      <c r="A1955" s="5">
        <f>HYPERLINK("https://app-web.statementrec.com/app#appuploadfiles/3a187205-4371-65ae-a510-c35fe1d58351","Katie Agnus")</f>
      </c>
      <c r="B1955" s="3" t="s">
        <v>15</v>
      </c>
      <c r="C1955" s="4">
        <v>12</v>
      </c>
    </row>
    <row r="1956">
      <c r="A1956" s="5">
        <f>HYPERLINK("https://app-web.statementrec.com/app#appuploadfiles/3a18729b-8e6f-9ea6-401d-ccbeeec3b117","CDT Hospitality Ltd")</f>
      </c>
      <c r="B1956" s="3" t="s">
        <v>136</v>
      </c>
      <c r="C1956" s="4">
        <v>11</v>
      </c>
    </row>
    <row r="1957">
      <c r="A1957" s="5">
        <f>HYPERLINK("https://app-web.statementrec.com/app#appuploadfiles/3a1872f1-bf31-acd4-654e-ebd9a7d2519e","JDP Electrical services Ltd")</f>
      </c>
      <c r="B1957" s="3" t="s">
        <v>17</v>
      </c>
      <c r="C1957" s="4">
        <v>28</v>
      </c>
    </row>
    <row r="1958">
      <c r="A1958" s="5">
        <f>HYPERLINK("https://app-web.statementrec.com/app#appuploadfiles/3a1875a0-9feb-98a3-b2f2-c99b5a742fc6","GTI Store Sylvan Lake")</f>
      </c>
      <c r="B1958" s="3" t="s">
        <v>46</v>
      </c>
      <c r="C1958" s="4">
        <v>8</v>
      </c>
    </row>
    <row r="1959">
      <c r="A1959" s="5">
        <f>HYPERLINK("https://app-web.statementrec.com/app#appuploadfiles/3a187809-8986-24a1-6fed-eaf3904f9162","TCS CC")</f>
      </c>
      <c r="B1959" s="3" t="s">
        <v>17</v>
      </c>
      <c r="C1959" s="4">
        <v>13</v>
      </c>
    </row>
    <row r="1960">
      <c r="A1960" s="5">
        <f>HYPERLINK("https://app-web.statementrec.com/app#appuploadfiles/3a18790e-ab8f-577c-0348-8e335007683e","Enterprise Trading Limited")</f>
      </c>
      <c r="B1960" s="3" t="s">
        <v>12</v>
      </c>
      <c r="C1960" s="4">
        <v>4</v>
      </c>
    </row>
    <row r="1961">
      <c r="A1961" s="5">
        <f>HYPERLINK("https://app-web.statementrec.com/app#appuploadfiles/3a187ddc-7bba-7224-0e37-e27e2df163ca","Ferris Holidays Limited")</f>
      </c>
      <c r="B1961" s="3" t="s">
        <v>15</v>
      </c>
      <c r="C1961" s="4">
        <v>81</v>
      </c>
    </row>
    <row r="1962">
      <c r="A1962" s="5">
        <f>HYPERLINK("https://app-web.statementrec.com/app#appuploadfiles/3a188201-c117-1e10-c95a-c31fa7218bb2","Brian Halvey 063")</f>
      </c>
      <c r="B1962" s="3" t="s">
        <v>207</v>
      </c>
      <c r="C1962" s="4">
        <v>49</v>
      </c>
    </row>
    <row r="1963">
      <c r="A1963" s="5">
        <f>HYPERLINK("https://app-web.statementrec.com/app#appuploadfiles/3a188315-a5b1-64ef-39ce-d4548426f871","01 Jan - 31 Jan 25")</f>
      </c>
      <c r="B1963" s="3" t="s">
        <v>40</v>
      </c>
      <c r="C1963" s="4">
        <v>1</v>
      </c>
    </row>
    <row r="1964">
      <c r="A1964" s="5">
        <f>HYPERLINK("https://app-web.statementrec.com/app#appuploadfiles/3a188832-2d78-b456-803c-773c91c880ff","EVALDAS LUKOSIUS")</f>
      </c>
      <c r="B1964" s="3" t="s">
        <v>75</v>
      </c>
      <c r="C1964" s="4">
        <v>11</v>
      </c>
    </row>
    <row r="1965">
      <c r="A1965" s="5">
        <f>HYPERLINK("https://app-web.statementrec.com/app#appuploadfiles/3a188d43-48c9-63c7-7d57-26150b6c41a1","PTSB 84770057")</f>
      </c>
      <c r="B1965" s="3" t="s">
        <v>75</v>
      </c>
      <c r="C1965" s="4">
        <v>1</v>
      </c>
    </row>
    <row r="1966">
      <c r="A1966" s="5">
        <f>HYPERLINK("https://app-web.statementrec.com/app#appuploadfiles/3a18983c-60b7-df61-dfc5-ebcaaf41d0f3","VISA TD")</f>
      </c>
      <c r="B1966" s="3" t="s">
        <v>40</v>
      </c>
      <c r="C1966" s="4">
        <v>27</v>
      </c>
    </row>
    <row r="1967">
      <c r="A1967" s="5">
        <f>HYPERLINK("https://app-web.statementrec.com/app#appuploadfiles/3a189b6b-a338-aa16-a500-4c120193b261","CB Herstelwerk")</f>
      </c>
      <c r="B1967" s="3" t="s">
        <v>438</v>
      </c>
      <c r="C1967" s="4">
        <v>20</v>
      </c>
    </row>
    <row r="1968">
      <c r="A1968" s="5">
        <f>HYPERLINK("https://app-web.statementrec.com/app#appuploadfiles/3a18a0ec-6c93-6485-a0fd-8cec8ce1b6f0","TMS Tyres Essex Limited")</f>
      </c>
      <c r="B1968" s="3" t="s">
        <v>84</v>
      </c>
      <c r="C1968" s="4">
        <v>20</v>
      </c>
    </row>
    <row r="1969">
      <c r="A1969" s="5">
        <f>HYPERLINK("https://app-web.statementrec.com/app#appuploadfiles/3a18a19f-810e-6d4c-1b58-1366065a6871","Mjat Management Limited")</f>
      </c>
      <c r="B1969" s="3" t="s">
        <v>12</v>
      </c>
      <c r="C1969" s="4">
        <v>2</v>
      </c>
    </row>
    <row r="1970">
      <c r="A1970" s="5">
        <f>HYPERLINK("https://app-web.statementrec.com/app#appuploadfiles/3a18a202-c93f-a530-ffd5-4df2383c15c3","No Code Limited")</f>
      </c>
      <c r="B1970" s="3" t="s">
        <v>26</v>
      </c>
      <c r="C1970" s="4">
        <v>9</v>
      </c>
    </row>
    <row r="1971">
      <c r="A1971" s="5">
        <f>HYPERLINK("https://app-web.statementrec.com/app#appuploadfiles/3a18a233-d884-8925-db21-d614df5f180f","JB Joinery")</f>
      </c>
      <c r="B1971" s="3" t="s">
        <v>15</v>
      </c>
      <c r="C1971" s="4">
        <v>2</v>
      </c>
    </row>
    <row r="1972">
      <c r="A1972" s="5">
        <f>HYPERLINK("https://app-web.statementrec.com/app#appuploadfiles/3a18a5e9-7b1f-9b7c-8664-0a057b11b3d9","Altion Law Ltd")</f>
      </c>
      <c r="B1972" s="3" t="s">
        <v>10</v>
      </c>
      <c r="C1972" s="4">
        <v>1</v>
      </c>
    </row>
    <row r="1973">
      <c r="A1973" s="5">
        <f>HYPERLINK("https://app-web.statementrec.com/app#appuploadfiles/3a18a63d-92a2-fc39-68ac-1ead738383f2","Maria's Statements")</f>
      </c>
      <c r="B1973" s="3" t="s">
        <v>439</v>
      </c>
      <c r="C1973" s="4">
        <v>2</v>
      </c>
    </row>
    <row r="1974">
      <c r="A1974" s="5">
        <f>HYPERLINK("https://app-web.statementrec.com/app#appuploadfiles/3a18a6c1-73d1-f9ca-3189-2c5dbfcf8fa9","Corerobix Ltd")</f>
      </c>
      <c r="B1974" s="3" t="s">
        <v>19</v>
      </c>
      <c r="C1974" s="4">
        <v>2</v>
      </c>
    </row>
    <row r="1975">
      <c r="A1975" s="5">
        <f>HYPERLINK("https://app-web.statementrec.com/app#appuploadfiles/3a18baa0-104a-22e5-b6de-b819169fe20a","Trinity Scaffolding 2025")</f>
      </c>
      <c r="B1975" s="3" t="s">
        <v>440</v>
      </c>
      <c r="C1975" s="4">
        <v>24</v>
      </c>
    </row>
    <row r="1976">
      <c r="A1976" s="5">
        <f>HYPERLINK("https://app-web.statementrec.com/app#appuploadfiles/3a18becd-6c5c-5b56-ffe3-fb6c7f4de3d7","BOOM BOX MEDIA PTY LTD")</f>
      </c>
      <c r="B1976" s="3" t="s">
        <v>80</v>
      </c>
      <c r="C1976" s="4">
        <v>7</v>
      </c>
    </row>
    <row r="1977">
      <c r="A1977" s="5">
        <f>HYPERLINK("https://app-web.statementrec.com/app#appuploadfiles/3a18c05d-eddd-b3d5-26cd-c34319709e97","GIELLY GREEN LIMITED")</f>
      </c>
      <c r="B1977" s="3" t="s">
        <v>441</v>
      </c>
      <c r="C1977" s="4">
        <v>92</v>
      </c>
    </row>
    <row r="1978">
      <c r="A1978" s="5">
        <f>HYPERLINK("https://app-web.statementrec.com/app#appuploadfiles/3a18c0ed-84fa-a8f0-0c99-741c0b11bd25","Catleys Gas Ltd")</f>
      </c>
      <c r="B1978" s="3" t="s">
        <v>442</v>
      </c>
      <c r="C1978" s="4">
        <v>61</v>
      </c>
    </row>
    <row r="1979">
      <c r="A1979" s="5">
        <f>HYPERLINK("https://app-web.statementrec.com/app#appuploadfiles/3a18c687-94fa-5892-d35d-4297d2825b41","Tierney Homes Ltd")</f>
      </c>
      <c r="B1979" s="3" t="s">
        <v>21</v>
      </c>
      <c r="C1979" s="4">
        <v>1</v>
      </c>
    </row>
    <row r="1980">
      <c r="A1980" s="5">
        <f>HYPERLINK("https://app-web.statementrec.com/app#appuploadfiles/3a18ca3f-7726-6db0-bfee-0c31b267f794","Mum Life Ltd")</f>
      </c>
      <c r="B1980" s="3" t="s">
        <v>26</v>
      </c>
      <c r="C1980" s="4">
        <v>55</v>
      </c>
    </row>
    <row r="1981">
      <c r="A1981" s="5">
        <f>HYPERLINK("https://app-web.statementrec.com/app#appuploadfiles/3a18ca84-b5f0-d17c-311c-95ab7f525d5b","KMAC Drywall IE (Euro)")</f>
      </c>
      <c r="B1981" s="3" t="s">
        <v>11</v>
      </c>
      <c r="C1981" s="4">
        <v>93</v>
      </c>
    </row>
    <row r="1982">
      <c r="A1982" s="5">
        <f>HYPERLINK("https://app-web.statementrec.com/app#appuploadfiles/3a18ca84-c3c1-3253-2371-5b4081ae245e","JE003 - Jelly Investment Ltd")</f>
      </c>
      <c r="B1982" s="3" t="s">
        <v>443</v>
      </c>
      <c r="C1982" s="4">
        <v>5</v>
      </c>
    </row>
    <row r="1983">
      <c r="A1983" s="5">
        <f>HYPERLINK("https://app-web.statementrec.com/app#appuploadfiles/3a18cac9-daca-fbc2-e65e-d14864958bfd","Sylvan Lodge Investments Limited")</f>
      </c>
      <c r="B1983" s="3" t="s">
        <v>444</v>
      </c>
      <c r="C1983" s="4">
        <v>31</v>
      </c>
    </row>
    <row r="1984">
      <c r="A1984" s="5">
        <f>HYPERLINK("https://app-web.statementrec.com/app#appuploadfiles/3a18cb8f-8634-7d6d-fce8-10adb053d584","Nodety Limited")</f>
      </c>
      <c r="B1984" s="3" t="s">
        <v>18</v>
      </c>
      <c r="C1984" s="4">
        <v>3</v>
      </c>
    </row>
    <row r="1985">
      <c r="A1985" s="5">
        <f>HYPERLINK("https://app-web.statementrec.com/app#appuploadfiles/3a18cffb-a946-828b-7cbd-a1e975c6e09e","URIBES FAMILY WINES &amp; LIQUORS")</f>
      </c>
      <c r="B1985" s="3" t="s">
        <v>445</v>
      </c>
      <c r="C1985" s="4">
        <v>12</v>
      </c>
    </row>
    <row r="1986">
      <c r="A1986" s="5">
        <f>HYPERLINK("https://app-web.statementrec.com/app#appuploadfiles/3a18d93e-6bc2-3759-d123-e50132dd2631","Flat-Out Freight")</f>
      </c>
      <c r="B1986" s="3" t="s">
        <v>330</v>
      </c>
      <c r="C1986" s="4">
        <v>4</v>
      </c>
    </row>
    <row r="1987">
      <c r="A1987" s="5">
        <f>HYPERLINK("https://app-web.statementrec.com/app#appuploadfiles/3a18d986-a00e-6d6c-4248-af98473ebc9c","Cash Company Limited")</f>
      </c>
      <c r="B1987" s="3" t="s">
        <v>190</v>
      </c>
      <c r="C1987" s="4">
        <v>8</v>
      </c>
    </row>
    <row r="1988">
      <c r="A1988" s="5">
        <f>HYPERLINK("https://app-web.statementrec.com/app#appuploadfiles/3a18da5d-38f9-336b-88bc-527422cf6f88","Sella ID Limited")</f>
      </c>
      <c r="B1988" s="3" t="s">
        <v>11</v>
      </c>
      <c r="C1988" s="4">
        <v>64</v>
      </c>
    </row>
    <row r="1989">
      <c r="A1989" s="5">
        <f>HYPERLINK("https://app-web.statementrec.com/app#appuploadfiles/3a18deeb-d293-455b-3c58-8f5440edf348","CKM Developers (Pty) Ltd")</f>
      </c>
      <c r="B1989" s="3" t="s">
        <v>118</v>
      </c>
      <c r="C1989" s="4">
        <v>6</v>
      </c>
    </row>
    <row r="1990">
      <c r="A1990" s="5">
        <f>HYPERLINK("https://app-web.statementrec.com/app#appuploadfiles/3a18df06-9ab3-8957-5e2a-39488e2bb4ef","MARTYNAS SVAZAS")</f>
      </c>
      <c r="B1990" s="3" t="s">
        <v>3</v>
      </c>
      <c r="C1990" s="4">
        <v>9</v>
      </c>
    </row>
    <row r="1991">
      <c r="A1991" s="5">
        <f>HYPERLINK("https://app-web.statementrec.com/app#appuploadfiles/3a18dfc0-23ba-e604-a992-7f3ae2c5f544","W181 - Woodlark Build Ltd")</f>
      </c>
      <c r="B1991" s="3" t="s">
        <v>446</v>
      </c>
      <c r="C1991" s="4">
        <v>3</v>
      </c>
    </row>
    <row r="1992">
      <c r="A1992" s="5">
        <f>HYPERLINK("https://app-web.statementrec.com/app#appuploadfiles/3a18e46c-06e0-3c1c-be03-a66b2346e9b7","Year End 28.02.2025")</f>
      </c>
      <c r="B1992" s="3" t="s">
        <v>3</v>
      </c>
      <c r="C1992" s="4">
        <v>3</v>
      </c>
    </row>
    <row r="1993">
      <c r="A1993" s="5">
        <f>HYPERLINK("https://app-web.statementrec.com/app#appuploadfiles/3a18e4a3-f64e-e79b-8ec0-d7724ec8868e","MISC ACCOUNT")</f>
      </c>
      <c r="B1993" s="3" t="s">
        <v>11</v>
      </c>
      <c r="C1993" s="4">
        <v>46</v>
      </c>
    </row>
    <row r="1994">
      <c r="A1994" s="5">
        <f>HYPERLINK("https://app-web.statementrec.com/app#appuploadfiles/3a18ea8d-907c-cd8a-60c7-f476069c2787","LSD PROMOTIONS (EVENTS) LIMITED")</f>
      </c>
      <c r="B1994" s="3" t="s">
        <v>17</v>
      </c>
      <c r="C1994" s="4">
        <v>130</v>
      </c>
    </row>
    <row r="1995">
      <c r="A1995" s="5">
        <f>HYPERLINK("https://app-web.statementrec.com/app#appuploadfiles/3a18ee86-af4d-2d4b-4c0c-49fd8aa1b027","LSD PROMOTIONS LIMITED")</f>
      </c>
      <c r="B1995" s="3" t="s">
        <v>17</v>
      </c>
      <c r="C1995" s="4">
        <v>155</v>
      </c>
    </row>
    <row r="1996">
      <c r="A1996" s="5">
        <f>HYPERLINK("https://app-web.statementrec.com/app#appuploadfiles/3a18eefc-7101-45da-74f1-86544970e87f","REAW SERVICES LTD")</f>
      </c>
      <c r="B1996" s="3" t="s">
        <v>11</v>
      </c>
      <c r="C1996" s="4">
        <v>34</v>
      </c>
    </row>
    <row r="1997">
      <c r="A1997" s="5">
        <f>HYPERLINK("https://app-web.statementrec.com/app#appuploadfiles/3a18ef45-e135-308c-418c-aed74971c2a9","T S WHOLESALE LIMITED")</f>
      </c>
      <c r="B1997" s="3" t="s">
        <v>74</v>
      </c>
      <c r="C1997" s="4">
        <v>41</v>
      </c>
    </row>
    <row r="1998">
      <c r="A1998" s="5">
        <f>HYPERLINK("https://app-web.statementrec.com/app#appuploadfiles/3a18ff05-1c7f-90ab-c4ff-cc4aa0c9a91d","Chadwick Care Ltd")</f>
      </c>
      <c r="B1998" s="3" t="s">
        <v>12</v>
      </c>
      <c r="C1998" s="4">
        <v>6</v>
      </c>
    </row>
    <row r="1999">
      <c r="A1999" s="5">
        <f>HYPERLINK("https://app-web.statementrec.com/app#appuploadfiles/3a18ffc4-0026-fc76-0b80-189d82e5377f","Komri Systems  Incorporated")</f>
      </c>
      <c r="B1999" s="3" t="s">
        <v>447</v>
      </c>
      <c r="C1999" s="4">
        <v>18</v>
      </c>
    </row>
    <row r="2000">
      <c r="A2000" s="5">
        <f>HYPERLINK("https://app-web.statementrec.com/app#appuploadfiles/3a1903a4-39c0-b54e-7125-18d02a47a6e5","Alguada Farming Ventures (Pty) Ltd")</f>
      </c>
      <c r="B2000" s="3" t="s">
        <v>448</v>
      </c>
      <c r="C2000" s="4">
        <v>9</v>
      </c>
    </row>
    <row r="2001">
      <c r="A2001" s="5">
        <f>HYPERLINK("https://app-web.statementrec.com/app#appuploadfiles/3a190554-5c53-4494-cadf-77030809982a","Dim Sim Trust")</f>
      </c>
      <c r="B2001" s="3" t="s">
        <v>46</v>
      </c>
      <c r="C2001" s="4">
        <v>12</v>
      </c>
    </row>
    <row r="2002">
      <c r="A2002" s="5">
        <f>HYPERLINK("https://app-web.statementrec.com/app#appuploadfiles/3a19096e-ca4f-7fdc-2d9c-3bea068acd7d","Van Raam Ltd")</f>
      </c>
      <c r="B2002" s="3" t="s">
        <v>47</v>
      </c>
      <c r="C2002" s="4">
        <v>9</v>
      </c>
    </row>
    <row r="2003">
      <c r="A2003" s="5">
        <f>HYPERLINK("https://app-web.statementrec.com/app#appuploadfiles/3a190972-aca2-1f1c-f5fc-525a8ff79a99","Premier 1 T/A Elite Alloy Wheels&amp;Tyres")</f>
      </c>
      <c r="B2003" s="3" t="s">
        <v>11</v>
      </c>
      <c r="C2003" s="4">
        <v>3</v>
      </c>
    </row>
    <row r="2004">
      <c r="A2004" s="5">
        <f>HYPERLINK("https://app-web.statementrec.com/app#appuploadfiles/3a190d55-1a5a-6154-bc32-b89758655787","J Bradley &amp; Son")</f>
      </c>
      <c r="B2004" s="3" t="s">
        <v>17</v>
      </c>
      <c r="C2004" s="4">
        <v>8</v>
      </c>
    </row>
    <row r="2005">
      <c r="A2005" s="5">
        <f>HYPERLINK("https://app-web.statementrec.com/app#appuploadfiles/3a190e6a-48b1-a485-cbf0-a179db9cb6fa","Peter Whitby")</f>
      </c>
      <c r="B2005" s="3" t="s">
        <v>29</v>
      </c>
      <c r="C2005" s="4">
        <v>6</v>
      </c>
    </row>
    <row r="2006">
      <c r="A2006" s="5">
        <f>HYPERLINK("https://app-web.statementrec.com/app#appuploadfiles/3a190fdc-a6e1-8125-2636-58671c858d0f","NHS")</f>
      </c>
      <c r="B2006" s="3" t="s">
        <v>47</v>
      </c>
      <c r="C2006" s="4">
        <v>2</v>
      </c>
    </row>
    <row r="2007">
      <c r="A2007" s="5">
        <f>HYPERLINK("https://app-web.statementrec.com/app#appuploadfiles/3a1911f3-f26f-1ae7-214e-8cf054b2f602","Zota Technologies UK Limited")</f>
      </c>
      <c r="B2007" s="3" t="s">
        <v>449</v>
      </c>
      <c r="C2007" s="4">
        <v>1</v>
      </c>
    </row>
    <row r="2008">
      <c r="A2008" s="5">
        <f>HYPERLINK("https://app-web.statementrec.com/app#appuploadfiles/3a191229-f4a5-ceab-06ba-d172c34ae63b","1356 - Level Up Online Coaching")</f>
      </c>
      <c r="B2008" s="3" t="s">
        <v>17</v>
      </c>
      <c r="C2008" s="4">
        <v>11</v>
      </c>
    </row>
    <row r="2009">
      <c r="A2009" s="5">
        <f>HYPERLINK("https://app-web.statementrec.com/app#appuploadfiles/3a19123c-5f06-109c-8e25-d593829d1046","Kerry Talbot T/A Spk n Spn Cleaning")</f>
      </c>
      <c r="B2009" s="3" t="s">
        <v>84</v>
      </c>
      <c r="C2009" s="4">
        <v>54</v>
      </c>
    </row>
    <row r="2010">
      <c r="A2010" s="5">
        <f>HYPERLINK("https://app-web.statementrec.com/app#appuploadfiles/3a1912c0-e2b0-d34a-891a-fbe78971e2e5","Kornelija Mikalauskaite")</f>
      </c>
      <c r="B2010" s="3" t="s">
        <v>10</v>
      </c>
      <c r="C2010" s="4">
        <v>20</v>
      </c>
    </row>
    <row r="2011">
      <c r="A2011" s="5">
        <f>HYPERLINK("https://app-web.statementrec.com/app#appuploadfiles/3a192401-82af-a17e-98d4-2c492b91bfd7","J Parker 25")</f>
      </c>
      <c r="B2011" s="3" t="s">
        <v>19</v>
      </c>
      <c r="C2011" s="4">
        <v>13</v>
      </c>
    </row>
    <row r="2012">
      <c r="A2012" s="5">
        <f>HYPERLINK("https://app-web.statementrec.com/app#appuploadfiles/3a192711-3c42-bcc3-1f83-f1a782934945","Rigger Shackle")</f>
      </c>
      <c r="B2012" s="3" t="s">
        <v>70</v>
      </c>
      <c r="C2012" s="4">
        <v>3</v>
      </c>
    </row>
    <row r="2013">
      <c r="A2013" s="5">
        <f>HYPERLINK("https://app-web.statementrec.com/app#appuploadfiles/3a1927c8-126f-785a-db45-37a35698bc26","KA009 - Kasmaei Ltd")</f>
      </c>
      <c r="B2013" s="3" t="s">
        <v>15</v>
      </c>
      <c r="C2013" s="4">
        <v>8</v>
      </c>
    </row>
    <row r="2014">
      <c r="A2014" s="5">
        <f>HYPERLINK("https://app-web.statementrec.com/app#appuploadfiles/3a1927ff-455b-f786-b3e3-67feff72d4b8","Des O Doherty")</f>
      </c>
      <c r="B2014" s="3" t="s">
        <v>316</v>
      </c>
      <c r="C2014" s="4">
        <v>3</v>
      </c>
    </row>
    <row r="2015">
      <c r="A2015" s="5">
        <f>HYPERLINK("https://app-web.statementrec.com/app#appuploadfiles/3a192801-1b0e-ba98-e8af-0b7a64eaa697","Kind Bloodstock Limited")</f>
      </c>
      <c r="B2015" s="3" t="s">
        <v>89</v>
      </c>
      <c r="C2015" s="4">
        <v>12</v>
      </c>
    </row>
    <row r="2016">
      <c r="A2016" s="5">
        <f>HYPERLINK("https://app-web.statementrec.com/app#appuploadfiles/3a192863-c25e-0677-6ef3-f4028760ad91","Oxomoron Ltd")</f>
      </c>
      <c r="B2016" s="3" t="s">
        <v>450</v>
      </c>
      <c r="C2016" s="4">
        <v>2</v>
      </c>
    </row>
    <row r="2017">
      <c r="A2017" s="5">
        <f>HYPERLINK("https://app-web.statementrec.com/app#appuploadfiles/3a192bdb-e945-d362-08c0-5640f08fea8e","Mark Austin")</f>
      </c>
      <c r="B2017" s="3" t="s">
        <v>24</v>
      </c>
      <c r="C2017" s="4">
        <v>54</v>
      </c>
    </row>
    <row r="2018">
      <c r="A2018" s="5">
        <f>HYPERLINK("https://app-web.statementrec.com/app#appuploadfiles/3a192c5e-0617-a542-f60b-4c803c8dba0f","Serve and Return LLP")</f>
      </c>
      <c r="B2018" s="3" t="s">
        <v>17</v>
      </c>
      <c r="C2018" s="4">
        <v>6</v>
      </c>
    </row>
    <row r="2019">
      <c r="A2019" s="5">
        <f>HYPERLINK("https://app-web.statementrec.com/app#appuploadfiles/3a1930fc-ea87-924f-f684-5976801b2a47","Aevum Press")</f>
      </c>
      <c r="B2019" s="3" t="s">
        <v>13</v>
      </c>
      <c r="C2019" s="4">
        <v>8</v>
      </c>
    </row>
    <row r="2020">
      <c r="A2020" s="5">
        <f>HYPERLINK("https://app-web.statementrec.com/app#appuploadfiles/3a193102-fb27-2412-0cc7-299ee2693f4e","M&amp;B")</f>
      </c>
      <c r="B2020" s="3" t="s">
        <v>387</v>
      </c>
      <c r="C2020" s="4">
        <v>9</v>
      </c>
    </row>
    <row r="2021">
      <c r="A2021" s="5">
        <f>HYPERLINK("https://app-web.statementrec.com/app#appuploadfiles/3a19371d-328b-964c-6e31-fdbacd90ae2f","NH Logistics")</f>
      </c>
      <c r="B2021" s="3" t="s">
        <v>26</v>
      </c>
      <c r="C2021" s="4">
        <v>12</v>
      </c>
    </row>
    <row r="2022">
      <c r="A2022" s="5">
        <f>HYPERLINK("https://app-web.statementrec.com/app#appuploadfiles/3a193d5d-e99f-5bb5-2a68-4acbaa94d568","Reynoso Credit Cards")</f>
      </c>
      <c r="B2022" s="3" t="s">
        <v>451</v>
      </c>
      <c r="C2022" s="4">
        <v>15</v>
      </c>
    </row>
    <row r="2023">
      <c r="A2023" s="5">
        <f>HYPERLINK("https://app-web.statementrec.com/app#appuploadfiles/3a194337-23b8-7a03-8279-d68456b2d555","CHINA WHEELS LIMITED")</f>
      </c>
      <c r="B2023" s="3" t="s">
        <v>452</v>
      </c>
      <c r="C2023" s="4">
        <v>5</v>
      </c>
    </row>
    <row r="2024">
      <c r="A2024" s="5">
        <f>HYPERLINK("https://app-web.statementrec.com/app#appuploadfiles/3a19455a-da7f-87f8-63d1-5c967cda1432","Pest Control")</f>
      </c>
      <c r="B2024" s="3" t="s">
        <v>453</v>
      </c>
      <c r="C2024" s="4">
        <v>6</v>
      </c>
    </row>
    <row r="2025">
      <c r="A2025" s="5">
        <f>HYPERLINK("https://app-web.statementrec.com/app#appuploadfiles/3a19459f-f9ea-2a01-dd61-4e1a884a5a9c","K2023881245 (SOUTH AFRICA) (PTY) LTD")</f>
      </c>
      <c r="B2025" s="3" t="s">
        <v>48</v>
      </c>
      <c r="C2025" s="4">
        <v>13</v>
      </c>
    </row>
    <row r="2026">
      <c r="A2026" s="5">
        <f>HYPERLINK("https://app-web.statementrec.com/app#appuploadfiles/3a1946ee-348f-a98d-10cf-a2a00eee168d","James McKee")</f>
      </c>
      <c r="B2026" s="3" t="s">
        <v>36</v>
      </c>
      <c r="C2026" s="4">
        <v>4</v>
      </c>
    </row>
    <row r="2027">
      <c r="A2027" s="5">
        <f>HYPERLINK("https://app-web.statementrec.com/app#appuploadfiles/3a194b09-1c04-053f-4d53-cb6e5307930a","Ashley J. Wynne Flooring Ltd")</f>
      </c>
      <c r="B2027" s="3" t="s">
        <v>16</v>
      </c>
      <c r="C2027" s="4">
        <v>5</v>
      </c>
    </row>
    <row r="2028">
      <c r="A2028" s="5">
        <f>HYPERLINK("https://app-web.statementrec.com/app#appuploadfiles/3a194b3e-224e-8637-b78f-766c810a4113","Rollquick Ltd")</f>
      </c>
      <c r="B2028" s="3" t="s">
        <v>17</v>
      </c>
      <c r="C2028" s="4">
        <v>16</v>
      </c>
    </row>
    <row r="2029">
      <c r="A2029" s="5">
        <f>HYPERLINK("https://app-web.statementrec.com/app#appuploadfiles/3a194b44-3ee2-85d2-72bd-fdd81addd71c","314 Web 2024")</f>
      </c>
      <c r="B2029" s="3" t="s">
        <v>3</v>
      </c>
      <c r="C2029" s="4">
        <v>2</v>
      </c>
    </row>
    <row r="2030">
      <c r="A2030" s="5">
        <f>HYPERLINK("https://app-web.statementrec.com/app#appuploadfiles/3a194ba6-35a0-cf7f-9107-bdc85638d7d6","MASA-2 Property")</f>
      </c>
      <c r="B2030" s="3" t="s">
        <v>11</v>
      </c>
      <c r="C2030" s="4">
        <v>7</v>
      </c>
    </row>
    <row r="2031">
      <c r="A2031" s="5">
        <f>HYPERLINK("https://app-web.statementrec.com/app#appuploadfiles/3a194c1a-336d-01ec-6616-c4f0eb19440f","Serenity KBB")</f>
      </c>
      <c r="B2031" s="3" t="s">
        <v>454</v>
      </c>
      <c r="C2031" s="4">
        <v>22</v>
      </c>
    </row>
    <row r="2032">
      <c r="A2032" s="5">
        <f>HYPERLINK("https://app-web.statementrec.com/app#appuploadfiles/3a194c54-3036-eeab-38db-5ef4030e69e8","Valderie Limited")</f>
      </c>
      <c r="B2032" s="3" t="s">
        <v>17</v>
      </c>
      <c r="C2032" s="4">
        <v>18</v>
      </c>
    </row>
    <row r="2033">
      <c r="A2033" s="5">
        <f>HYPERLINK("https://app-web.statementrec.com/app#appuploadfiles/3a19503d-c6ad-0eb0-c951-55d20ccd95ca","Sean Ohara")</f>
      </c>
      <c r="B2033" s="3" t="s">
        <v>17</v>
      </c>
      <c r="C2033" s="4">
        <v>24</v>
      </c>
    </row>
    <row r="2034">
      <c r="A2034" s="5">
        <f>HYPERLINK("https://app-web.statementrec.com/app#appuploadfiles/3a195060-720c-284e-7a39-527a0b1aa53a","Stormshore Ltd")</f>
      </c>
      <c r="B2034" s="3" t="s">
        <v>47</v>
      </c>
      <c r="C2034" s="4">
        <v>12</v>
      </c>
    </row>
    <row r="2035">
      <c r="A2035" s="5">
        <f>HYPERLINK("https://app-web.statementrec.com/app#appuploadfiles/3a1950ba-de3e-2fd5-c694-ad79155b18f7","General consulting")</f>
      </c>
      <c r="B2035" s="3" t="s">
        <v>86</v>
      </c>
      <c r="C2035" s="4">
        <v>21</v>
      </c>
    </row>
    <row r="2036">
      <c r="A2036" s="5">
        <f>HYPERLINK("https://app-web.statementrec.com/app#appuploadfiles/3a195534-fc92-025d-34d4-80b43fa76947","Franks Natural Pet Shop")</f>
      </c>
      <c r="B2036" s="3" t="s">
        <v>190</v>
      </c>
      <c r="C2036" s="4">
        <v>13</v>
      </c>
    </row>
    <row r="2037">
      <c r="A2037" s="5">
        <f>HYPERLINK("https://app-web.statementrec.com/app#appuploadfiles/3a195610-406f-4389-04ec-f7e3d56e4af9","Chapel Fell Veterinary Services Ltd")</f>
      </c>
      <c r="B2037" s="3" t="s">
        <v>168</v>
      </c>
      <c r="C2037" s="4">
        <v>51</v>
      </c>
    </row>
    <row r="2038">
      <c r="A2038" s="5">
        <f>HYPERLINK("https://app-web.statementrec.com/app#appuploadfiles/3a195648-b279-3a72-9090-98e78447e5a8","PFS Viljoen")</f>
      </c>
      <c r="B2038" s="3" t="s">
        <v>13</v>
      </c>
      <c r="C2038" s="4">
        <v>28</v>
      </c>
    </row>
    <row r="2039">
      <c r="A2039" s="5">
        <f>HYPERLINK("https://app-web.statementrec.com/app#appuploadfiles/3a19564a-1bcc-5d22-acac-b500dd6bafb1","Droekraal Slahuis bk")</f>
      </c>
      <c r="B2039" s="3" t="s">
        <v>38</v>
      </c>
      <c r="C2039" s="4">
        <v>54</v>
      </c>
    </row>
    <row r="2040">
      <c r="A2040" s="5">
        <f>HYPERLINK("https://app-web.statementrec.com/app#appuploadfiles/3a195d72-eaef-7e76-a8e2-31e77049ede8","DURJA DEV LLC")</f>
      </c>
      <c r="B2040" s="3" t="s">
        <v>455</v>
      </c>
      <c r="C2040" s="4">
        <v>27</v>
      </c>
    </row>
    <row r="2041">
      <c r="A2041" s="5">
        <f>HYPERLINK("https://app-web.statementrec.com/app#appuploadfiles/3a196b95-50ea-41b5-138a-94dba040ce82","02188-CombsMary")</f>
      </c>
      <c r="B2041" s="3" t="s">
        <v>456</v>
      </c>
      <c r="C2041" s="4">
        <v>980</v>
      </c>
    </row>
    <row r="2042">
      <c r="A2042" s="5">
        <f>HYPERLINK("https://app-web.statementrec.com/app#appuploadfiles/3a196c17-1661-fa2b-a899-08563a872797","Gyula Gyenes")</f>
      </c>
      <c r="B2042" s="3" t="s">
        <v>457</v>
      </c>
      <c r="C2042" s="4">
        <v>132</v>
      </c>
    </row>
    <row r="2043">
      <c r="A2043" s="5">
        <f>HYPERLINK("https://app-web.statementrec.com/app#appuploadfiles/3a196d0c-1023-2943-cf32-59d9c393ff39","Kris Sigmeth")</f>
      </c>
      <c r="B2043" s="3" t="s">
        <v>26</v>
      </c>
      <c r="C2043" s="4">
        <v>127</v>
      </c>
    </row>
    <row r="2044">
      <c r="A2044" s="5">
        <f>HYPERLINK("https://app-web.statementrec.com/app#appuploadfiles/3a196f01-e6dc-2adb-b629-9210986c492a","Paul Sisson")</f>
      </c>
      <c r="B2044" s="3" t="s">
        <v>12</v>
      </c>
      <c r="C2044" s="4">
        <v>58</v>
      </c>
    </row>
    <row r="2045">
      <c r="A2045" s="5">
        <f>HYPERLINK("https://app-web.statementrec.com/app#appuploadfiles/3a196f05-3198-8440-4401-f8213d3225dc","Andrew Sisson")</f>
      </c>
      <c r="B2045" s="3" t="s">
        <v>458</v>
      </c>
      <c r="C2045" s="4">
        <v>124</v>
      </c>
    </row>
    <row r="2046">
      <c r="A2046" s="5">
        <f>HYPERLINK("https://app-web.statementrec.com/app#appuploadfiles/3a196ffe-8243-b682-dddc-15e19c356080","03430/L Humber Mariner Development Ltd")</f>
      </c>
      <c r="B2046" s="3" t="s">
        <v>459</v>
      </c>
      <c r="C2046" s="4">
        <v>60</v>
      </c>
    </row>
    <row r="2047">
      <c r="A2047" s="5">
        <f>HYPERLINK("https://app-web.statementrec.com/app#appuploadfiles/3a19700a-3f39-8d86-f432-cb4fac71d728","AE Operations Ltd")</f>
      </c>
      <c r="B2047" s="3" t="s">
        <v>11</v>
      </c>
      <c r="C2047" s="4">
        <v>44</v>
      </c>
    </row>
    <row r="2048">
      <c r="A2048" s="5">
        <f>HYPERLINK("https://app-web.statementrec.com/app#appuploadfiles/3a197035-ce92-a895-562c-49810b64a5f4","Insight Global Evergreen")</f>
      </c>
      <c r="B2048" s="3" t="s">
        <v>146</v>
      </c>
      <c r="C2048" s="4">
        <v>4</v>
      </c>
    </row>
    <row r="2049">
      <c r="A2049" s="5">
        <f>HYPERLINK("https://app-web.statementrec.com/app#appuploadfiles/3a1972b6-8b0e-9ad1-a722-ea331b7a1fe6","2025")</f>
      </c>
      <c r="B2049" s="3" t="s">
        <v>38</v>
      </c>
      <c r="C2049" s="4">
        <v>2</v>
      </c>
    </row>
    <row r="2050">
      <c r="A2050" s="5">
        <f>HYPERLINK("https://app-web.statementrec.com/app#appuploadfiles/3a197384-e2f1-0018-bfec-3ed0081a0d05","Omega")</f>
      </c>
      <c r="B2050" s="3" t="s">
        <v>56</v>
      </c>
      <c r="C2050" s="4">
        <v>4</v>
      </c>
    </row>
    <row r="2051">
      <c r="A2051" s="5">
        <f>HYPERLINK("https://app-web.statementrec.com/app#appuploadfiles/3a197385-0b4b-4b90-7e11-ee798edd572e","Arthur")</f>
      </c>
      <c r="B2051" s="3" t="s">
        <v>47</v>
      </c>
      <c r="C2051" s="4">
        <v>3</v>
      </c>
    </row>
    <row r="2052">
      <c r="A2052" s="5">
        <f>HYPERLINK("https://app-web.statementrec.com/app#appuploadfiles/3a19753d-681a-eb87-bcc0-6970171df733","Taylor &amp; Tait Limited")</f>
      </c>
      <c r="B2052" s="3" t="s">
        <v>17</v>
      </c>
      <c r="C2052" s="4">
        <v>8</v>
      </c>
    </row>
    <row r="2053">
      <c r="A2053" s="5">
        <f>HYPERLINK("https://app-web.statementrec.com/app#appuploadfiles/3a1975ca-0286-f09c-322b-7726061015a1","L Birch 25")</f>
      </c>
      <c r="B2053" s="3" t="s">
        <v>139</v>
      </c>
      <c r="C2053" s="4">
        <v>44</v>
      </c>
    </row>
    <row r="2054">
      <c r="A2054" s="5">
        <f>HYPERLINK("https://app-web.statementrec.com/app#appuploadfiles/3a197684-18ff-9c0d-09a0-7d0f8351b180","H Kenny 25")</f>
      </c>
      <c r="B2054" s="3" t="s">
        <v>15</v>
      </c>
      <c r="C2054" s="4">
        <v>27</v>
      </c>
    </row>
    <row r="2055">
      <c r="A2055" s="5">
        <f>HYPERLINK("https://app-web.statementrec.com/app#appuploadfiles/3a197a42-a547-ede0-41a3-13f9a8fb42ab","Maire Keohane (K2017)")</f>
      </c>
      <c r="B2055" s="3" t="s">
        <v>75</v>
      </c>
      <c r="C2055" s="4">
        <v>8</v>
      </c>
    </row>
    <row r="2056">
      <c r="A2056" s="5">
        <f>HYPERLINK("https://app-web.statementrec.com/app#appuploadfiles/3a197a7b-604a-6d15-6f78-f995efdca5e7","LNR Holdings II")</f>
      </c>
      <c r="B2056" s="3" t="s">
        <v>460</v>
      </c>
      <c r="C2056" s="4">
        <v>6</v>
      </c>
    </row>
    <row r="2057">
      <c r="A2057" s="5">
        <f>HYPERLINK("https://app-web.statementrec.com/app#appuploadfiles/3a197e43-b74a-e104-430d-013faf2ecc42","Leanne Nicholson")</f>
      </c>
      <c r="B2057" s="3" t="s">
        <v>12</v>
      </c>
      <c r="C2057" s="4">
        <v>2</v>
      </c>
    </row>
    <row r="2058">
      <c r="A2058" s="5">
        <f>HYPERLINK("https://app-web.statementrec.com/app#appuploadfiles/3a197f03-dceb-07ed-bbd9-58356aaebe2d","KAB Commerce t/a Sorbet Kenilworth")</f>
      </c>
      <c r="B2058" s="3" t="s">
        <v>342</v>
      </c>
      <c r="C2058" s="4">
        <v>12</v>
      </c>
    </row>
    <row r="2059">
      <c r="A2059" s="5">
        <f>HYPERLINK("https://app-web.statementrec.com/app#appuploadfiles/3a197f78-21c0-cfe9-93e1-dbb506793249","Murphy Loss Assessors")</f>
      </c>
      <c r="B2059" s="3" t="s">
        <v>3</v>
      </c>
      <c r="C2059" s="4">
        <v>8</v>
      </c>
    </row>
    <row r="2060">
      <c r="A2060" s="5">
        <f>HYPERLINK("https://app-web.statementrec.com/app#appuploadfiles/3a197fdc-592a-7378-0dbf-883f7a49e74c","FSR Atlantic Limited")</f>
      </c>
      <c r="B2060" s="3" t="s">
        <v>11</v>
      </c>
      <c r="C2060" s="4">
        <v>81</v>
      </c>
    </row>
    <row r="2061">
      <c r="A2061" s="5">
        <f>HYPERLINK("https://app-web.statementrec.com/app#appuploadfiles/3a198d9b-12ed-b1a8-1f3f-169e5056d208","5649 Wythall Windows")</f>
      </c>
      <c r="B2061" s="3" t="s">
        <v>13</v>
      </c>
      <c r="C2061" s="4">
        <v>8</v>
      </c>
    </row>
    <row r="2062">
      <c r="A2062" s="5">
        <f>HYPERLINK("https://app-web.statementrec.com/app#appuploadfiles/3a199088-6581-b4df-4333-7c2c5aee8b07","Dr Gabone QHSC")</f>
      </c>
      <c r="B2062" s="3" t="s">
        <v>56</v>
      </c>
      <c r="C2062" s="4">
        <v>40</v>
      </c>
    </row>
    <row r="2063">
      <c r="A2063" s="5">
        <f>HYPERLINK("https://app-web.statementrec.com/app#appuploadfiles/3a199295-c3c0-2e6b-c4e0-55dfb73caa77","Foster Whisky Management Limited")</f>
      </c>
      <c r="B2063" s="3" t="s">
        <v>11</v>
      </c>
      <c r="C2063" s="4">
        <v>4</v>
      </c>
    </row>
    <row r="2064">
      <c r="A2064" s="5">
        <f>HYPERLINK("https://app-web.statementrec.com/app#appuploadfiles/3a19934b-6f10-72de-d5e8-2f41bca38021","Ashley Hendy")</f>
      </c>
      <c r="B2064" s="3" t="s">
        <v>19</v>
      </c>
      <c r="C2064" s="4">
        <v>4</v>
      </c>
    </row>
    <row r="2065">
      <c r="A2065" s="5">
        <f>HYPERLINK("https://app-web.statementrec.com/app#appuploadfiles/3a1993d1-39e7-afe4-cb85-c353f506b388","Rhino Transport")</f>
      </c>
      <c r="B2065" s="3" t="s">
        <v>461</v>
      </c>
      <c r="C2065" s="4">
        <v>24</v>
      </c>
    </row>
    <row r="2066">
      <c r="A2066" s="5">
        <f>HYPERLINK("https://app-web.statementrec.com/app#appuploadfiles/3a199402-f2c9-de19-0620-c3bae782d00e","Ye Beauty Limited")</f>
      </c>
      <c r="B2066" s="3" t="s">
        <v>43</v>
      </c>
      <c r="C2066" s="4">
        <v>75</v>
      </c>
    </row>
    <row r="2067">
      <c r="A2067" s="5">
        <f>HYPERLINK("https://app-web.statementrec.com/app#appuploadfiles/3a19942f-b73c-da87-570f-5220becdd86a","Desmond Bailey")</f>
      </c>
      <c r="B2067" s="3" t="s">
        <v>18</v>
      </c>
      <c r="C2067" s="4">
        <v>4</v>
      </c>
    </row>
    <row r="2068">
      <c r="A2068" s="5">
        <f>HYPERLINK("https://app-web.statementrec.com/app#appuploadfiles/3a19959e-4d47-d962-47ea-c787ba1001c1","D6 Enterprises Ltd.")</f>
      </c>
      <c r="B2068" s="3" t="s">
        <v>40</v>
      </c>
      <c r="C2068" s="4">
        <v>27</v>
      </c>
    </row>
    <row r="2069">
      <c r="A2069" s="5">
        <f>HYPERLINK("https://app-web.statementrec.com/app#appuploadfiles/3a19980c-72f5-8116-aeb0-4082d4982a93","CHEMTAI")</f>
      </c>
      <c r="B2069" s="3" t="s">
        <v>12</v>
      </c>
      <c r="C2069" s="4">
        <v>15</v>
      </c>
    </row>
    <row r="2070">
      <c r="A2070" s="5">
        <f>HYPERLINK("https://app-web.statementrec.com/app#appuploadfiles/3a199de2-b166-6732-08fc-8319d49ee65c","RockBridge Developments")</f>
      </c>
      <c r="B2070" s="3" t="s">
        <v>11</v>
      </c>
      <c r="C2070" s="4">
        <v>77</v>
      </c>
    </row>
    <row r="2071">
      <c r="A2071" s="5">
        <f>HYPERLINK("https://app-web.statementrec.com/app#appuploadfiles/3a199f8e-d553-7385-e6c8-954a4a2271a4","SQIA")</f>
      </c>
      <c r="B2071" s="3" t="s">
        <v>15</v>
      </c>
      <c r="C2071" s="4">
        <v>4</v>
      </c>
    </row>
    <row r="2072">
      <c r="A2072" s="5">
        <f>HYPERLINK("https://app-web.statementrec.com/app#appuploadfiles/3a19a147-e259-6dda-ec6f-280e66acef68","S&amp;B SHACK")</f>
      </c>
      <c r="B2072" s="3" t="s">
        <v>58</v>
      </c>
      <c r="C2072" s="4">
        <v>10</v>
      </c>
    </row>
    <row r="2073">
      <c r="A2073" s="5">
        <f>HYPERLINK("https://app-web.statementrec.com/app#appuploadfiles/3a19a267-5f2a-f276-cf43-108c998e6d6a","CMYK Retail Solutions Limited_1151726-100")</f>
      </c>
      <c r="B2073" s="3" t="s">
        <v>462</v>
      </c>
      <c r="C2073" s="4">
        <v>3</v>
      </c>
    </row>
    <row r="2074">
      <c r="A2074" s="5">
        <f>HYPERLINK("https://app-web.statementrec.com/app#appuploadfiles/3a19b371-c580-b630-fec2-cc1082d48526","Next Level AVL")</f>
      </c>
      <c r="B2074" s="3" t="s">
        <v>47</v>
      </c>
      <c r="C2074" s="4">
        <v>124</v>
      </c>
    </row>
    <row r="2075">
      <c r="A2075" s="5">
        <f>HYPERLINK("https://app-web.statementrec.com/app#appuploadfiles/3a19b71a-66f7-bc95-627c-8dc2a0ffea8b","Lisa Looker")</f>
      </c>
      <c r="B2075" s="3" t="s">
        <v>19</v>
      </c>
      <c r="C2075" s="4">
        <v>4</v>
      </c>
    </row>
    <row r="2076">
      <c r="A2076" s="5">
        <f>HYPERLINK("https://app-web.statementrec.com/app#appuploadfiles/3a19b818-10a0-2bf3-6edf-bb6d2e7eb299","Apr 24 - Mar 25")</f>
      </c>
      <c r="B2076" s="3" t="s">
        <v>19</v>
      </c>
      <c r="C2076" s="4">
        <v>56</v>
      </c>
    </row>
    <row r="2077">
      <c r="A2077" s="5">
        <f>HYPERLINK("https://app-web.statementrec.com/app#appuploadfiles/3a19b8e7-25ab-ad1c-4117-eb03f8b352db","6834 BOA")</f>
      </c>
      <c r="B2077" s="3" t="s">
        <v>146</v>
      </c>
      <c r="C2077" s="4">
        <v>8</v>
      </c>
    </row>
    <row r="2078">
      <c r="A2078" s="5">
        <f>HYPERLINK("https://app-web.statementrec.com/app#appuploadfiles/3a19bc25-745f-f9b1-5784-115c4bb9ca67","Southern Palace Investments 246 (Pty) Lt")</f>
      </c>
      <c r="B2078" s="3" t="s">
        <v>463</v>
      </c>
      <c r="C2078" s="4">
        <v>1</v>
      </c>
    </row>
    <row r="2079">
      <c r="A2079" s="5">
        <f>HYPERLINK("https://app-web.statementrec.com/app#appuploadfiles/3a19bc26-b994-9bda-5d97-0873a7ec9995","African Dune Investments 104 (Pty) Ltd.")</f>
      </c>
      <c r="B2079" s="3" t="s">
        <v>463</v>
      </c>
      <c r="C2079" s="4">
        <v>1</v>
      </c>
    </row>
    <row r="2080">
      <c r="A2080" s="5">
        <f>HYPERLINK("https://app-web.statementrec.com/app#appuploadfiles/3a19bcdd-f74c-2cf4-b263-182ecf9c905d","Quickdeck (Pty) Ltd")</f>
      </c>
      <c r="B2080" s="3" t="s">
        <v>297</v>
      </c>
      <c r="C2080" s="4">
        <v>1</v>
      </c>
    </row>
    <row r="2081">
      <c r="A2081" s="5">
        <f>HYPERLINK("https://app-web.statementrec.com/app#appuploadfiles/3a19bd2a-3ab4-e238-2f96-0adabaf80321","Sofia Calugaru - sole trader")</f>
      </c>
      <c r="B2081" s="3" t="s">
        <v>17</v>
      </c>
      <c r="C2081" s="4">
        <v>67</v>
      </c>
    </row>
    <row r="2082">
      <c r="A2082" s="5">
        <f>HYPERLINK("https://app-web.statementrec.com/app#appuploadfiles/3a19bd2e-438d-a542-ed81-db13382b11bf","Tshegowethu Group (Pty) Ltd")</f>
      </c>
      <c r="B2082" s="3" t="s">
        <v>118</v>
      </c>
      <c r="C2082" s="4">
        <v>10</v>
      </c>
    </row>
    <row r="2083">
      <c r="A2083" s="5">
        <f>HYPERLINK("https://app-web.statementrec.com/app#appuploadfiles/3a19bd45-4ba7-19fb-0c4b-165d838a9305","Global Brain Europe Limited (20280)")</f>
      </c>
      <c r="B2083" s="3" t="s">
        <v>464</v>
      </c>
      <c r="C2083" s="4">
        <v>2</v>
      </c>
    </row>
    <row r="2084">
      <c r="A2084" s="5">
        <f>HYPERLINK("https://app-web.statementrec.com/app#appuploadfiles/3a19bd4b-71b6-163b-b80a-1e8b7d56fd75","Fulton x2418 HBS Checking Desktop Straight")</f>
      </c>
      <c r="B2084" s="3" t="s">
        <v>465</v>
      </c>
      <c r="C2084" s="4">
        <v>8</v>
      </c>
    </row>
    <row r="2085">
      <c r="A2085" s="5">
        <f>HYPERLINK("https://app-web.statementrec.com/app#appuploadfiles/3a19bdb1-d411-6043-e9ab-267c0f28524f","WI-MR0001 - Mr D Hope T/A P M &amp; D J Hope")</f>
      </c>
      <c r="B2085" s="3" t="s">
        <v>136</v>
      </c>
      <c r="C2085" s="4">
        <v>3</v>
      </c>
    </row>
    <row r="2086">
      <c r="A2086" s="5">
        <f>HYPERLINK("https://app-web.statementrec.com/app#appuploadfiles/3a19bf12-0a40-0ac4-e778-5c9ca2adc77d","Sandpiper Gardens &amp; Glass Inc")</f>
      </c>
      <c r="B2086" s="3" t="s">
        <v>13</v>
      </c>
      <c r="C2086" s="4">
        <v>9</v>
      </c>
    </row>
    <row r="2087">
      <c r="A2087" s="5">
        <f>HYPERLINK("https://app-web.statementrec.com/app#appuploadfiles/3a19c151-b0b8-c828-a3d1-d1bc239e304e","DSR Solutions Ltd")</f>
      </c>
      <c r="B2087" s="3" t="s">
        <v>70</v>
      </c>
      <c r="C2087" s="4">
        <v>10</v>
      </c>
    </row>
    <row r="2088">
      <c r="A2088" s="5">
        <f>HYPERLINK("https://app-web.statementrec.com/app#appuploadfiles/3a19c1a9-a283-10c8-c7a4-85a66ff7323f","Chris Chandler")</f>
      </c>
      <c r="B2088" s="3" t="s">
        <v>12</v>
      </c>
      <c r="C2088" s="4">
        <v>38</v>
      </c>
    </row>
    <row r="2089">
      <c r="A2089" s="5">
        <f>HYPERLINK("https://app-web.statementrec.com/app#appuploadfiles/3a19c215-3dd7-c0ba-325d-9ffd06ce8650","WG Vermeulen en Seuns (Pty) Ltd")</f>
      </c>
      <c r="B2089" s="3" t="s">
        <v>38</v>
      </c>
      <c r="C2089" s="4">
        <v>4</v>
      </c>
    </row>
    <row r="2090">
      <c r="A2090" s="5">
        <f>HYPERLINK("https://app-web.statementrec.com/app#appuploadfiles/3a19c5d7-b646-34f9-d7ec-d1b1967e0ce7","Dr. Kwang Ho Kim DPC")</f>
      </c>
      <c r="B2090" s="3" t="s">
        <v>466</v>
      </c>
      <c r="C2090" s="4">
        <v>1</v>
      </c>
    </row>
    <row r="2091">
      <c r="A2091" s="5">
        <f>HYPERLINK("https://app-web.statementrec.com/app#appuploadfiles/3a19c6ca-a0bb-4f9b-2287-30aea8c043c4","Helgeo Guesthouse CC")</f>
      </c>
      <c r="B2091" s="3" t="s">
        <v>120</v>
      </c>
      <c r="C2091" s="4">
        <v>4</v>
      </c>
    </row>
    <row r="2092">
      <c r="A2092" s="5">
        <f>HYPERLINK("https://app-web.statementrec.com/app#appuploadfiles/3a19c8f4-63ad-5308-5c96-52a340736729","MV REC")</f>
      </c>
      <c r="B2092" s="3" t="s">
        <v>15</v>
      </c>
      <c r="C2092" s="4">
        <v>7</v>
      </c>
    </row>
    <row r="2093">
      <c r="A2093" s="5">
        <f>HYPERLINK("https://app-web.statementrec.com/app#appuploadfiles/3a19cbf7-921b-3b14-e4dd-9273710d88f9","BM Trading Trust")</f>
      </c>
      <c r="B2093" s="3" t="s">
        <v>80</v>
      </c>
      <c r="C2093" s="4">
        <v>10</v>
      </c>
    </row>
    <row r="2094">
      <c r="A2094" s="5">
        <f>HYPERLINK("https://app-web.statementrec.com/app#appuploadfiles/3a19d55c-c155-21be-84d4-1096add65103","56 Chesptow Villas")</f>
      </c>
      <c r="B2094" s="3" t="s">
        <v>84</v>
      </c>
      <c r="C2094" s="4">
        <v>20</v>
      </c>
    </row>
    <row r="2095">
      <c r="A2095" s="5">
        <f>HYPERLINK("https://app-web.statementrec.com/app#appuploadfiles/3a19d5ce-b8ce-eeca-b92c-b14ea0603dfe","TG Capital Management Limited")</f>
      </c>
      <c r="B2095" s="3" t="s">
        <v>18</v>
      </c>
      <c r="C2095" s="4">
        <v>12</v>
      </c>
    </row>
    <row r="2096">
      <c r="A2096" s="5">
        <f>HYPERLINK("https://app-web.statementrec.com/app#appuploadfiles/3a19d63d-2f32-a87f-6bfb-9d4f6d30037a","Strategic Gearbox and Diff Centre(P)L")</f>
      </c>
      <c r="B2096" s="3" t="s">
        <v>118</v>
      </c>
      <c r="C2096" s="4">
        <v>181</v>
      </c>
    </row>
    <row r="2097">
      <c r="A2097" s="5">
        <f>HYPERLINK("https://app-web.statementrec.com/app#appuploadfiles/3a19d646-07c0-0f68-c400-a254458d6862","Apr 25")</f>
      </c>
      <c r="B2097" s="3" t="s">
        <v>18</v>
      </c>
      <c r="C2097" s="4">
        <v>2</v>
      </c>
    </row>
    <row r="2098">
      <c r="A2098" s="5">
        <f>HYPERLINK("https://app-web.statementrec.com/app#appuploadfiles/3a19d64b-fbf4-3bab-37a6-8e7d3eb7bc15","Frank's Burgers &amp; Ribs")</f>
      </c>
      <c r="B2098" s="3" t="s">
        <v>95</v>
      </c>
      <c r="C2098" s="4">
        <v>24</v>
      </c>
    </row>
    <row r="2099">
      <c r="A2099" s="5">
        <f>HYPERLINK("https://app-web.statementrec.com/app#appuploadfiles/3a19d683-548a-38ac-84d0-b3a6bd845f4c","LP Case Management Ltd")</f>
      </c>
      <c r="B2099" s="3" t="s">
        <v>40</v>
      </c>
      <c r="C2099" s="4">
        <v>1</v>
      </c>
    </row>
    <row r="2100">
      <c r="A2100" s="5">
        <f>HYPERLINK("https://app-web.statementrec.com/app#appuploadfiles/3a19d694-03be-b388-b7be-546921c5ee1c","Starling")</f>
      </c>
      <c r="B2100" s="3" t="s">
        <v>84</v>
      </c>
      <c r="C2100" s="4">
        <v>1</v>
      </c>
    </row>
    <row r="2101">
      <c r="A2101" s="5">
        <f>HYPERLINK("https://app-web.statementrec.com/app#appuploadfiles/3a19d695-d1f4-2606-0942-a2694cfb7107","01/02/2025-30/04/2025")</f>
      </c>
      <c r="B2101" s="3" t="s">
        <v>18</v>
      </c>
      <c r="C2101" s="4">
        <v>4</v>
      </c>
    </row>
    <row r="2102">
      <c r="A2102" s="5">
        <f>HYPERLINK("https://app-web.statementrec.com/app#appuploadfiles/3a19d758-39ba-fb90-a8fd-07ee752c224e","Barclay account")</f>
      </c>
      <c r="B2102" s="3" t="s">
        <v>467</v>
      </c>
      <c r="C2102" s="4">
        <v>21</v>
      </c>
    </row>
    <row r="2103">
      <c r="A2103" s="5">
        <f>HYPERLINK("https://app-web.statementrec.com/app#appuploadfiles/3a19d770-7000-f7a6-efd7-692a2ca0a57b","Coco Bliss")</f>
      </c>
      <c r="B2103" s="3" t="s">
        <v>26</v>
      </c>
      <c r="C2103" s="4">
        <v>62</v>
      </c>
    </row>
    <row r="2104">
      <c r="A2104" s="5">
        <f>HYPERLINK("https://app-web.statementrec.com/app#appuploadfiles/3a19dacc-5b54-6cb6-27eb-74f3c1a1446a","Suncove Corporation Pty Ltd")</f>
      </c>
      <c r="B2104" s="3" t="s">
        <v>153</v>
      </c>
      <c r="C2104" s="4">
        <v>3</v>
      </c>
    </row>
    <row r="2105">
      <c r="A2105" s="5">
        <f>HYPERLINK("https://app-web.statementrec.com/app#appuploadfiles/3a19daf1-de09-f5fb-b114-f0d4b9cbe454","Altofts Po Ltd")</f>
      </c>
      <c r="B2105" s="3" t="s">
        <v>17</v>
      </c>
      <c r="C2105" s="4">
        <v>3</v>
      </c>
    </row>
    <row r="2106">
      <c r="A2106" s="5">
        <f>HYPERLINK("https://app-web.statementrec.com/app#appuploadfiles/3a19db6d-2bfa-d3a0-4524-4040fa1bcdc5","Alpha")</f>
      </c>
      <c r="B2106" s="3" t="s">
        <v>264</v>
      </c>
      <c r="C2106" s="4">
        <v>2</v>
      </c>
    </row>
    <row r="2107">
      <c r="A2107" s="5">
        <f>HYPERLINK("https://app-web.statementrec.com/app#appuploadfiles/3a19dc59-f1f8-607d-2c27-fb8149ea91f9","Cotswold Group Services Ltd")</f>
      </c>
      <c r="B2107" s="3" t="s">
        <v>168</v>
      </c>
      <c r="C2107" s="4">
        <v>20</v>
      </c>
    </row>
    <row r="2108">
      <c r="A2108" s="5">
        <f>HYPERLINK("https://app-web.statementrec.com/app#appuploadfiles/3a19dc62-6579-b0a7-0c06-380965d91183","Netrix Limited")</f>
      </c>
      <c r="B2108" s="3" t="s">
        <v>12</v>
      </c>
      <c r="C2108" s="4">
        <v>10</v>
      </c>
    </row>
    <row r="2109">
      <c r="A2109" s="5">
        <f>HYPERLINK("https://app-web.statementrec.com/app#appuploadfiles/3a19dcd6-d971-6055-57bd-d2b02981cc45","9426")</f>
      </c>
      <c r="B2109" s="3" t="s">
        <v>31</v>
      </c>
      <c r="C2109" s="4">
        <v>20</v>
      </c>
    </row>
    <row r="2110">
      <c r="A2110" s="5">
        <f>HYPERLINK("https://app-web.statementrec.com/app#appuploadfiles/3a19e020-958f-d81a-b5b2-1cf3fc5057f2","RIJ Regenair8")</f>
      </c>
      <c r="B2110" s="3" t="s">
        <v>10</v>
      </c>
      <c r="C2110" s="4">
        <v>24</v>
      </c>
    </row>
    <row r="2111">
      <c r="A2111" s="5">
        <f>HYPERLINK("https://app-web.statementrec.com/app#appuploadfiles/3a19e06e-aaa7-593d-d678-5b796a0095d0","HUTSUL CRAFT LTD")</f>
      </c>
      <c r="B2111" s="3" t="s">
        <v>18</v>
      </c>
      <c r="C2111" s="4">
        <v>7</v>
      </c>
    </row>
    <row r="2112">
      <c r="A2112" s="5">
        <f>HYPERLINK("https://app-web.statementrec.com/app#appuploadfiles/3a19e0a3-4c0c-82e6-4e9d-81936a8bcccd","UK Association of Women Judges (UKAW1)")</f>
      </c>
      <c r="B2112" s="3" t="s">
        <v>17</v>
      </c>
      <c r="C2112" s="4">
        <v>12</v>
      </c>
    </row>
    <row r="2113">
      <c r="A2113" s="5">
        <f>HYPERLINK("https://app-web.statementrec.com/app#appuploadfiles/3a19e189-1df6-0feb-ffba-b5833d12d91c","Horwich Medical Ltd")</f>
      </c>
      <c r="B2113" s="3" t="s">
        <v>331</v>
      </c>
      <c r="C2113" s="4">
        <v>7</v>
      </c>
    </row>
    <row r="2114">
      <c r="A2114" s="5">
        <f>HYPERLINK("https://app-web.statementrec.com/app#appuploadfiles/3a19e197-81c9-c7d3-a803-23b44e82b278","TJR")</f>
      </c>
      <c r="B2114" s="3" t="s">
        <v>468</v>
      </c>
      <c r="C2114" s="4">
        <v>24</v>
      </c>
    </row>
    <row r="2115">
      <c r="A2115" s="5">
        <f>HYPERLINK("https://app-web.statementrec.com/app#appuploadfiles/3a19e25f-361e-43da-08f5-d6927a74c5e0","Sitka Concept")</f>
      </c>
      <c r="B2115" s="3" t="s">
        <v>469</v>
      </c>
      <c r="C2115" s="4">
        <v>4</v>
      </c>
    </row>
    <row r="2116">
      <c r="A2116" s="5">
        <f>HYPERLINK("https://app-web.statementrec.com/app#appuploadfiles/3a19e699-fdf4-6e21-0587-b22ffe2c14ac","Convoy Truckin")</f>
      </c>
      <c r="B2116" s="3" t="s">
        <v>40</v>
      </c>
      <c r="C2116" s="4">
        <v>23</v>
      </c>
    </row>
    <row r="2117">
      <c r="A2117" s="5">
        <f>HYPERLINK("https://app-web.statementrec.com/app#appuploadfiles/3a19e704-dbd3-1c9f-c14a-ee614a1ca45a","Candid Wellness")</f>
      </c>
      <c r="B2117" s="3" t="s">
        <v>40</v>
      </c>
      <c r="C2117" s="4">
        <v>19</v>
      </c>
    </row>
    <row r="2118">
      <c r="A2118" s="5">
        <f>HYPERLINK("https://app-web.statementrec.com/app#appuploadfiles/3a19e724-5138-b0ed-1871-f007eacae043","2512117 Alberta Inc.")</f>
      </c>
      <c r="B2118" s="3" t="s">
        <v>185</v>
      </c>
      <c r="C2118" s="4">
        <v>1</v>
      </c>
    </row>
    <row r="2119">
      <c r="A2119" s="5">
        <f>HYPERLINK("https://app-web.statementrec.com/app#appuploadfiles/3a19ea91-aa35-dc29-b67f-7d3b0e109fd1","1141 Ronan McDevitt")</f>
      </c>
      <c r="B2119" s="3" t="s">
        <v>19</v>
      </c>
      <c r="C2119" s="4">
        <v>28</v>
      </c>
    </row>
    <row r="2120">
      <c r="A2120" s="5">
        <f>HYPERLINK("https://app-web.statementrec.com/app#appuploadfiles/3a19eb03-983d-8594-102d-921683bd029f","AG Catfoss Ltd")</f>
      </c>
      <c r="B2120" s="3" t="s">
        <v>40</v>
      </c>
      <c r="C2120" s="4">
        <v>5</v>
      </c>
    </row>
    <row r="2121">
      <c r="A2121" s="5">
        <f>HYPERLINK("https://app-web.statementrec.com/app#appuploadfiles/3a19eb22-6821-d4ac-4cfd-232f490c8a5d","Holly Tree Montessori Nursery Limited")</f>
      </c>
      <c r="B2121" s="3" t="s">
        <v>15</v>
      </c>
      <c r="C2121" s="4">
        <v>10</v>
      </c>
    </row>
    <row r="2122">
      <c r="A2122" s="5">
        <f>HYPERLINK("https://app-web.statementrec.com/app#appuploadfiles/3a19ebc8-2a9d-f080-7724-fba94c612190","Abrax Properties Limited")</f>
      </c>
      <c r="B2122" s="3" t="s">
        <v>15</v>
      </c>
      <c r="C2122" s="4">
        <v>22</v>
      </c>
    </row>
    <row r="2123">
      <c r="A2123" s="5">
        <f>HYPERLINK("https://app-web.statementrec.com/app#appuploadfiles/3a19ef36-b297-89f3-330d-2584154080d6","A Flavin 25")</f>
      </c>
      <c r="B2123" s="3" t="s">
        <v>139</v>
      </c>
      <c r="C2123" s="4">
        <v>86</v>
      </c>
    </row>
    <row r="2124">
      <c r="A2124" s="5">
        <f>HYPERLINK("https://app-web.statementrec.com/app#appuploadfiles/3a19f823-f452-f747-1aec-7008300bdf35","JMFT Investments Ltd")</f>
      </c>
      <c r="B2124" s="3" t="s">
        <v>60</v>
      </c>
      <c r="C2124" s="4">
        <v>10</v>
      </c>
    </row>
    <row r="2125">
      <c r="A2125" s="5">
        <f>HYPERLINK("https://app-web.statementrec.com/app#appuploadfiles/3a19fa05-5d15-a2f9-419e-b110a11d3582","Ingeniare Designs Limited")</f>
      </c>
      <c r="B2125" s="3" t="s">
        <v>470</v>
      </c>
      <c r="C2125" s="4">
        <v>10</v>
      </c>
    </row>
    <row r="2126">
      <c r="A2126" s="5">
        <f>HYPERLINK("https://app-web.statementrec.com/app#appuploadfiles/3a19fa2d-10f5-2a49-8f04-716cd06f3d17","Fraser Dunsire Anaesthesia Ltd")</f>
      </c>
      <c r="B2126" s="3" t="s">
        <v>12</v>
      </c>
      <c r="C2126" s="4">
        <v>28</v>
      </c>
    </row>
    <row r="2127">
      <c r="A2127" s="5">
        <f>HYPERLINK("https://app-web.statementrec.com/app#appuploadfiles/3a19fa39-e11d-a46e-f0f2-a8afbfd81ce4","Hart Consulting")</f>
      </c>
      <c r="B2127" s="3" t="s">
        <v>44</v>
      </c>
      <c r="C2127" s="4">
        <v>16</v>
      </c>
    </row>
    <row r="2128">
      <c r="A2128" s="5">
        <f>HYPERLINK("https://app-web.statementrec.com/app#appuploadfiles/3a19fabe-e62b-4d8f-239c-c74bbf774233","Georgina Goring-USE")</f>
      </c>
      <c r="B2128" s="3" t="s">
        <v>12</v>
      </c>
      <c r="C2128" s="4">
        <v>6</v>
      </c>
    </row>
    <row r="2129">
      <c r="A2129" s="5">
        <f>HYPERLINK("https://app-web.statementrec.com/app#appuploadfiles/3a19fae9-19a9-f6f2-d6d8-e451f7fbbba6","Luke Auker")</f>
      </c>
      <c r="B2129" s="3" t="s">
        <v>84</v>
      </c>
      <c r="C2129" s="4">
        <v>19</v>
      </c>
    </row>
    <row r="2130">
      <c r="A2130" s="5">
        <f>HYPERLINK("https://app-web.statementrec.com/app#appuploadfiles/3a19faec-7bf7-b368-d73c-107ef2a6cb72","Bespoke Renovations Ltd")</f>
      </c>
      <c r="B2130" s="3" t="s">
        <v>70</v>
      </c>
      <c r="C2130" s="4">
        <v>18</v>
      </c>
    </row>
    <row r="2131">
      <c r="A2131" s="5">
        <f>HYPERLINK("https://app-web.statementrec.com/app#appuploadfiles/3a19fc1e-ee6b-dad8-d1dd-7bbf0b353f74","Baby About Ltd")</f>
      </c>
      <c r="B2131" s="3" t="s">
        <v>168</v>
      </c>
      <c r="C2131" s="4">
        <v>172</v>
      </c>
    </row>
    <row r="2132">
      <c r="A2132" s="5">
        <f>HYPERLINK("https://app-web.statementrec.com/app#appuploadfiles/3a19fe98-0296-b206-047a-e4ccc38a7aaf","Ferreira SD (Praktyk)")</f>
      </c>
      <c r="B2132" s="3" t="s">
        <v>38</v>
      </c>
      <c r="C2132" s="4">
        <v>6</v>
      </c>
    </row>
    <row r="2133">
      <c r="A2133" s="5">
        <f>HYPERLINK("https://app-web.statementrec.com/app#appuploadfiles/3a19fe99-3dc2-fcbd-4e4f-615f773d1dd4","Ferreira SD (Boerdery)")</f>
      </c>
      <c r="B2133" s="3" t="s">
        <v>38</v>
      </c>
      <c r="C2133" s="4">
        <v>6</v>
      </c>
    </row>
    <row r="2134">
      <c r="A2134" s="5">
        <f>HYPERLINK("https://app-web.statementrec.com/app#appuploadfiles/3a19ff8c-1cba-4d15-cf20-9ba3ee1ef941","John McGloin")</f>
      </c>
      <c r="B2134" s="3" t="s">
        <v>12</v>
      </c>
      <c r="C2134" s="4">
        <v>108</v>
      </c>
    </row>
    <row r="2135">
      <c r="A2135" s="5">
        <f>HYPERLINK("https://app-web.statementrec.com/app#appuploadfiles/3a19ff92-765c-8850-ac69-c1b6eb1e4c51","BCH Electrical New")</f>
      </c>
      <c r="B2135" s="3" t="s">
        <v>84</v>
      </c>
      <c r="C2135" s="4">
        <v>5</v>
      </c>
    </row>
    <row r="2136">
      <c r="A2136" s="5">
        <f>HYPERLINK("https://app-web.statementrec.com/app#appuploadfiles/3a1a007b-a9e2-59e3-ff20-bed571191010","Cheryl Jones")</f>
      </c>
      <c r="B2136" s="3" t="s">
        <v>40</v>
      </c>
      <c r="C2136" s="4">
        <v>1</v>
      </c>
    </row>
    <row r="2137">
      <c r="A2137" s="5">
        <f>HYPERLINK("https://app-web.statementrec.com/app#appuploadfiles/3a1a04b1-34d8-1be6-991c-50315a879910","B202 - Focus Construction")</f>
      </c>
      <c r="B2137" s="3" t="s">
        <v>16</v>
      </c>
      <c r="C2137" s="4">
        <v>8</v>
      </c>
    </row>
    <row r="2138">
      <c r="A2138" s="5">
        <f>HYPERLINK("https://app-web.statementrec.com/app#appuploadfiles/3a1a04d7-5293-a0c4-d0c4-8cfc0c47f575","Central London Dermatology, Cosmetic Las")</f>
      </c>
      <c r="B2138" s="3" t="s">
        <v>147</v>
      </c>
      <c r="C2138" s="4">
        <v>8</v>
      </c>
    </row>
    <row r="2139">
      <c r="A2139" s="5">
        <f>HYPERLINK("https://app-web.statementrec.com/app#appuploadfiles/3a1a04f5-faf5-fd86-aab5-86d1c2a19794","TJH &amp; AE Williams")</f>
      </c>
      <c r="B2139" s="3" t="s">
        <v>16</v>
      </c>
      <c r="C2139" s="4">
        <v>3</v>
      </c>
    </row>
    <row r="2140">
      <c r="A2140" s="5">
        <f>HYPERLINK("https://app-web.statementrec.com/app#appuploadfiles/3a1a0731-532d-2601-b358-9e737fba3ccc","KAS1163")</f>
      </c>
      <c r="B2140" s="3" t="s">
        <v>471</v>
      </c>
      <c r="C2140" s="4">
        <v>4</v>
      </c>
    </row>
    <row r="2141">
      <c r="A2141" s="5">
        <f>HYPERLINK("https://app-web.statementrec.com/app#appuploadfiles/3a1a09ac-b501-e462-0e1e-e1cd3015bd68","Ratcliffe cleaning services ltd")</f>
      </c>
      <c r="B2141" s="3" t="s">
        <v>168</v>
      </c>
      <c r="C2141" s="4">
        <v>72</v>
      </c>
    </row>
    <row r="2142">
      <c r="A2142" s="5">
        <f>HYPERLINK("https://app-web.statementrec.com/app#appuploadfiles/3a1a09b6-28ea-946a-ef78-5d712926bd53","Joe Burrows")</f>
      </c>
      <c r="B2142" s="3" t="s">
        <v>36</v>
      </c>
      <c r="C2142" s="4">
        <v>17</v>
      </c>
    </row>
    <row r="2143">
      <c r="A2143" s="5">
        <f>HYPERLINK("https://app-web.statementrec.com/app#appuploadfiles/3a1a09c7-0dfa-b995-c340-0f6fd93d7979","DAE Energy Solutions Ltd")</f>
      </c>
      <c r="B2143" s="3" t="s">
        <v>17</v>
      </c>
      <c r="C2143" s="4">
        <v>3</v>
      </c>
    </row>
    <row r="2144">
      <c r="A2144" s="5">
        <f>HYPERLINK("https://app-web.statementrec.com/app#appuploadfiles/3a1a0a02-e1b6-ba99-9742-3f1ef1d96ef7","Graham Lunt")</f>
      </c>
      <c r="B2144" s="3" t="s">
        <v>19</v>
      </c>
      <c r="C2144" s="4">
        <v>15</v>
      </c>
    </row>
    <row r="2145">
      <c r="A2145" s="5">
        <f>HYPERLINK("https://app-web.statementrec.com/app#appuploadfiles/3a1a0a5c-9703-b512-6bdb-2c1dd6cd20ba","SPM Commercial Solution &amp; Demolition Ltd")</f>
      </c>
      <c r="B2145" s="3" t="s">
        <v>43</v>
      </c>
      <c r="C2145" s="4">
        <v>28</v>
      </c>
    </row>
    <row r="2146">
      <c r="A2146" s="5">
        <f>HYPERLINK("https://app-web.statementrec.com/app#appuploadfiles/3a1a0cbb-5037-ec5a-5570-98e6e1599743","Visa desjardins")</f>
      </c>
      <c r="B2146" s="3" t="s">
        <v>351</v>
      </c>
      <c r="C2146" s="4">
        <v>16</v>
      </c>
    </row>
    <row r="2147">
      <c r="A2147" s="5">
        <f>HYPERLINK("https://app-web.statementrec.com/app#appuploadfiles/3a1a0ecb-800d-4638-09b9-d21829786004","Seirbhísí Leabharchoimeádta Teo")</f>
      </c>
      <c r="B2147" s="3" t="s">
        <v>90</v>
      </c>
      <c r="C2147" s="4">
        <v>10</v>
      </c>
    </row>
    <row r="2148">
      <c r="A2148" s="5">
        <f>HYPERLINK("https://app-web.statementrec.com/app#appuploadfiles/3a1a0ee5-c82d-f7e9-39b2-0b29eb730c54","Satguru Properties Ltd")</f>
      </c>
      <c r="B2148" s="3" t="s">
        <v>17</v>
      </c>
      <c r="C2148" s="4">
        <v>9</v>
      </c>
    </row>
    <row r="2149">
      <c r="A2149" s="5">
        <f>HYPERLINK("https://app-web.statementrec.com/app#appuploadfiles/3a1a1008-bd10-d2fc-3c67-df4fcc987d5c","10185094 Canada Inc. (Burton Hoy)")</f>
      </c>
      <c r="B2149" s="3" t="s">
        <v>185</v>
      </c>
      <c r="C2149" s="4">
        <v>13</v>
      </c>
    </row>
    <row r="2150">
      <c r="A2150" s="5">
        <f>HYPERLINK("https://app-web.statementrec.com/app#appuploadfiles/3a1a1060-5450-3e43-e704-98609cf05b33","Right Tech")</f>
      </c>
      <c r="B2150" s="3" t="s">
        <v>472</v>
      </c>
      <c r="C2150" s="4">
        <v>71</v>
      </c>
    </row>
    <row r="2151">
      <c r="A2151" s="5">
        <f>HYPERLINK("https://app-web.statementrec.com/app#appuploadfiles/3a1a1115-8ceb-543e-99bb-1d11076513d8","Bourdon electrique")</f>
      </c>
      <c r="B2151" s="3" t="s">
        <v>47</v>
      </c>
      <c r="C2151" s="4">
        <v>11</v>
      </c>
    </row>
    <row r="2152">
      <c r="A2152" s="5">
        <f>HYPERLINK("https://app-web.statementrec.com/app#appuploadfiles/3a1a141e-d62f-91ec-d3fb-1675707e225f","SMART DIGITAL CEL LIMITED")</f>
      </c>
      <c r="B2152" s="3" t="s">
        <v>473</v>
      </c>
      <c r="C2152" s="4">
        <v>7</v>
      </c>
    </row>
    <row r="2153">
      <c r="A2153" s="5">
        <f>HYPERLINK("https://app-web.statementrec.com/app#appuploadfiles/3a1a1ddc-592d-d1ac-1cbe-43a427b7a2e4","Adv M Costa")</f>
      </c>
      <c r="B2153" s="3" t="s">
        <v>48</v>
      </c>
      <c r="C2153" s="4">
        <v>7</v>
      </c>
    </row>
    <row r="2154">
      <c r="A2154" s="5">
        <f>HYPERLINK("https://app-web.statementrec.com/app#appuploadfiles/3a1a20c4-c97c-638d-2d02-065d2e1f9b81","Visa Demian")</f>
      </c>
      <c r="B2154" s="3" t="s">
        <v>40</v>
      </c>
      <c r="C2154" s="4">
        <v>11</v>
      </c>
    </row>
    <row r="2155">
      <c r="A2155" s="5">
        <f>HYPERLINK("https://app-web.statementrec.com/app#appuploadfiles/3a1a22f8-a12a-7545-f034-a5de158b30fd","NQ001AX - Mr and Mrs D C Newman")</f>
      </c>
      <c r="B2155" s="3" t="s">
        <v>123</v>
      </c>
      <c r="C2155" s="4">
        <v>9</v>
      </c>
    </row>
    <row r="2156">
      <c r="A2156" s="5">
        <f>HYPERLINK("https://app-web.statementrec.com/app#appuploadfiles/3a1a2365-2586-7ec7-8eb8-519a6e9dc5d6","Ann McRobb Associates Limited")</f>
      </c>
      <c r="B2156" s="3" t="s">
        <v>3</v>
      </c>
      <c r="C2156" s="4">
        <v>6</v>
      </c>
    </row>
    <row r="2157">
      <c r="A2157" s="5">
        <f>HYPERLINK("https://app-web.statementrec.com/app#appuploadfiles/3a1a2383-7c44-2bff-f62d-a21a3f06982e","75715/P Chris Dixon Plumbing &amp; Heating")</f>
      </c>
      <c r="B2157" s="3" t="s">
        <v>474</v>
      </c>
      <c r="C2157" s="4">
        <v>8</v>
      </c>
    </row>
    <row r="2158">
      <c r="A2158" s="5">
        <f>HYPERLINK("https://app-web.statementrec.com/app#appuploadfiles/3a1a23b3-5d08-86c0-7c89-f2a4ceed5d76","A Thompson")</f>
      </c>
      <c r="B2158" s="3" t="s">
        <v>475</v>
      </c>
      <c r="C2158" s="4">
        <v>43</v>
      </c>
    </row>
    <row r="2159">
      <c r="A2159" s="5">
        <f>HYPERLINK("https://app-web.statementrec.com/app#appuploadfiles/3a1a2421-5d75-e30e-0c7c-2b6e151b21da","Goosebumps Limited")</f>
      </c>
      <c r="B2159" s="3" t="s">
        <v>116</v>
      </c>
      <c r="C2159" s="4">
        <v>1</v>
      </c>
    </row>
    <row r="2160">
      <c r="A2160" s="5">
        <f>HYPERLINK("https://app-web.statementrec.com/app#appuploadfiles/3a1a244f-ee60-1052-a681-8f9d64aefba4","Visa Petru")</f>
      </c>
      <c r="B2160" s="3" t="s">
        <v>158</v>
      </c>
      <c r="C2160" s="4">
        <v>12</v>
      </c>
    </row>
    <row r="2161">
      <c r="A2161" s="5">
        <f>HYPERLINK("https://app-web.statementrec.com/app#appuploadfiles/3a1a247c-0733-1495-0c02-8ca97cc81672","Visa Elena")</f>
      </c>
      <c r="B2161" s="3" t="s">
        <v>12</v>
      </c>
      <c r="C2161" s="4">
        <v>7</v>
      </c>
    </row>
    <row r="2162">
      <c r="A2162" s="5">
        <f>HYPERLINK("https://app-web.statementrec.com/app#appuploadfiles/3a1a249d-6a13-45b2-0d24-2b28ee29ad6e","Z0034 - S M H Project Services Ltd")</f>
      </c>
      <c r="B2162" s="3" t="s">
        <v>15</v>
      </c>
      <c r="C2162" s="4">
        <v>5</v>
      </c>
    </row>
    <row r="2163">
      <c r="A2163" s="5">
        <f>HYPERLINK("https://app-web.statementrec.com/app#appuploadfiles/3a1a25d6-9deb-7ce6-2713-7b035706cb33","Swan Enterprises &amp; Welding Inc. - C6370")</f>
      </c>
      <c r="B2163" s="3" t="s">
        <v>294</v>
      </c>
      <c r="C2163" s="4">
        <v>50</v>
      </c>
    </row>
    <row r="2164">
      <c r="A2164" s="5">
        <f>HYPERLINK("https://app-web.statementrec.com/app#appuploadfiles/3a1a284f-f863-e46e-16f9-265d914ad18c","Zaynah Alam")</f>
      </c>
      <c r="B2164" s="3" t="s">
        <v>19</v>
      </c>
      <c r="C2164" s="4">
        <v>26</v>
      </c>
    </row>
    <row r="2165">
      <c r="A2165" s="5">
        <f>HYPERLINK("https://app-web.statementrec.com/app#appuploadfiles/3a1a285c-3399-2177-38ed-7ef13f7fbbd5","Adv G Singh")</f>
      </c>
      <c r="B2165" s="3" t="s">
        <v>80</v>
      </c>
      <c r="C2165" s="4">
        <v>8</v>
      </c>
    </row>
    <row r="2166">
      <c r="A2166" s="5">
        <f>HYPERLINK("https://app-web.statementrec.com/app#appuploadfiles/3a1a2875-6425-a130-15d7-b7f6f410bcff","Tele Imaging Doctors Ltd")</f>
      </c>
      <c r="B2166" s="3" t="s">
        <v>15</v>
      </c>
      <c r="C2166" s="4">
        <v>14</v>
      </c>
    </row>
    <row r="2167">
      <c r="A2167" s="5">
        <f>HYPERLINK("https://app-web.statementrec.com/app#appuploadfiles/3a1a29b8-52c1-5a45-3a50-a90e6db7e5b6","K.C. Underground Ltd.")</f>
      </c>
      <c r="B2167" s="3" t="s">
        <v>40</v>
      </c>
      <c r="C2167" s="4">
        <v>13</v>
      </c>
    </row>
    <row r="2168">
      <c r="A2168" s="5">
        <f>HYPERLINK("https://app-web.statementrec.com/app#appuploadfiles/3a1a29b9-f4c9-2381-d81d-0b67fd94a5c6","Davies &amp; Morgan")</f>
      </c>
      <c r="B2168" s="3" t="s">
        <v>17</v>
      </c>
      <c r="C2168" s="4">
        <v>6</v>
      </c>
    </row>
    <row r="2169">
      <c r="A2169" s="5">
        <f>HYPERLINK("https://app-web.statementrec.com/app#appuploadfiles/3a1a2eb9-8c02-a059-e1b6-215041d087e4","BUSHWACKERS")</f>
      </c>
      <c r="B2169" s="3" t="s">
        <v>476</v>
      </c>
      <c r="C2169" s="4">
        <v>6</v>
      </c>
    </row>
    <row r="2170">
      <c r="A2170" s="5">
        <f>HYPERLINK("https://app-web.statementrec.com/app#appuploadfiles/3a1a2f0b-3783-49f3-1269-57b3aa1c1d01","Main GBP 50502824")</f>
      </c>
      <c r="B2170" s="3" t="s">
        <v>11</v>
      </c>
      <c r="C2170" s="4">
        <v>8</v>
      </c>
    </row>
    <row r="2171">
      <c r="A2171" s="5">
        <f>HYPERLINK("https://app-web.statementrec.com/app#appuploadfiles/3a1a2f16-c272-9125-e2c6-48b35ab1626d","Wages GBP")</f>
      </c>
      <c r="B2171" s="3" t="s">
        <v>320</v>
      </c>
      <c r="C2171" s="4">
        <v>2</v>
      </c>
    </row>
    <row r="2172">
      <c r="A2172" s="5">
        <f>HYPERLINK("https://app-web.statementrec.com/app#appuploadfiles/3a1a3248-97d3-4e57-5f0d-9191c732b4d0","Wembley National Stadium Trust")</f>
      </c>
      <c r="B2172" s="3" t="s">
        <v>17</v>
      </c>
      <c r="C2172" s="4">
        <v>8</v>
      </c>
    </row>
    <row r="2173">
      <c r="A2173" s="5">
        <f>HYPERLINK("https://app-web.statementrec.com/app#appuploadfiles/3a1a3272-ce78-b473-1a81-6c956118a4ff","2025")</f>
      </c>
      <c r="B2173" s="3" t="s">
        <v>11</v>
      </c>
      <c r="C2173" s="4">
        <v>11</v>
      </c>
    </row>
    <row r="2174">
      <c r="A2174" s="5">
        <f>HYPERLINK("https://app-web.statementrec.com/app#appuploadfiles/3a1a32b5-0416-066b-9503-6b25507463c7","JHGC214/AC - Andrew Carter")</f>
      </c>
      <c r="B2174" s="3" t="s">
        <v>15</v>
      </c>
      <c r="C2174" s="4">
        <v>78</v>
      </c>
    </row>
    <row r="2175">
      <c r="A2175" s="5">
        <f>HYPERLINK("https://app-web.statementrec.com/app#appuploadfiles/3a1a32fe-d6a9-b6cd-bba2-f19b5abb813c","Hartopp Films Ltd")</f>
      </c>
      <c r="B2175" s="3" t="s">
        <v>16</v>
      </c>
      <c r="C2175" s="4">
        <v>5</v>
      </c>
    </row>
    <row r="2176">
      <c r="A2176" s="5">
        <f>HYPERLINK("https://app-web.statementrec.com/app#appuploadfiles/3a1a33a4-bf35-6237-cda0-9e2b45627b79","Ayden Owed")</f>
      </c>
      <c r="B2176" s="3" t="s">
        <v>11</v>
      </c>
      <c r="C2176" s="4">
        <v>2</v>
      </c>
    </row>
    <row r="2177">
      <c r="A2177" s="5">
        <f>HYPERLINK("https://app-web.statementrec.com/app#appuploadfiles/3a1a33da-53de-642e-f85c-280a603f1b57","Kleen-Dri Ltd")</f>
      </c>
      <c r="B2177" s="3" t="s">
        <v>19</v>
      </c>
      <c r="C2177" s="4">
        <v>7</v>
      </c>
    </row>
    <row r="2178">
      <c r="A2178" s="5">
        <f>HYPERLINK("https://app-web.statementrec.com/app#appuploadfiles/3a1a33da-b308-59da-40d6-11ae8b68fe9d","Stephen Mooney")</f>
      </c>
      <c r="B2178" s="3" t="s">
        <v>19</v>
      </c>
      <c r="C2178" s="4">
        <v>28</v>
      </c>
    </row>
    <row r="2179">
      <c r="A2179" s="5">
        <f>HYPERLINK("https://app-web.statementrec.com/app#appuploadfiles/3a1a422f-cef1-e398-d718-94b147e2e099","01.02.25 - 30.04.25")</f>
      </c>
      <c r="B2179" s="3" t="s">
        <v>56</v>
      </c>
      <c r="C2179" s="4">
        <v>16</v>
      </c>
    </row>
    <row r="2180">
      <c r="A2180" s="5">
        <f>HYPERLINK("https://app-web.statementrec.com/app#appuploadfiles/3a1a42f2-d3e2-f4ee-8424-f64029af0504","London Ortho Ltd")</f>
      </c>
      <c r="B2180" s="3" t="s">
        <v>17</v>
      </c>
      <c r="C2180" s="4">
        <v>7</v>
      </c>
    </row>
    <row r="2181">
      <c r="A2181" s="5">
        <f>HYPERLINK("https://app-web.statementrec.com/app#appuploadfiles/3a1a4343-e9c9-d680-f18b-da2530359fdf","Hewlett s &amp; Sons partnership")</f>
      </c>
      <c r="B2181" s="3" t="s">
        <v>18</v>
      </c>
      <c r="C2181" s="4">
        <v>2</v>
      </c>
    </row>
    <row r="2182">
      <c r="A2182" s="5">
        <f>HYPERLINK("https://app-web.statementrec.com/app#appuploadfiles/3a1a46e6-1abb-676f-a295-0b82637052d4","Longford Property and Lettings Ltd")</f>
      </c>
      <c r="B2182" s="3" t="s">
        <v>168</v>
      </c>
      <c r="C2182" s="4">
        <v>34</v>
      </c>
    </row>
    <row r="2183">
      <c r="A2183" s="5">
        <f>HYPERLINK("https://app-web.statementrec.com/app#appuploadfiles/3a1a47cd-218e-1514-c711-64a07cbbac30","Santa Clara St Clears")</f>
      </c>
      <c r="B2183" s="3" t="s">
        <v>17</v>
      </c>
      <c r="C2183" s="4">
        <v>7</v>
      </c>
    </row>
    <row r="2184">
      <c r="A2184" s="5">
        <f>HYPERLINK("https://app-web.statementrec.com/app#appuploadfiles/3a1a48a6-e30b-0b95-cf6b-d5f2769ce44d","NEA002 - Neamour Holdings Ltd")</f>
      </c>
      <c r="B2184" s="3" t="s">
        <v>89</v>
      </c>
      <c r="C2184" s="4">
        <v>2</v>
      </c>
    </row>
    <row r="2185">
      <c r="A2185" s="5">
        <f>HYPERLINK("https://app-web.statementrec.com/app#appuploadfiles/3a1a499a-1bc5-a9e3-1291-a466bc67ef2d","3G Chemical 3412")</f>
      </c>
      <c r="B2185" s="3" t="s">
        <v>59</v>
      </c>
      <c r="C2185" s="4">
        <v>39</v>
      </c>
    </row>
    <row r="2186">
      <c r="A2186" s="5">
        <f>HYPERLINK("https://app-web.statementrec.com/app#appuploadfiles/3a1a4e77-9092-ac34-5921-41bf11c0ccc7","102077060 Sask")</f>
      </c>
      <c r="B2186" s="3" t="s">
        <v>158</v>
      </c>
      <c r="C2186" s="4">
        <v>2</v>
      </c>
    </row>
    <row r="2187">
      <c r="A2187" s="5">
        <f>HYPERLINK("https://app-web.statementrec.com/app#appuploadfiles/3a1a4eca-4bef-0109-bfbd-3baa669f3392","Colorexa")</f>
      </c>
      <c r="B2187" s="3" t="s">
        <v>56</v>
      </c>
      <c r="C2187" s="4">
        <v>6</v>
      </c>
    </row>
    <row r="2188">
      <c r="A2188" s="5">
        <f>HYPERLINK("https://app-web.statementrec.com/app#appuploadfiles/3a1a4ecf-cf33-261e-69ab-33c83d50117e","Exandal")</f>
      </c>
      <c r="B2188" s="3" t="s">
        <v>60</v>
      </c>
      <c r="C2188" s="4">
        <v>6</v>
      </c>
    </row>
    <row r="2189">
      <c r="A2189" s="5">
        <f>HYPERLINK("https://app-web.statementrec.com/app#appuploadfiles/3a1a5195-ce59-627e-83ae-5080e0c6c5a1","Cresconova Academy")</f>
      </c>
      <c r="B2189" s="3" t="s">
        <v>53</v>
      </c>
      <c r="C2189" s="4">
        <v>4</v>
      </c>
    </row>
    <row r="2190">
      <c r="A2190" s="5">
        <f>HYPERLINK("https://app-web.statementrec.com/app#appuploadfiles/3a1a5288-3dc5-e298-666e-6e6c45fad896","Andrea Fabian Ltd")</f>
      </c>
      <c r="B2190" s="3" t="s">
        <v>477</v>
      </c>
      <c r="C2190" s="4">
        <v>18</v>
      </c>
    </row>
    <row r="2191">
      <c r="A2191" s="5">
        <f>HYPERLINK("https://app-web.statementrec.com/app#appuploadfiles/3a1a528e-61ec-1954-adb3-43bf5021a731","Kieran Loughran")</f>
      </c>
      <c r="B2191" s="3" t="s">
        <v>478</v>
      </c>
      <c r="C2191" s="4">
        <v>30</v>
      </c>
    </row>
    <row r="2192">
      <c r="A2192" s="5">
        <f>HYPERLINK("https://app-web.statementrec.com/app#appuploadfiles/3a1a52aa-7135-5e38-10ec-5297d5648044","FOOD LYNX INTERNATIONAL FOOD SERVICES LIMITED")</f>
      </c>
      <c r="B2192" s="3" t="s">
        <v>26</v>
      </c>
      <c r="C2192" s="4">
        <v>7</v>
      </c>
    </row>
    <row r="2193">
      <c r="A2193" s="5">
        <f>HYPERLINK("https://app-web.statementrec.com/app#appuploadfiles/3a1a52ca-3b6f-dd21-e7bb-cd7109ddb1f7","2428795 Alberta Inc.")</f>
      </c>
      <c r="B2193" s="3" t="s">
        <v>158</v>
      </c>
      <c r="C2193" s="4">
        <v>4</v>
      </c>
    </row>
    <row r="2194">
      <c r="A2194" s="5">
        <f>HYPERLINK("https://app-web.statementrec.com/app#appuploadfiles/3a1a5313-6e9e-97ac-98f1-7bdbaa73b2a6","PharmaMedic")</f>
      </c>
      <c r="B2194" s="3" t="s">
        <v>207</v>
      </c>
      <c r="C2194" s="4">
        <v>4</v>
      </c>
    </row>
    <row r="2195">
      <c r="A2195" s="5">
        <f>HYPERLINK("https://app-web.statementrec.com/app#appuploadfiles/3a1a57fd-d852-ade1-fa8b-95a3b8415347","Hayden Beck CPA Professional Corporation")</f>
      </c>
      <c r="B2195" s="3" t="s">
        <v>158</v>
      </c>
      <c r="C2195" s="4">
        <v>39</v>
      </c>
    </row>
    <row r="2196">
      <c r="A2196" s="5">
        <f>HYPERLINK("https://app-web.statementrec.com/app#appuploadfiles/3a1a67e2-71d6-d6d2-ab50-4de028636969","Janas")</f>
      </c>
      <c r="B2196" s="3" t="s">
        <v>10</v>
      </c>
      <c r="C2196" s="4">
        <v>4</v>
      </c>
    </row>
    <row r="2197">
      <c r="A2197" s="5">
        <f>HYPERLINK("https://app-web.statementrec.com/app#appuploadfiles/3a1a6833-5ec2-e6f7-3917-d5bca4327a66","Z H Hospitality Ltd")</f>
      </c>
      <c r="B2197" s="3" t="s">
        <v>12</v>
      </c>
      <c r="C2197" s="4">
        <v>2</v>
      </c>
    </row>
    <row r="2198">
      <c r="A2198" s="5">
        <f>HYPERLINK("https://app-web.statementrec.com/app#appuploadfiles/3a1a6bf6-777a-3f8d-8e9a-a7524b1eb503","Credit Card")</f>
      </c>
      <c r="B2198" s="3" t="s">
        <v>479</v>
      </c>
      <c r="C2198" s="4">
        <v>7</v>
      </c>
    </row>
    <row r="2199">
      <c r="A2199" s="5">
        <f>HYPERLINK("https://app-web.statementrec.com/app#appuploadfiles/3a1a6df3-eb35-3e30-94c2-a43496c9d627","Corbett")</f>
      </c>
      <c r="B2199" s="3" t="s">
        <v>47</v>
      </c>
      <c r="C2199" s="4">
        <v>10</v>
      </c>
    </row>
    <row r="2200">
      <c r="A2200" s="5">
        <f>HYPERLINK("https://app-web.statementrec.com/app#appuploadfiles/3a1a6f3e-b1e8-dfe0-3b42-cbe52c792376","Horizon Bookkeeping")</f>
      </c>
      <c r="B2200" s="3" t="s">
        <v>60</v>
      </c>
      <c r="C2200" s="4">
        <v>3</v>
      </c>
    </row>
    <row r="2201">
      <c r="A2201" s="5">
        <f>HYPERLINK("https://app-web.statementrec.com/app#appuploadfiles/3a1a7026-bc18-b63c-6a89-5ee211aaf862","AFE Vehicles")</f>
      </c>
      <c r="B2201" s="3" t="s">
        <v>24</v>
      </c>
      <c r="C2201" s="4">
        <v>83</v>
      </c>
    </row>
    <row r="2202">
      <c r="A2202" s="5">
        <f>HYPERLINK("https://app-web.statementrec.com/app#appuploadfiles/3a1a7028-d16e-d237-a0be-284ff56f9f5c","J H Schreuder Balju (snr)")</f>
      </c>
      <c r="B2202" s="3" t="s">
        <v>80</v>
      </c>
      <c r="C2202" s="4">
        <v>2</v>
      </c>
    </row>
    <row r="2203">
      <c r="A2203" s="5">
        <f>HYPERLINK("https://app-web.statementrec.com/app#appuploadfiles/3a1a7166-8f4a-cc04-efcb-691406178328","Omega Future Homes Ltd")</f>
      </c>
      <c r="B2203" s="3" t="s">
        <v>123</v>
      </c>
      <c r="C2203" s="4">
        <v>4</v>
      </c>
    </row>
    <row r="2204">
      <c r="A2204" s="5">
        <f>HYPERLINK("https://app-web.statementrec.com/app#appuploadfiles/3a1a719b-8403-9189-7094-80c17c421c72","Equity Finance Partners")</f>
      </c>
      <c r="B2204" s="3" t="s">
        <v>29</v>
      </c>
      <c r="C2204" s="4">
        <v>1</v>
      </c>
    </row>
    <row r="2205">
      <c r="A2205" s="5">
        <f>HYPERLINK("https://app-web.statementrec.com/app#appuploadfiles/3a1a7432-187b-3ac7-b756-d2557241a159","Petal Pop Flowers")</f>
      </c>
      <c r="B2205" s="3" t="s">
        <v>153</v>
      </c>
      <c r="C2205" s="4">
        <v>5</v>
      </c>
    </row>
    <row r="2206">
      <c r="A2206" s="5">
        <f>HYPERLINK("https://app-web.statementrec.com/app#appuploadfiles/3a1a7566-a3c5-38bf-64ae-950353257b79","Jatoba Trading CC")</f>
      </c>
      <c r="B2206" s="3" t="s">
        <v>480</v>
      </c>
      <c r="C2206" s="4">
        <v>18</v>
      </c>
    </row>
    <row r="2207">
      <c r="A2207" s="5">
        <f>HYPERLINK("https://app-web.statementrec.com/app#appuploadfiles/3a1a7a65-9ddd-1bae-f07b-93dd9c9ef060","Kyle Luke Webb")</f>
      </c>
      <c r="B2207" s="3" t="s">
        <v>18</v>
      </c>
      <c r="C2207" s="4">
        <v>4</v>
      </c>
    </row>
    <row r="2208">
      <c r="A2208" s="5">
        <f>HYPERLINK("https://app-web.statementrec.com/app#appuploadfiles/3a1a7ad4-2d8c-37b4-625a-7d0a0f71415b","PM Gates Ltd")</f>
      </c>
      <c r="B2208" s="3" t="s">
        <v>13</v>
      </c>
      <c r="C2208" s="4">
        <v>15</v>
      </c>
    </row>
    <row r="2209">
      <c r="A2209" s="5">
        <f>HYPERLINK("https://app-web.statementrec.com/app#appuploadfiles/3a1a7b36-e838-0575-26d2-b21f0a445bbb","Finan Properties")</f>
      </c>
      <c r="B2209" s="3" t="s">
        <v>81</v>
      </c>
      <c r="C2209" s="4">
        <v>2</v>
      </c>
    </row>
    <row r="2210">
      <c r="A2210" s="5">
        <f>HYPERLINK("https://app-web.statementrec.com/app#appuploadfiles/3a1a8a18-a524-c0de-293a-128e48775910","CIT02 - City Culture")</f>
      </c>
      <c r="B2210" s="3" t="s">
        <v>17</v>
      </c>
      <c r="C2210" s="4">
        <v>18</v>
      </c>
    </row>
    <row r="2211">
      <c r="A2211" s="5">
        <f>HYPERLINK("https://app-web.statementrec.com/app#appuploadfiles/3a1a8fee-4499-7b5f-d293-f9828d7aa8a0","Tanya O'Boyle")</f>
      </c>
      <c r="B2211" s="3" t="s">
        <v>18</v>
      </c>
      <c r="C2211" s="4">
        <v>98</v>
      </c>
    </row>
    <row r="2212">
      <c r="A2212" s="5">
        <f>HYPERLINK("https://app-web.statementrec.com/app#appuploadfiles/3a1a902a-d96e-7a62-561f-a0b34604578f","Amanda Owen")</f>
      </c>
      <c r="B2212" s="3" t="s">
        <v>15</v>
      </c>
      <c r="C2212" s="4">
        <v>4</v>
      </c>
    </row>
    <row r="2213">
      <c r="A2213" s="5">
        <f>HYPERLINK("https://app-web.statementrec.com/app#appuploadfiles/3a1a9a16-de67-503f-9e28-615950f8f569","Kerry Botha")</f>
      </c>
      <c r="B2213" s="3" t="s">
        <v>95</v>
      </c>
      <c r="C2213" s="4">
        <v>2</v>
      </c>
    </row>
    <row r="2214">
      <c r="A2214" s="5">
        <f>HYPERLINK("https://app-web.statementrec.com/app#appuploadfiles/3a1a9a7a-41e1-6bd9-5026-463c8714e594","CMWilkinson Care Consultancy Ltd")</f>
      </c>
      <c r="B2214" s="3" t="s">
        <v>26</v>
      </c>
      <c r="C2214" s="4">
        <v>7</v>
      </c>
    </row>
    <row r="2215">
      <c r="A2215" s="5">
        <f>HYPERLINK("https://app-web.statementrec.com/app#appuploadfiles/3a1a9eee-3c63-4ef0-eafb-b15bb8111462","Post &amp; Lintol Ltd")</f>
      </c>
      <c r="B2215" s="3" t="s">
        <v>18</v>
      </c>
      <c r="C2215" s="4">
        <v>21</v>
      </c>
    </row>
    <row r="2216">
      <c r="A2216" s="5">
        <f>HYPERLINK("https://app-web.statementrec.com/app#appuploadfiles/3a1a9fda-782e-d9c7-9689-fb5f91e88fc3","Java Coffee")</f>
      </c>
      <c r="B2216" s="3" t="s">
        <v>11</v>
      </c>
      <c r="C2216" s="4">
        <v>19</v>
      </c>
    </row>
    <row r="2217">
      <c r="A2217" s="5">
        <f>HYPERLINK("https://app-web.statementrec.com/app#appuploadfiles/3a1aa5e2-d3b6-7a98-35ed-937f843ec98a","Cohen, Dianne")</f>
      </c>
      <c r="B2217" s="3" t="s">
        <v>481</v>
      </c>
      <c r="C2217" s="4">
        <v>146</v>
      </c>
    </row>
    <row r="2218">
      <c r="A2218" s="5">
        <f>HYPERLINK("https://app-web.statementrec.com/app#appuploadfiles/3a1aad06-96eb-56fe-8dfc-028f0d723f96","MCDC Consulting")</f>
      </c>
      <c r="B2218" s="3" t="s">
        <v>387</v>
      </c>
      <c r="C2218" s="4">
        <v>12</v>
      </c>
    </row>
    <row r="2219">
      <c r="A2219" s="5">
        <f>HYPERLINK("https://app-web.statementrec.com/app#appuploadfiles/3a1aadf5-24d6-400b-0966-d1a3efbadbc9","10460TR - Mr Redvers Williams")</f>
      </c>
      <c r="B2219" s="3" t="s">
        <v>15</v>
      </c>
      <c r="C2219" s="4">
        <v>17</v>
      </c>
    </row>
    <row r="2220">
      <c r="A2220" s="5">
        <f>HYPERLINK("https://app-web.statementrec.com/app#appuploadfiles/3a1aae30-d982-5027-62c6-b34c5dc8c64f","CARPLEX LTD")</f>
      </c>
      <c r="B2220" s="3" t="s">
        <v>86</v>
      </c>
      <c r="C2220" s="4">
        <v>68</v>
      </c>
    </row>
    <row r="2221">
      <c r="A2221" s="5">
        <f>HYPERLINK("https://app-web.statementrec.com/app#appuploadfiles/3a1ab358-672a-3fd2-da24-cfdacf5e27d0","Wildflower Nails &amp; Beauty Limited")</f>
      </c>
      <c r="B2221" s="3" t="s">
        <v>11</v>
      </c>
      <c r="C2221" s="4">
        <v>13</v>
      </c>
    </row>
    <row r="2222">
      <c r="A2222" s="5">
        <f>HYPERLINK("https://app-web.statementrec.com/app#appuploadfiles/3a1ab35d-d603-0f62-aa5c-a40ca476451e","Southern Fruit Enterprises")</f>
      </c>
      <c r="B2222" s="3" t="s">
        <v>10</v>
      </c>
      <c r="C2222" s="4">
        <v>13</v>
      </c>
    </row>
    <row r="2223">
      <c r="A2223" s="5">
        <f>HYPERLINK("https://app-web.statementrec.com/app#appuploadfiles/3a1ab3af-2130-526a-5b23-69dfd63c721b","Fitn App Ltd")</f>
      </c>
      <c r="B2223" s="3" t="s">
        <v>26</v>
      </c>
      <c r="C2223" s="4">
        <v>2</v>
      </c>
    </row>
    <row r="2224">
      <c r="A2224" s="5">
        <f>HYPERLINK("https://app-web.statementrec.com/app#appuploadfiles/3a1ab417-462e-dbda-310b-413c57b11c78","YE 2026")</f>
      </c>
      <c r="B2224" s="3" t="s">
        <v>482</v>
      </c>
      <c r="C2224" s="4">
        <v>4</v>
      </c>
    </row>
    <row r="2225">
      <c r="A2225" s="5">
        <f>HYPERLINK("https://app-web.statementrec.com/app#appuploadfiles/3a1ab99e-646c-1570-b129-cc016d1a361a","blue ripple")</f>
      </c>
      <c r="B2225" s="3" t="s">
        <v>181</v>
      </c>
      <c r="C2225" s="4">
        <v>9</v>
      </c>
    </row>
    <row r="2226">
      <c r="A2226" s="5">
        <f>HYPERLINK("https://app-web.statementrec.com/app#appuploadfiles/3a1abadb-bc7f-4beb-7262-11afc77c1772","107-11 Metro Holdings")</f>
      </c>
      <c r="B2226" s="3" t="s">
        <v>58</v>
      </c>
      <c r="C2226" s="4">
        <v>26</v>
      </c>
    </row>
    <row r="2227">
      <c r="A2227" s="5">
        <f>HYPERLINK("https://app-web.statementrec.com/app#appuploadfiles/3a1abd75-662a-d821-c445-b4e5f8a8b2a4","D122-Dorchester (Fifth) Management")</f>
      </c>
      <c r="B2227" s="3" t="s">
        <v>12</v>
      </c>
      <c r="C2227" s="4">
        <v>27</v>
      </c>
    </row>
    <row r="2228">
      <c r="A2228" s="5">
        <f>HYPERLINK("https://app-web.statementrec.com/app#appuploadfiles/3a1abeb3-adba-07ae-39f6-31407a991664","Robert Smith (23934)")</f>
      </c>
      <c r="B2228" s="3" t="s">
        <v>483</v>
      </c>
      <c r="C2228" s="4">
        <v>39</v>
      </c>
    </row>
    <row r="2229">
      <c r="A2229" s="5">
        <f>HYPERLINK("https://app-web.statementrec.com/app#appuploadfiles/3a1ac294-dabd-124e-4b16-e4595f061caf","Sorcha Franklin")</f>
      </c>
      <c r="B2229" s="3" t="s">
        <v>56</v>
      </c>
      <c r="C2229" s="4">
        <v>2</v>
      </c>
    </row>
    <row r="2230">
      <c r="A2230" s="5">
        <f>HYPERLINK("https://app-web.statementrec.com/app#appuploadfiles/3a1ac8db-5ee3-298e-ae6f-1a44d8c9b3ec","A Smalling 25")</f>
      </c>
      <c r="B2230" s="3" t="s">
        <v>15</v>
      </c>
      <c r="C2230" s="4">
        <v>67</v>
      </c>
    </row>
    <row r="2231">
      <c r="A2231" s="5">
        <f>HYPERLINK("https://app-web.statementrec.com/app#appuploadfiles/3a1ad367-b221-92dc-d379-cff83093899f","Gary Edmondson")</f>
      </c>
      <c r="B2231" s="3" t="s">
        <v>17</v>
      </c>
      <c r="C2231" s="4">
        <v>41</v>
      </c>
    </row>
    <row r="2232">
      <c r="A2232" s="5">
        <f>HYPERLINK("https://app-web.statementrec.com/app#appuploadfiles/3a1ad873-dbaa-e161-b277-431ae81638d3","Anisan Fashions UK Limited")</f>
      </c>
      <c r="B2232" s="3" t="s">
        <v>484</v>
      </c>
      <c r="C2232" s="4">
        <v>19</v>
      </c>
    </row>
    <row r="2233">
      <c r="A2233" s="5">
        <f>HYPERLINK("https://app-web.statementrec.com/app#appuploadfiles/3a1adcda-dc0d-9d25-b3a5-823e894fa611","Torque IT Services Limited")</f>
      </c>
      <c r="B2233" s="3" t="s">
        <v>15</v>
      </c>
      <c r="C2233" s="4">
        <v>1</v>
      </c>
    </row>
    <row r="2234">
      <c r="A2234" s="5">
        <f>HYPERLINK("https://app-web.statementrec.com/app#appuploadfiles/3a1add83-7e02-72bf-04d3-9858a88e342b","Alexis de Dietrich BS NEW")</f>
      </c>
      <c r="B2234" s="3" t="s">
        <v>19</v>
      </c>
      <c r="C2234" s="4">
        <v>1</v>
      </c>
    </row>
    <row r="2235">
      <c r="A2235" s="5">
        <f>HYPERLINK("https://app-web.statementrec.com/app#appuploadfiles/3a1ae19c-ed41-a5a3-d104-ea5cf9386270","Midas Gt")</f>
      </c>
      <c r="B2235" s="3" t="s">
        <v>485</v>
      </c>
      <c r="C2235" s="4">
        <v>3</v>
      </c>
    </row>
    <row r="2236">
      <c r="A2236" s="5">
        <f>HYPERLINK("https://app-web.statementrec.com/app#appuploadfiles/3a1ae27c-40ae-1754-3bea-c8c3c356bbe0","Mark Perdue")</f>
      </c>
      <c r="B2236" s="3" t="s">
        <v>18</v>
      </c>
      <c r="C2236" s="4">
        <v>32</v>
      </c>
    </row>
    <row r="2237">
      <c r="A2237" s="5">
        <f>HYPERLINK("https://app-web.statementrec.com/app#appuploadfiles/3a1ae2b9-21a9-2afa-1698-57e500706e6b","KGM Developments Ltd")</f>
      </c>
      <c r="B2237" s="3" t="s">
        <v>12</v>
      </c>
      <c r="C2237" s="4">
        <v>2</v>
      </c>
    </row>
    <row r="2238">
      <c r="A2238" s="5">
        <f>HYPERLINK("https://app-web.statementrec.com/app#appuploadfiles/3a1ae327-4a44-04b8-b905-f9af4ff3d961","Endeavour Wave Ltd")</f>
      </c>
      <c r="B2238" s="3" t="s">
        <v>40</v>
      </c>
      <c r="C2238" s="4">
        <v>1</v>
      </c>
    </row>
    <row r="2239">
      <c r="A2239" s="5">
        <f>HYPERLINK("https://app-web.statementrec.com/app#appuploadfiles/3a1ae471-5c1f-cbdf-d391-386260cabd6e","Zimasa Group Of Companies")</f>
      </c>
      <c r="B2239" s="3" t="s">
        <v>486</v>
      </c>
      <c r="C2239" s="4">
        <v>11</v>
      </c>
    </row>
    <row r="2240">
      <c r="A2240" s="5">
        <f>HYPERLINK("https://app-web.statementrec.com/app#appuploadfiles/3a1ae6a8-ac8a-aab6-dc02-9d812575e736","KAN SECURITY")</f>
      </c>
      <c r="B2240" s="3" t="s">
        <v>118</v>
      </c>
      <c r="C2240" s="4">
        <v>21</v>
      </c>
    </row>
    <row r="2241">
      <c r="A2241" s="5">
        <f>HYPERLINK("https://app-web.statementrec.com/app#appuploadfiles/3a1ae6aa-7edb-b6e3-ddc4-d0409447ba81","Intex Services")</f>
      </c>
      <c r="B2241" s="3" t="s">
        <v>12</v>
      </c>
      <c r="C2241" s="4">
        <v>12</v>
      </c>
    </row>
    <row r="2242">
      <c r="A2242" s="5">
        <f>HYPERLINK("https://app-web.statementrec.com/app#appuploadfiles/3a1ae6d7-4538-ca46-8725-41ad9b681566","HUB EXPRESS LTD")</f>
      </c>
      <c r="B2242" s="3" t="s">
        <v>29</v>
      </c>
      <c r="C2242" s="4">
        <v>17</v>
      </c>
    </row>
    <row r="2243">
      <c r="A2243" s="5">
        <f>HYPERLINK("https://app-web.statementrec.com/app#appuploadfiles/3a1ae6ec-d15f-f100-0538-2244d89ad319","Irish Commercial Charter Boats")</f>
      </c>
      <c r="B2243" s="3" t="s">
        <v>3</v>
      </c>
      <c r="C2243" s="4">
        <v>4</v>
      </c>
    </row>
    <row r="2244">
      <c r="A2244" s="5">
        <f>HYPERLINK("https://app-web.statementrec.com/app#appuploadfiles/3a1ae7a2-391f-e1c1-bb29-9e80d215f009","Robert Atkinson")</f>
      </c>
      <c r="B2244" s="3" t="s">
        <v>17</v>
      </c>
      <c r="C2244" s="4">
        <v>52</v>
      </c>
    </row>
    <row r="2245">
      <c r="A2245" s="5">
        <f>HYPERLINK("https://app-web.statementrec.com/app#appuploadfiles/3a1ae81a-cf51-2120-29d7-89b3d77bb872","WRIGHT CUSTOMS")</f>
      </c>
      <c r="B2245" s="3" t="s">
        <v>19</v>
      </c>
      <c r="C2245" s="4">
        <v>5</v>
      </c>
    </row>
    <row r="2246">
      <c r="A2246" s="5">
        <f>HYPERLINK("https://app-web.statementrec.com/app#appuploadfiles/3a1ae855-a1df-9be0-3458-ab6df964dd90","Centifolio Limited")</f>
      </c>
      <c r="B2246" s="3" t="s">
        <v>86</v>
      </c>
      <c r="C2246" s="4">
        <v>2</v>
      </c>
    </row>
    <row r="2247">
      <c r="A2247" s="5">
        <f>HYPERLINK("https://app-web.statementrec.com/app#appuploadfiles/3a1af198-7d8c-f967-f001-5d65d8855d69","Besser Estates Limited")</f>
      </c>
      <c r="B2247" s="3" t="s">
        <v>12</v>
      </c>
      <c r="C2247" s="4">
        <v>12</v>
      </c>
    </row>
    <row r="2248">
      <c r="A2248" s="5">
        <f>HYPERLINK("https://app-web.statementrec.com/app#appuploadfiles/3a1af6a1-e5d3-dc3d-2473-ff9e4e788386","T &amp; D I Allen &amp; Son")</f>
      </c>
      <c r="B2248" s="3" t="s">
        <v>25</v>
      </c>
      <c r="C2248" s="4">
        <v>19</v>
      </c>
    </row>
    <row r="2249">
      <c r="A2249" s="5">
        <f>HYPERLINK("https://app-web.statementrec.com/app#appuploadfiles/3a1af6e2-9504-891e-0076-e9f5f4d5ae5f","BG Surgical Limited")</f>
      </c>
      <c r="B2249" s="3" t="s">
        <v>84</v>
      </c>
      <c r="C2249" s="4">
        <v>1</v>
      </c>
    </row>
    <row r="2250">
      <c r="A2250" s="5">
        <f>HYPERLINK("https://app-web.statementrec.com/app#appuploadfiles/3a1afb5b-a416-9323-6914-502bb825d83a","African Compass Trading 201 CC")</f>
      </c>
      <c r="B2250" s="3" t="s">
        <v>120</v>
      </c>
      <c r="C2250" s="4">
        <v>20</v>
      </c>
    </row>
    <row r="2251">
      <c r="A2251" s="5">
        <f>HYPERLINK("https://app-web.statementrec.com/app#appuploadfiles/3a1afbec-0ad7-c13d-c51e-c97b21703569","Birch Leadership Limited")</f>
      </c>
      <c r="B2251" s="3" t="s">
        <v>26</v>
      </c>
      <c r="C2251" s="4">
        <v>3</v>
      </c>
    </row>
    <row r="2252">
      <c r="A2252" s="5">
        <f>HYPERLINK("https://app-web.statementrec.com/app#appuploadfiles/3a1afbfe-d353-2c0e-9406-28961d4d0683","ECHO PACKAGING LIMITED")</f>
      </c>
      <c r="B2252" s="3" t="s">
        <v>18</v>
      </c>
      <c r="C2252" s="4">
        <v>10</v>
      </c>
    </row>
    <row r="2253">
      <c r="A2253" s="5">
        <f>HYPERLINK("https://app-web.statementrec.com/app#appuploadfiles/3a1afcc8-4574-11a3-a035-35947fa02dc4","Galvin Farms")</f>
      </c>
      <c r="B2253" s="3" t="s">
        <v>3</v>
      </c>
      <c r="C2253" s="4">
        <v>16</v>
      </c>
    </row>
    <row r="2254">
      <c r="A2254" s="5">
        <f>HYPERLINK("https://app-web.statementrec.com/app#appuploadfiles/3a1afe0e-5f28-35c7-9f59-23bd96e541ca","HILL HOUSING LLC")</f>
      </c>
      <c r="B2254" s="3" t="s">
        <v>487</v>
      </c>
      <c r="C2254" s="4">
        <v>4</v>
      </c>
    </row>
    <row r="2255">
      <c r="A2255" s="5">
        <f>HYPERLINK("https://app-web.statementrec.com/app#appuploadfiles/3a1b0028-d7de-a9d0-1520-9e1f0a2b16ae","Seulen")</f>
      </c>
      <c r="B2255" s="3" t="s">
        <v>38</v>
      </c>
      <c r="C2255" s="4">
        <v>8</v>
      </c>
    </row>
    <row r="2256">
      <c r="A2256" s="5">
        <f>HYPERLINK("https://app-web.statementrec.com/app#appuploadfiles/3a1b00e4-3970-c520-f065-68c3db70d7b2","Greentalk")</f>
      </c>
      <c r="B2256" s="3" t="s">
        <v>11</v>
      </c>
      <c r="C2256" s="4">
        <v>9</v>
      </c>
    </row>
    <row r="2257">
      <c r="A2257" s="5">
        <f>HYPERLINK("https://app-web.statementrec.com/app#appuploadfiles/3a1b0204-905f-a61e-d87a-9e2982d5c2e2","4012EX Lt Col AJM Drake Disc Sett")</f>
      </c>
      <c r="B2257" s="3" t="s">
        <v>488</v>
      </c>
      <c r="C2257" s="4">
        <v>8</v>
      </c>
    </row>
    <row r="2258">
      <c r="A2258" s="5">
        <f>HYPERLINK("https://app-web.statementrec.com/app#appuploadfiles/3a1b0212-032c-81e4-a080-289b09d0b4c8","2025-06")</f>
      </c>
      <c r="B2258" s="3" t="s">
        <v>58</v>
      </c>
      <c r="C2258" s="4">
        <v>10</v>
      </c>
    </row>
    <row r="2259">
      <c r="A2259" s="5">
        <f>HYPERLINK("https://app-web.statementrec.com/app#appuploadfiles/3a1b0be3-5bcd-acff-5e07-19a89a01a4e8","Mr Neil Dickson")</f>
      </c>
      <c r="B2259" s="3" t="s">
        <v>17</v>
      </c>
      <c r="C2259" s="4">
        <v>5</v>
      </c>
    </row>
    <row r="2260">
      <c r="A2260" s="5">
        <f>HYPERLINK("https://app-web.statementrec.com/app#appuploadfiles/3a1b19fa-704a-fbff-9797-09d68a08a238","The People Academy")</f>
      </c>
      <c r="B2260" s="3" t="s">
        <v>18</v>
      </c>
      <c r="C2260" s="4">
        <v>1</v>
      </c>
    </row>
    <row r="2261">
      <c r="A2261" s="5">
        <f>HYPERLINK("https://app-web.statementrec.com/app#appuploadfiles/3a1b1b25-1ab3-0718-c994-8a911bd58685","Sleek Cheek Ltd")</f>
      </c>
      <c r="B2261" s="3" t="s">
        <v>15</v>
      </c>
      <c r="C2261" s="4">
        <v>32</v>
      </c>
    </row>
    <row r="2262">
      <c r="A2262" s="5">
        <f>HYPERLINK("https://app-web.statementrec.com/app#appuploadfiles/3a1b1c5b-f835-73cc-a573-3a8f2801f4b8","2470267 Ontario Inc.")</f>
      </c>
      <c r="B2262" s="3" t="s">
        <v>158</v>
      </c>
      <c r="C2262" s="4">
        <v>24</v>
      </c>
    </row>
    <row r="2263">
      <c r="A2263" s="5">
        <f>HYPERLINK("https://app-web.statementrec.com/app#appuploadfiles/3a1b1cc5-4de1-12aa-5bed-1123fb38abe5","MAXPRIME LIMITED")</f>
      </c>
      <c r="B2263" s="3" t="s">
        <v>168</v>
      </c>
      <c r="C2263" s="4">
        <v>23</v>
      </c>
    </row>
    <row r="2264">
      <c r="A2264" s="5">
        <f>HYPERLINK("https://app-web.statementrec.com/app#appuploadfiles/3a1b1f33-63d9-b1cf-165a-aef947e844b0","MAGIC REFURBISHMENT LIMITED")</f>
      </c>
      <c r="B2264" s="3" t="s">
        <v>16</v>
      </c>
      <c r="C2264" s="4">
        <v>17</v>
      </c>
    </row>
    <row r="2265">
      <c r="A2265" s="5">
        <f>HYPERLINK("https://app-web.statementrec.com/app#appuploadfiles/3a1b1f97-01e7-6144-df15-60930915f459","David Connelly")</f>
      </c>
      <c r="B2265" s="3" t="s">
        <v>16</v>
      </c>
      <c r="C2265" s="4">
        <v>8</v>
      </c>
    </row>
    <row r="2266">
      <c r="A2266" s="5">
        <f>HYPERLINK("https://app-web.statementrec.com/app#appuploadfiles/3a1b208f-cd6d-f546-5729-bbd34c24b50e","WDT Owen")</f>
      </c>
      <c r="B2266" s="3" t="s">
        <v>17</v>
      </c>
      <c r="C2266" s="4">
        <v>13</v>
      </c>
    </row>
    <row r="2267">
      <c r="A2267" s="5">
        <f>HYPERLINK("https://app-web.statementrec.com/app#appuploadfiles/3a1b2090-2ed1-1cab-62f0-d8cb6cd1847f","RFS Holdings")</f>
      </c>
      <c r="B2267" s="3" t="s">
        <v>118</v>
      </c>
      <c r="C2267" s="4">
        <v>5</v>
      </c>
    </row>
    <row r="2268">
      <c r="A2268" s="5">
        <f>HYPERLINK("https://app-web.statementrec.com/app#appuploadfiles/3a1b237f-37d7-4851-760a-a5b308273f81","Steamboat Studios")</f>
      </c>
      <c r="B2268" s="3" t="s">
        <v>185</v>
      </c>
      <c r="C2268" s="4">
        <v>3</v>
      </c>
    </row>
    <row r="2269">
      <c r="A2269" s="5">
        <f>HYPERLINK("https://app-web.statementrec.com/app#appuploadfiles/3a1b25b1-50b5-7604-0df5-e4096408023e","Johns Llanferran")</f>
      </c>
      <c r="B2269" s="3" t="s">
        <v>21</v>
      </c>
      <c r="C2269" s="4">
        <v>17</v>
      </c>
    </row>
    <row r="2270">
      <c r="A2270" s="5">
        <f>HYPERLINK("https://app-web.statementrec.com/app#appuploadfiles/3a1b2997-65d5-dcbe-45b7-759abc2a8442","Broadoaks Projects")</f>
      </c>
      <c r="B2270" s="3" t="s">
        <v>3</v>
      </c>
      <c r="C2270" s="4">
        <v>4</v>
      </c>
    </row>
    <row r="2271">
      <c r="A2271" s="5">
        <f>HYPERLINK("https://app-web.statementrec.com/app#appuploadfiles/3a1b2a35-a230-a47d-2ee6-5b2ee957cde5","Ryan Cassidy")</f>
      </c>
      <c r="B2271" s="3" t="s">
        <v>489</v>
      </c>
      <c r="C2271" s="4">
        <v>73</v>
      </c>
    </row>
    <row r="2272">
      <c r="A2272" s="5">
        <f>HYPERLINK("https://app-web.statementrec.com/app#appuploadfiles/3a1b2a5b-5d30-5b7c-76b6-49525a266ef2","Z0048 - Newgarde Ltd")</f>
      </c>
      <c r="B2272" s="3" t="s">
        <v>29</v>
      </c>
      <c r="C2272" s="4">
        <v>6</v>
      </c>
    </row>
    <row r="2273">
      <c r="A2273" s="5">
        <f>HYPERLINK("https://app-web.statementrec.com/app#appuploadfiles/3a1b2a5f-de65-4784-8130-9e7c08af1d48","James Bambrick")</f>
      </c>
      <c r="B2273" s="3" t="s">
        <v>75</v>
      </c>
      <c r="C2273" s="4">
        <v>16</v>
      </c>
    </row>
    <row r="2274">
      <c r="A2274" s="5">
        <f>HYPERLINK("https://app-web.statementrec.com/app#appuploadfiles/3a1b2abc-5be4-18a1-8428-43020fc5b263","DERBY CITY TIRE &amp; AUTO SERVICE")</f>
      </c>
      <c r="B2274" s="3" t="s">
        <v>490</v>
      </c>
      <c r="C2274" s="4">
        <v>113</v>
      </c>
    </row>
    <row r="2275">
      <c r="A2275" s="5">
        <f>HYPERLINK("https://app-web.statementrec.com/app#appuploadfiles/3a1b2b2e-e836-f6e0-3883-d5ee007f0ee0","J D R Thomas")</f>
      </c>
      <c r="B2275" s="3" t="s">
        <v>15</v>
      </c>
      <c r="C2275" s="4">
        <v>5</v>
      </c>
    </row>
    <row r="2276">
      <c r="A2276" s="5">
        <f>HYPERLINK("https://app-web.statementrec.com/app#appuploadfiles/3a1b2ee6-8ce0-f026-032b-501df792d6b2","Darren Delaney Carpentry")</f>
      </c>
      <c r="B2276" s="3" t="s">
        <v>75</v>
      </c>
      <c r="C2276" s="4">
        <v>2</v>
      </c>
    </row>
    <row r="2277">
      <c r="A2277" s="5">
        <f>HYPERLINK("https://app-web.statementrec.com/app#appuploadfiles/3a1b3024-11e8-31d0-4386-3debea4491e5","Mahmut Sincar T/A Bearman Barbers")</f>
      </c>
      <c r="B2277" s="3" t="s">
        <v>168</v>
      </c>
      <c r="C2277" s="4">
        <v>5</v>
      </c>
    </row>
    <row r="2278">
      <c r="A2278" s="5">
        <f>HYPERLINK("https://app-web.statementrec.com/app#appuploadfiles/3a1b3ede-4a98-6987-5385-42081e052122","John McKay")</f>
      </c>
      <c r="B2278" s="3" t="s">
        <v>8</v>
      </c>
      <c r="C2278" s="4">
        <v>13</v>
      </c>
    </row>
    <row r="2279">
      <c r="A2279" s="5">
        <f>HYPERLINK("https://app-web.statementrec.com/app#appuploadfiles/3a1b3f15-3031-9939-7e04-09bc41ccf53f","Piniparma.UK.Ltd")</f>
      </c>
      <c r="B2279" s="3" t="s">
        <v>11</v>
      </c>
      <c r="C2279" s="4">
        <v>9</v>
      </c>
    </row>
    <row r="2280">
      <c r="A2280" s="5">
        <f>HYPERLINK("https://app-web.statementrec.com/app#appuploadfiles/3a1b3f79-6ee7-4c89-70a4-3475f9ed6b63","Miresfield Farm B&amp;B")</f>
      </c>
      <c r="B2280" s="3" t="s">
        <v>12</v>
      </c>
      <c r="C2280" s="4">
        <v>10</v>
      </c>
    </row>
    <row r="2281">
      <c r="A2281" s="5">
        <f>HYPERLINK("https://app-web.statementrec.com/app#appuploadfiles/3a1b4386-517f-1346-b102-1bca5dc23c06","Joint Venture of PowerChina")</f>
      </c>
      <c r="B2281" s="3" t="s">
        <v>491</v>
      </c>
      <c r="C2281" s="4">
        <v>4</v>
      </c>
    </row>
    <row r="2282">
      <c r="A2282" s="5">
        <f>HYPERLINK("https://app-web.statementrec.com/app#appuploadfiles/3a1b43aa-2aeb-a111-b4c3-911905568768","9301 Mrs Elsie Andrews")</f>
      </c>
      <c r="B2282" s="3" t="s">
        <v>15</v>
      </c>
      <c r="C2282" s="4">
        <v>16</v>
      </c>
    </row>
    <row r="2283">
      <c r="A2283" s="5">
        <f>HYPERLINK("https://app-web.statementrec.com/app#appuploadfiles/3a1b442f-55d1-6ade-91ea-e4cb6a1c8371","Mr D J Rees")</f>
      </c>
      <c r="B2283" s="3" t="s">
        <v>17</v>
      </c>
      <c r="C2283" s="4">
        <v>6</v>
      </c>
    </row>
    <row r="2284">
      <c r="A2284" s="5">
        <f>HYPERLINK("https://app-web.statementrec.com/app#appuploadfiles/3a1b44a9-f037-5fe1-3cef-b26fa8ed3da4","Lalla")</f>
      </c>
      <c r="B2284" s="3" t="s">
        <v>80</v>
      </c>
      <c r="C2284" s="4">
        <v>5</v>
      </c>
    </row>
    <row r="2285">
      <c r="A2285" s="5">
        <f>HYPERLINK("https://app-web.statementrec.com/app#appuploadfiles/3a1b4956-0add-bf98-1bb3-f23a154949fb","AB Pumps")</f>
      </c>
      <c r="B2285" s="3" t="s">
        <v>40</v>
      </c>
      <c r="C2285" s="4">
        <v>1</v>
      </c>
    </row>
    <row r="2286">
      <c r="A2286" s="5">
        <f>HYPERLINK("https://app-web.statementrec.com/app#appuploadfiles/3a1b49f4-3e7b-56b9-c329-5cf3819d2251","Brendan McGahon Ltd")</f>
      </c>
      <c r="B2286" s="3" t="s">
        <v>10</v>
      </c>
      <c r="C2286" s="4">
        <v>5</v>
      </c>
    </row>
    <row r="2287">
      <c r="A2287" s="5">
        <f>HYPERLINK("https://app-web.statementrec.com/app#appuploadfiles/3a1b4d4c-55bb-a812-ac22-d04ca529ccf4","HOB")</f>
      </c>
      <c r="B2287" s="3" t="s">
        <v>80</v>
      </c>
      <c r="C2287" s="4">
        <v>6</v>
      </c>
    </row>
    <row r="2288">
      <c r="A2288" s="5">
        <f>HYPERLINK("https://app-web.statementrec.com/app#appuploadfiles/3a1b52a2-e8f2-d38f-9d96-84622731e152","DDF Dance Company Limited")</f>
      </c>
      <c r="B2288" s="3" t="s">
        <v>17</v>
      </c>
      <c r="C2288" s="4">
        <v>29</v>
      </c>
    </row>
    <row r="2289">
      <c r="A2289" s="5">
        <f>HYPERLINK("https://app-web.statementrec.com/app#appuploadfiles/3a1b53b9-c545-0daa-db69-17f23f99f5c7","Denis Collins")</f>
      </c>
      <c r="B2289" s="3" t="s">
        <v>10</v>
      </c>
      <c r="C2289" s="4">
        <v>3</v>
      </c>
    </row>
    <row r="2290">
      <c r="A2290" s="5">
        <f>HYPERLINK("https://app-web.statementrec.com/app#appuploadfiles/3a1b5400-5331-2300-c806-c5cf62cf2e2b","JV of HDEC-Green Whistle (Oasis)")</f>
      </c>
      <c r="B2290" s="3" t="s">
        <v>118</v>
      </c>
      <c r="C2290" s="4">
        <v>1</v>
      </c>
    </row>
    <row r="2291">
      <c r="A2291" s="5">
        <f>HYPERLINK("https://app-web.statementrec.com/app#appuploadfiles/3a1b5447-92e1-4f78-8d60-9c41fc9dcbcb","Distribuidora La Abundancia Inc")</f>
      </c>
      <c r="B2291" s="3" t="s">
        <v>492</v>
      </c>
      <c r="C2291" s="4">
        <v>18</v>
      </c>
    </row>
    <row r="2292">
      <c r="A2292" s="5">
        <f>HYPERLINK("https://app-web.statementrec.com/app#appuploadfiles/3a1b5524-e336-df4c-3660-13bc5162436b","KLMN Omri Ltd.")</f>
      </c>
      <c r="B2292" s="3" t="s">
        <v>56</v>
      </c>
      <c r="C2292" s="4">
        <v>8</v>
      </c>
    </row>
    <row r="2293">
      <c r="A2293" s="5">
        <f>HYPERLINK("https://app-web.statementrec.com/app#appuploadfiles/3a1b552c-ee3a-74dc-990c-4b8489dfaf9a","Komri Commercial Holdings")</f>
      </c>
      <c r="B2293" s="3" t="s">
        <v>40</v>
      </c>
      <c r="C2293" s="4">
        <v>9</v>
      </c>
    </row>
    <row r="2294">
      <c r="A2294" s="5">
        <f>HYPERLINK("https://app-web.statementrec.com/app#appuploadfiles/3a1b5543-478c-da1e-7316-499718440484","Fruhling and Okamoto General Partnership")</f>
      </c>
      <c r="B2294" s="3" t="s">
        <v>56</v>
      </c>
      <c r="C2294" s="4">
        <v>3</v>
      </c>
    </row>
    <row r="2295">
      <c r="A2295" s="5">
        <f>HYPERLINK("https://app-web.statementrec.com/app#appuploadfiles/3a1b6273-d61e-4170-8996-14ff5c318c6b","Tom Moss")</f>
      </c>
      <c r="B2295" s="3" t="s">
        <v>12</v>
      </c>
      <c r="C2295" s="4">
        <v>10</v>
      </c>
    </row>
    <row r="2296">
      <c r="A2296" s="5">
        <f>HYPERLINK("https://app-web.statementrec.com/app#appuploadfiles/3a1b6453-4793-da0c-6690-8220c6c9d333","AFBJJ MARTIAL ARTS LLC")</f>
      </c>
      <c r="B2296" s="3" t="s">
        <v>59</v>
      </c>
      <c r="C2296" s="4">
        <v>10</v>
      </c>
    </row>
    <row r="2297">
      <c r="A2297" s="5">
        <f>HYPERLINK("https://app-web.statementrec.com/app#appuploadfiles/3a1b681e-b36d-22af-846e-f8bf896c304d","Shiv")</f>
      </c>
      <c r="B2297" s="3" t="s">
        <v>493</v>
      </c>
      <c r="C2297" s="4">
        <v>29</v>
      </c>
    </row>
    <row r="2298">
      <c r="A2298" s="5">
        <f>HYPERLINK("https://app-web.statementrec.com/app#appuploadfiles/3a1b6c99-90b7-7611-46c2-fd290e8c671b","Climate Club Limited")</f>
      </c>
      <c r="B2298" s="3" t="s">
        <v>3</v>
      </c>
      <c r="C2298" s="4">
        <v>13</v>
      </c>
    </row>
    <row r="2299">
      <c r="A2299" s="5">
        <f>HYPERLINK("https://app-web.statementrec.com/app#appuploadfiles/3a1b777c-dcae-62e6-17e4-4d7d80ee6889","Devon&amp;Devon London Limited")</f>
      </c>
      <c r="B2299" s="3" t="s">
        <v>494</v>
      </c>
      <c r="C2299" s="4">
        <v>8</v>
      </c>
    </row>
    <row r="2300">
      <c r="A2300" s="5">
        <f>HYPERLINK("https://app-web.statementrec.com/app#appuploadfiles/3a1b8683-e1f6-9a48-b82c-a2eac176b270","Weeks Pub &amp; Dining Ltd")</f>
      </c>
      <c r="B2300" s="3" t="s">
        <v>47</v>
      </c>
      <c r="C2300" s="4">
        <v>3</v>
      </c>
    </row>
    <row r="2301">
      <c r="A2301" s="5">
        <f>HYPERLINK("https://app-web.statementrec.com/app#appuploadfiles/3a1b8683-e68d-54a2-9e45-c50f80279654","012295 - CC Endodontics")</f>
      </c>
      <c r="B2301" s="3" t="s">
        <v>84</v>
      </c>
      <c r="C2301" s="4">
        <v>1</v>
      </c>
    </row>
    <row r="2302">
      <c r="A2302" s="5">
        <f>HYPERLINK("https://app-web.statementrec.com/app#appuploadfiles/3a1b86b5-7928-673d-56cb-de7c44010e0a","Joe Hudson")</f>
      </c>
      <c r="B2302" s="3" t="s">
        <v>8</v>
      </c>
      <c r="C2302" s="4">
        <v>6</v>
      </c>
    </row>
    <row r="2303">
      <c r="A2303" s="5">
        <f>HYPERLINK("https://app-web.statementrec.com/app#appuploadfiles/3a1b877f-7962-2114-e9f6-65a7ebb63aba","Alan Knox Haulage")</f>
      </c>
      <c r="B2303" s="3" t="s">
        <v>33</v>
      </c>
      <c r="C2303" s="4">
        <v>16</v>
      </c>
    </row>
    <row r="2304">
      <c r="A2304" s="5">
        <f>HYPERLINK("https://app-web.statementrec.com/app#appuploadfiles/3a1b879b-4bc2-243f-4417-dd62dacd8ce3","Haydn Fletcher")</f>
      </c>
      <c r="B2304" s="3" t="s">
        <v>209</v>
      </c>
      <c r="C2304" s="4">
        <v>76</v>
      </c>
    </row>
    <row r="2305">
      <c r="A2305" s="5">
        <f>HYPERLINK("https://app-web.statementrec.com/app#appuploadfiles/3a1b87d7-0fa2-a292-3908-490615a351d1","Mr E D Evans")</f>
      </c>
      <c r="B2305" s="3" t="s">
        <v>12</v>
      </c>
      <c r="C2305" s="4">
        <v>9</v>
      </c>
    </row>
    <row r="2306">
      <c r="A2306" s="5">
        <f>HYPERLINK("https://app-web.statementrec.com/app#appuploadfiles/3a1b8c00-7e5a-f131-28ef-f53312acfc8e","Blink Design (UK) Limited")</f>
      </c>
      <c r="B2306" s="3" t="s">
        <v>43</v>
      </c>
      <c r="C2306" s="4">
        <v>17</v>
      </c>
    </row>
    <row r="2307">
      <c r="A2307" s="5">
        <f>HYPERLINK("https://app-web.statementrec.com/app#appuploadfiles/3a1b8c68-ce02-c0f3-6d16-258bce8235ee","RBL CC 0044 - FYE 1 July 2025 to 30 June 2026")</f>
      </c>
      <c r="B2307" s="3" t="s">
        <v>495</v>
      </c>
      <c r="C2307" s="4">
        <v>1</v>
      </c>
    </row>
    <row r="2308">
      <c r="A2308" s="5">
        <f>HYPERLINK("https://app-web.statementrec.com/app#appuploadfiles/3a1b8c9c-48b5-c0b8-e6d1-cbda492ef3b1","Rock Inn Roche Ltd")</f>
      </c>
      <c r="B2308" s="3" t="s">
        <v>123</v>
      </c>
      <c r="C2308" s="4">
        <v>4</v>
      </c>
    </row>
    <row r="2309">
      <c r="A2309" s="5">
        <f>HYPERLINK("https://app-web.statementrec.com/app#appuploadfiles/3a1b8d15-4339-cd74-f299-76284ff35889","Hemco Farming")</f>
      </c>
      <c r="B2309" s="3" t="s">
        <v>40</v>
      </c>
      <c r="C2309" s="4">
        <v>3</v>
      </c>
    </row>
    <row r="2310">
      <c r="A2310" s="5">
        <f>HYPERLINK("https://app-web.statementrec.com/app#appuploadfiles/3a1b90f2-3097-35ca-3636-578571296679","KUBOTA")</f>
      </c>
      <c r="B2310" s="3" t="s">
        <v>332</v>
      </c>
      <c r="C2310" s="4">
        <v>16</v>
      </c>
    </row>
    <row r="2311">
      <c r="A2311" s="5">
        <f>HYPERLINK("https://app-web.statementrec.com/app#appuploadfiles/3a1b9193-b029-0198-ce7d-d5c71e4b270b","MALLEG")</f>
      </c>
      <c r="B2311" s="3" t="s">
        <v>11</v>
      </c>
      <c r="C2311" s="4">
        <v>6</v>
      </c>
    </row>
    <row r="2312">
      <c r="A2312" s="5">
        <f>HYPERLINK("https://app-web.statementrec.com/app#appuploadfiles/3a1b929b-82ba-741f-5567-3e54e63521f2","CA-BEL0087 Belonging Studio Limited")</f>
      </c>
      <c r="B2312" s="3" t="s">
        <v>116</v>
      </c>
      <c r="C2312" s="4">
        <v>1</v>
      </c>
    </row>
    <row r="2313">
      <c r="A2313" s="5">
        <f>HYPERLINK("https://app-web.statementrec.com/app#appuploadfiles/3a1b94f8-f4b4-a07e-9393-ac68f65bf23d","Living Stones Trucking")</f>
      </c>
      <c r="B2313" s="3" t="s">
        <v>158</v>
      </c>
      <c r="C2313" s="4">
        <v>4</v>
      </c>
    </row>
    <row r="2314">
      <c r="A2314" s="5">
        <f>HYPERLINK("https://app-web.statementrec.com/app#appuploadfiles/3a1b95c1-d752-10cb-aedf-7ee709bc066f","FLYE")</f>
      </c>
      <c r="B2314" s="3" t="s">
        <v>342</v>
      </c>
      <c r="C2314" s="4">
        <v>8</v>
      </c>
    </row>
    <row r="2315">
      <c r="A2315" s="5">
        <f>HYPERLINK("https://app-web.statementrec.com/app#appuploadfiles/3a1b95ca-e178-fb2e-9873-584cc6baf628","D6539 - Brian O'Brien")</f>
      </c>
      <c r="B2315" s="3" t="s">
        <v>26</v>
      </c>
      <c r="C2315" s="4">
        <v>9</v>
      </c>
    </row>
    <row r="2316">
      <c r="A2316" s="5">
        <f>HYPERLINK("https://app-web.statementrec.com/app#appuploadfiles/3a1b9666-2a42-983e-d9bf-afc5550ff645","Martin Culverhouse")</f>
      </c>
      <c r="B2316" s="3" t="s">
        <v>19</v>
      </c>
      <c r="C2316" s="4">
        <v>11</v>
      </c>
    </row>
    <row r="2317">
      <c r="A2317" s="5">
        <f>HYPERLINK("https://app-web.statementrec.com/app#appuploadfiles/3a1b96b9-5ee5-e8b9-845b-7d09489c65e2","Chiomenti LLP")</f>
      </c>
      <c r="B2317" s="3" t="s">
        <v>56</v>
      </c>
      <c r="C2317" s="4">
        <v>9</v>
      </c>
    </row>
    <row r="2318">
      <c r="A2318" s="5">
        <f>HYPERLINK("https://app-web.statementrec.com/app#appuploadfiles/3a1b96c6-0634-44d6-35b6-27e19db19b83","B315 - Burger N Spirit Ltd")</f>
      </c>
      <c r="B2318" s="3" t="s">
        <v>168</v>
      </c>
      <c r="C2318" s="4">
        <v>19</v>
      </c>
    </row>
    <row r="2319">
      <c r="A2319" s="5">
        <f>HYPERLINK("https://app-web.statementrec.com/app#appuploadfiles/3a1b971d-34b0-ac39-5123-7622599f764c","Dua Studio-Co Limited")</f>
      </c>
      <c r="B2319" s="3" t="s">
        <v>11</v>
      </c>
      <c r="C2319" s="4">
        <v>65</v>
      </c>
    </row>
    <row r="2320">
      <c r="A2320" s="5">
        <f>HYPERLINK("https://app-web.statementrec.com/app#appuploadfiles/3a1b9bf7-1a11-07c1-d8c1-9540f8aa2d7f","AN-ECC0001 Ecclefechan Hotel Ltd")</f>
      </c>
      <c r="B2320" s="3" t="s">
        <v>29</v>
      </c>
      <c r="C2320" s="4">
        <v>1</v>
      </c>
    </row>
    <row r="2321">
      <c r="A2321" s="5">
        <f>HYPERLINK("https://app-web.statementrec.com/app#appuploadfiles/3a1b9d44-34a1-6f57-0881-e008f5662413","Mexico City Kitchen LLC")</f>
      </c>
      <c r="B2321" s="3" t="s">
        <v>496</v>
      </c>
      <c r="C2321" s="4">
        <v>9</v>
      </c>
    </row>
    <row r="2322">
      <c r="A2322" s="5">
        <f>HYPERLINK("https://app-web.statementrec.com/app#appuploadfiles/3a1b9d4f-b6f6-300b-045e-f4c8b839429c","Mexico City Kitchen 2 LLC")</f>
      </c>
      <c r="B2322" s="3" t="s">
        <v>46</v>
      </c>
      <c r="C2322" s="4">
        <v>8</v>
      </c>
    </row>
    <row r="2323">
      <c r="A2323" s="5">
        <f>HYPERLINK("https://app-web.statementrec.com/app#appuploadfiles/3a1baab9-d50c-0a61-6230-39faa6208f8c","Khera Oils Limited")</f>
      </c>
      <c r="B2323" s="3" t="s">
        <v>17</v>
      </c>
      <c r="C2323" s="4">
        <v>4</v>
      </c>
    </row>
    <row r="2324">
      <c r="A2324" s="5">
        <f>HYPERLINK("https://app-web.statementrec.com/app#appuploadfiles/3a1bab20-a2d6-17c0-e607-63f72934b824","NCCA KZN")</f>
      </c>
      <c r="B2324" s="3" t="s">
        <v>58</v>
      </c>
      <c r="C2324" s="4">
        <v>1</v>
      </c>
    </row>
    <row r="2325">
      <c r="A2325" s="5">
        <f>HYPERLINK("https://app-web.statementrec.com/app#appuploadfiles/3a1babd2-dfb8-d10f-a1a7-697830365fde","Chris sands")</f>
      </c>
      <c r="B2325" s="3" t="s">
        <v>19</v>
      </c>
      <c r="C2325" s="4">
        <v>12</v>
      </c>
    </row>
    <row r="2326">
      <c r="A2326" s="5">
        <f>HYPERLINK("https://app-web.statementrec.com/app#appuploadfiles/3a1bac7c-dab9-b946-8f15-958bda9e2911","1777623 Alberta Ltd.")</f>
      </c>
      <c r="B2326" s="3" t="s">
        <v>40</v>
      </c>
      <c r="C2326" s="4">
        <v>21</v>
      </c>
    </row>
    <row r="2327">
      <c r="A2327" s="5">
        <f>HYPERLINK("https://app-web.statementrec.com/app#appuploadfiles/3a1baf77-c95d-c477-7a9b-39b17d4531fd","Victorious Racing Limited")</f>
      </c>
      <c r="B2327" s="3" t="s">
        <v>497</v>
      </c>
      <c r="C2327" s="4">
        <v>9</v>
      </c>
    </row>
    <row r="2328">
      <c r="A2328" s="5">
        <f>HYPERLINK("https://app-web.statementrec.com/app#appuploadfiles/3a1bb0da-0c22-f01e-ba3a-9635834d70de","T242 - Toliapis Limited")</f>
      </c>
      <c r="B2328" s="3" t="s">
        <v>15</v>
      </c>
      <c r="C2328" s="4">
        <v>4</v>
      </c>
    </row>
    <row r="2329">
      <c r="A2329" s="5">
        <f>HYPERLINK("https://app-web.statementrec.com/app#appuploadfiles/3a1bb20d-0161-556a-f608-000916ff5868","Rizzoli Denture")</f>
      </c>
      <c r="B2329" s="3" t="s">
        <v>326</v>
      </c>
      <c r="C2329" s="4">
        <v>16</v>
      </c>
    </row>
    <row r="2330">
      <c r="A2330" s="5">
        <f>HYPERLINK("https://app-web.statementrec.com/app#appuploadfiles/3a1bb508-6fca-f9b7-90e9-9294b38b803c","Bank statements")</f>
      </c>
      <c r="B2330" s="3" t="s">
        <v>15</v>
      </c>
      <c r="C2330" s="4">
        <v>11</v>
      </c>
    </row>
    <row r="2331">
      <c r="A2331" s="5">
        <f>HYPERLINK("https://app-web.statementrec.com/app#appuploadfiles/3a1bb5d2-6286-c67e-2dd7-2d0aea2ef373","The Blue Door Global Ltd (T675406)")</f>
      </c>
      <c r="B2331" s="3" t="s">
        <v>498</v>
      </c>
      <c r="C2331" s="4">
        <v>98</v>
      </c>
    </row>
    <row r="2332">
      <c r="A2332" s="5">
        <f>HYPERLINK("https://app-web.statementrec.com/app#appuploadfiles/3a1bb5e5-b411-fde4-f966-c8a19e864e38","Easton Leisure Limited")</f>
      </c>
      <c r="B2332" s="3" t="s">
        <v>22</v>
      </c>
      <c r="C2332" s="4">
        <v>5</v>
      </c>
    </row>
    <row r="2333">
      <c r="A2333" s="5">
        <f>HYPERLINK("https://app-web.statementrec.com/app#appuploadfiles/3a1bb7af-ff3f-0cdb-a42e-7563a530f326","Cottle R&amp;K B W Estate")</f>
      </c>
      <c r="B2333" s="3" t="s">
        <v>17</v>
      </c>
      <c r="C2333" s="4">
        <v>6</v>
      </c>
    </row>
    <row r="2334">
      <c r="A2334" s="5">
        <f>HYPERLINK("https://app-web.statementrec.com/app#appuploadfiles/3a1bb8a0-2cd6-599f-d2f2-c5667547a96b","Heenan Contracting")</f>
      </c>
      <c r="B2334" s="3" t="s">
        <v>46</v>
      </c>
      <c r="C2334" s="4">
        <v>4</v>
      </c>
    </row>
    <row r="2335">
      <c r="A2335" s="5">
        <f>HYPERLINK("https://app-web.statementrec.com/app#appuploadfiles/3a1bb97e-184f-6193-7a4c-eae679618f22","MUVHANGO MEDICAL (PTY) LTD")</f>
      </c>
      <c r="B2335" s="3" t="s">
        <v>80</v>
      </c>
      <c r="C2335" s="4">
        <v>6</v>
      </c>
    </row>
    <row r="2336">
      <c r="A2336" s="5">
        <f>HYPERLINK("https://app-web.statementrec.com/app#appuploadfiles/3a1bb9e4-5c12-ffc0-40b8-ce302b97586f","BBO Training")</f>
      </c>
      <c r="B2336" s="3" t="s">
        <v>123</v>
      </c>
      <c r="C2336" s="4">
        <v>18</v>
      </c>
    </row>
    <row r="2337">
      <c r="A2337" s="5">
        <f>HYPERLINK("https://app-web.statementrec.com/app#appuploadfiles/3a1bbebc-c4cb-4e54-578d-ce40eb9effa2","Huw D Evans")</f>
      </c>
      <c r="B2337" s="3" t="s">
        <v>12</v>
      </c>
      <c r="C2337" s="4">
        <v>4</v>
      </c>
    </row>
    <row r="2338">
      <c r="A2338" s="5">
        <f>HYPERLINK("https://app-web.statementrec.com/app#appuploadfiles/3a1bbf00-2252-d81d-22ba-5739c9c004e1","Researchcomm 7")</f>
      </c>
      <c r="B2338" s="3" t="s">
        <v>17</v>
      </c>
      <c r="C2338" s="4">
        <v>13</v>
      </c>
    </row>
    <row r="2339">
      <c r="A2339" s="5">
        <f>HYPERLINK("https://app-web.statementrec.com/app#appuploadfiles/3a1bbf2c-b27f-5158-97c6-4dffe435bc1d","KNINE DOG STUDIO LIMITED")</f>
      </c>
      <c r="B2339" s="3" t="s">
        <v>19</v>
      </c>
      <c r="C2339" s="4">
        <v>12</v>
      </c>
    </row>
    <row r="2340">
      <c r="A2340" s="5">
        <f>HYPERLINK("https://app-web.statementrec.com/app#appuploadfiles/3a1bc126-21c0-41bd-f2d3-d252918f9023","HEWSON ACCOUNTANTS")</f>
      </c>
      <c r="B2340" s="3" t="s">
        <v>10</v>
      </c>
      <c r="C2340" s="4">
        <v>44</v>
      </c>
    </row>
    <row r="2341">
      <c r="A2341" s="5">
        <f>HYPERLINK("https://app-web.statementrec.com/app#appuploadfiles/3a1bc175-3604-ac5c-3f30-9418a79bc4bf","Double B Crop Insurance")</f>
      </c>
      <c r="B2341" s="3" t="s">
        <v>499</v>
      </c>
      <c r="C2341" s="4">
        <v>7</v>
      </c>
    </row>
    <row r="2342">
      <c r="A2342" s="5">
        <f>HYPERLINK("https://app-web.statementrec.com/app#appuploadfiles/3a1bc5bc-0171-9aec-001a-11a45bca11ad","Simarx Ltd")</f>
      </c>
      <c r="B2342" s="3" t="s">
        <v>500</v>
      </c>
      <c r="C2342" s="4">
        <v>3</v>
      </c>
    </row>
    <row r="2343">
      <c r="A2343" s="5">
        <f>HYPERLINK("https://app-web.statementrec.com/app#appuploadfiles/3a1bc7d2-5f1b-53cf-8989-ac28c434f7d4","Mundi")</f>
      </c>
      <c r="B2343" s="3" t="s">
        <v>501</v>
      </c>
      <c r="C2343" s="4">
        <v>10</v>
      </c>
    </row>
    <row r="2344">
      <c r="A2344" s="5">
        <f>HYPERLINK("https://app-web.statementrec.com/app#appuploadfiles/3a1bc9bf-3886-3913-446f-893d629e44fc","SIghtpower SA")</f>
      </c>
      <c r="B2344" s="3" t="s">
        <v>118</v>
      </c>
      <c r="C2344" s="4">
        <v>5</v>
      </c>
    </row>
    <row r="2345">
      <c r="A2345" s="5">
        <f>HYPERLINK("https://app-web.statementrec.com/app#appuploadfiles/3a1bce66-ad8d-47cf-4f7d-19a61275f679","VISDEA LIMITED")</f>
      </c>
      <c r="B2345" s="3" t="s">
        <v>16</v>
      </c>
      <c r="C2345" s="4">
        <v>6</v>
      </c>
    </row>
    <row r="2346">
      <c r="A2346" s="5">
        <f>HYPERLINK("https://app-web.statementrec.com/app#appuploadfiles/3a1bcf08-7a83-e97b-8a3b-5aa1910ca04c","J152 Dafydd Elgan Jones")</f>
      </c>
      <c r="B2346" s="3" t="s">
        <v>17</v>
      </c>
      <c r="C2346" s="4">
        <v>41</v>
      </c>
    </row>
    <row r="2347">
      <c r="A2347" s="5">
        <f>HYPERLINK("https://app-web.statementrec.com/app#appuploadfiles/3a1bcf4f-739d-d43e-fb3f-ad14dfd05ada","Stanton &amp; Co HR Ltd")</f>
      </c>
      <c r="B2347" s="3" t="s">
        <v>77</v>
      </c>
      <c r="C2347" s="4">
        <v>5</v>
      </c>
    </row>
    <row r="2348">
      <c r="A2348" s="5">
        <f>HYPERLINK("https://app-web.statementrec.com/app#appuploadfiles/3a1bcffa-a75d-ad25-be5a-4b79852d68a7","3S MK")</f>
      </c>
      <c r="B2348" s="3" t="s">
        <v>71</v>
      </c>
      <c r="C2348" s="4">
        <v>47</v>
      </c>
    </row>
    <row r="2349">
      <c r="A2349" s="5">
        <f>HYPERLINK("https://app-web.statementrec.com/app#appuploadfiles/3a1bd0eb-ae3d-4951-cf9b-98510617468e","Atlantic Partners Ltd")</f>
      </c>
      <c r="B2349" s="3" t="s">
        <v>84</v>
      </c>
      <c r="C2349" s="4">
        <v>4</v>
      </c>
    </row>
    <row r="2350">
      <c r="A2350" s="5">
        <f>HYPERLINK("https://app-web.statementrec.com/app#appuploadfiles/3a1bd107-c54d-fa5b-094d-26fcb96d7b33","Byron Brock")</f>
      </c>
      <c r="B2350" s="3" t="s">
        <v>60</v>
      </c>
      <c r="C2350" s="4">
        <v>3</v>
      </c>
    </row>
    <row r="2351">
      <c r="A2351" s="5">
        <f>HYPERLINK("https://app-web.statementrec.com/app#appuploadfiles/3a1bd109-8025-92dd-b2b0-8e21f217f41b","Beau Brock")</f>
      </c>
      <c r="B2351" s="3" t="s">
        <v>56</v>
      </c>
      <c r="C2351" s="4">
        <v>8</v>
      </c>
    </row>
    <row r="2352">
      <c r="A2352" s="5">
        <f>HYPERLINK("https://app-web.statementrec.com/app#appuploadfiles/3a1bd367-d82b-16f0-1356-af6bb6cd2549","Cameron Lodge Stafford Ltd")</f>
      </c>
      <c r="B2352" s="3" t="s">
        <v>502</v>
      </c>
      <c r="C2352" s="4">
        <v>12</v>
      </c>
    </row>
    <row r="2353">
      <c r="A2353" s="5">
        <f>HYPERLINK("https://app-web.statementrec.com/app#appuploadfiles/3a1bd413-2b57-70b6-dece-7d33f3457ba2","pufferfish ltd")</f>
      </c>
      <c r="B2353" s="3" t="s">
        <v>21</v>
      </c>
      <c r="C2353" s="4">
        <v>20</v>
      </c>
    </row>
    <row r="2354">
      <c r="A2354" s="5">
        <f>HYPERLINK("https://app-web.statementrec.com/app#appuploadfiles/3a1bd417-3d02-e86d-a3ed-4de3c2c73b23","Noble Property Solutions South Ltd")</f>
      </c>
      <c r="B2354" s="3" t="s">
        <v>13</v>
      </c>
      <c r="C2354" s="4">
        <v>1</v>
      </c>
    </row>
    <row r="2355">
      <c r="A2355" s="5">
        <f>HYPERLINK("https://app-web.statementrec.com/app#appuploadfiles/3a1bd4a2-41a4-0276-f943-ad1847629f41","The Lancashire Dog Company Limited")</f>
      </c>
      <c r="B2355" s="3" t="s">
        <v>120</v>
      </c>
      <c r="C2355" s="4">
        <v>4</v>
      </c>
    </row>
    <row r="2356">
      <c r="A2356" s="5">
        <f>HYPERLINK("https://app-web.statementrec.com/app#appuploadfiles/3a1bd853-fa4c-17ba-14a5-7198601e0c88","ZCR001 - Zerosa Resource")</f>
      </c>
      <c r="B2356" s="3" t="s">
        <v>118</v>
      </c>
      <c r="C2356" s="4">
        <v>4</v>
      </c>
    </row>
    <row r="2357">
      <c r="A2357" s="5">
        <f>HYPERLINK("https://app-web.statementrec.com/app#appuploadfiles/3a1bddfb-7c45-771b-f652-6558a07f3d67","Lefo Group")</f>
      </c>
      <c r="B2357" s="3" t="s">
        <v>264</v>
      </c>
      <c r="C2357" s="4">
        <v>9</v>
      </c>
    </row>
    <row r="2358">
      <c r="A2358" s="5">
        <f>HYPERLINK("https://app-web.statementrec.com/app#appuploadfiles/3a1bde8e-3b24-1534-1c06-09ed82f9380d","Atramar Limited")</f>
      </c>
      <c r="B2358" s="3" t="s">
        <v>15</v>
      </c>
      <c r="C2358" s="4">
        <v>5</v>
      </c>
    </row>
    <row r="2359">
      <c r="A2359" s="5">
        <f>HYPERLINK("https://app-web.statementrec.com/app#appuploadfiles/3a1bdefe-9c22-c978-4e79-63b8783ec490","ABC")</f>
      </c>
      <c r="B2359" s="3" t="s">
        <v>170</v>
      </c>
      <c r="C2359" s="4">
        <v>7</v>
      </c>
    </row>
    <row r="2360">
      <c r="A2360" s="5">
        <f>HYPERLINK("https://app-web.statementrec.com/app#appuploadfiles/3a1be04f-c26f-ad88-1173-21aedd932d42","Brooks Brock")</f>
      </c>
      <c r="B2360" s="3" t="s">
        <v>19</v>
      </c>
      <c r="C2360" s="4">
        <v>4</v>
      </c>
    </row>
    <row r="2361">
      <c r="A2361" s="5">
        <f>HYPERLINK("https://app-web.statementrec.com/app#appuploadfiles/3a1be07a-443e-41c9-ff1f-9c06dad8ae52","1512273 alberta sean")</f>
      </c>
      <c r="B2361" s="3" t="s">
        <v>503</v>
      </c>
      <c r="C2361" s="4">
        <v>5</v>
      </c>
    </row>
    <row r="2362">
      <c r="A2362" s="5">
        <f>HYPERLINK("https://app-web.statementrec.com/app#appuploadfiles/3a1be37d-6123-61fb-fb57-9a7d43c67379","Noleen Byrne")</f>
      </c>
      <c r="B2362" s="3" t="s">
        <v>36</v>
      </c>
      <c r="C2362" s="4">
        <v>54</v>
      </c>
    </row>
    <row r="2363">
      <c r="A2363" s="5">
        <f>HYPERLINK("https://app-web.statementrec.com/app#appuploadfiles/3a1bed12-961c-0b27-87e1-c5ecd35d1ab9","Audio CSV")</f>
      </c>
      <c r="B2363" s="3" t="s">
        <v>214</v>
      </c>
      <c r="C2363" s="4">
        <v>3</v>
      </c>
    </row>
    <row r="2364">
      <c r="A2364" s="5">
        <f>HYPERLINK("https://app-web.statementrec.com/app#appuploadfiles/3a1bf39f-25fe-e45f-6f01-c103df6ddb6e","T090  - TICN LTD")</f>
      </c>
      <c r="B2364" s="3" t="s">
        <v>504</v>
      </c>
      <c r="C2364" s="4">
        <v>16</v>
      </c>
    </row>
    <row r="2365">
      <c r="A2365" s="5">
        <f>HYPERLINK("https://app-web.statementrec.com/app#appuploadfiles/3a1bf3b2-e016-14de-5722-baa3e0592b40","Koyenikan MPC")</f>
      </c>
      <c r="B2365" s="3" t="s">
        <v>40</v>
      </c>
      <c r="C2365" s="4">
        <v>12</v>
      </c>
    </row>
    <row r="2366">
      <c r="A2366" s="5">
        <f>HYPERLINK("https://app-web.statementrec.com/app#appuploadfiles/3a1bf78f-35ae-5deb-7ce3-a83ba8ea3950","GODEZA")</f>
      </c>
      <c r="B2366" s="3" t="s">
        <v>264</v>
      </c>
      <c r="C2366" s="4">
        <v>31</v>
      </c>
    </row>
    <row r="2367">
      <c r="A2367" s="5">
        <f>HYPERLINK("https://app-web.statementrec.com/app#appuploadfiles/3a1bf7a7-d3e7-9781-e862-492a46ff05bf","Accounts Test")</f>
      </c>
      <c r="B2367" s="3" t="s">
        <v>168</v>
      </c>
      <c r="C2367" s="4">
        <v>88</v>
      </c>
    </row>
    <row r="2368">
      <c r="A2368" s="5">
        <f>HYPERLINK("https://app-web.statementrec.com/app#appuploadfiles/3a1bf7cd-7819-9650-4730-f83302ec44d0","FGC Healthcare LTD")</f>
      </c>
      <c r="B2368" s="3" t="s">
        <v>17</v>
      </c>
      <c r="C2368" s="4">
        <v>14</v>
      </c>
    </row>
    <row r="2369">
      <c r="A2369" s="5">
        <f>HYPERLINK("https://app-web.statementrec.com/app#appuploadfiles/3a1bf7d5-62b0-b6ea-c894-8f1fe3ee188d","Galleon Holdings Limited")</f>
      </c>
      <c r="B2369" s="3" t="s">
        <v>17</v>
      </c>
      <c r="C2369" s="4">
        <v>2</v>
      </c>
    </row>
    <row r="2370">
      <c r="A2370" s="5">
        <f>HYPERLINK("https://app-web.statementrec.com/app#appuploadfiles/3a1bf7dc-71a2-3810-c934-ddfa3707cd23","Grantham-Rycroft Limited")</f>
      </c>
      <c r="B2370" s="3" t="s">
        <v>17</v>
      </c>
      <c r="C2370" s="4">
        <v>2</v>
      </c>
    </row>
    <row r="2371">
      <c r="A2371" s="5">
        <f>HYPERLINK("https://app-web.statementrec.com/app#appuploadfiles/3a1bf7ed-86ae-0c77-fdf3-5420115dbb30","Don Investments Limited")</f>
      </c>
      <c r="B2371" s="3" t="s">
        <v>33</v>
      </c>
      <c r="C2371" s="4">
        <v>1</v>
      </c>
    </row>
    <row r="2372">
      <c r="A2372" s="5">
        <f>HYPERLINK("https://app-web.statementrec.com/app#appuploadfiles/3a1bf8a1-b657-1441-da48-dd745694945b","Songalli Limited")</f>
      </c>
      <c r="B2372" s="3" t="s">
        <v>33</v>
      </c>
      <c r="C2372" s="4">
        <v>1</v>
      </c>
    </row>
    <row r="2373">
      <c r="A2373" s="5">
        <f>HYPERLINK("https://app-web.statementrec.com/app#appuploadfiles/3a1bfced-0c2f-b39b-3a0e-1666ca24fee5","Japanese Car World Ltd")</f>
      </c>
      <c r="B2373" s="3" t="s">
        <v>190</v>
      </c>
      <c r="C2373" s="4">
        <v>6</v>
      </c>
    </row>
    <row r="2374">
      <c r="A2374" s="5">
        <f>HYPERLINK("https://app-web.statementrec.com/app#appuploadfiles/3a1bfd25-da87-0d8d-a033-3938260da889","YGI988 - George Gibson")</f>
      </c>
      <c r="B2374" s="3" t="s">
        <v>12</v>
      </c>
      <c r="C2374" s="4">
        <v>2</v>
      </c>
    </row>
    <row r="2375">
      <c r="A2375" s="5">
        <f>HYPERLINK("https://app-web.statementrec.com/app#appuploadfiles/3a1bfd52-5232-5581-f484-90ab71e82605","Casgo Connections Ltd")</f>
      </c>
      <c r="B2375" s="3" t="s">
        <v>29</v>
      </c>
      <c r="C2375" s="4">
        <v>13</v>
      </c>
    </row>
    <row r="2376">
      <c r="A2376" s="5">
        <f>HYPERLINK("https://app-web.statementrec.com/app#appuploadfiles/3a1bfe18-3d42-ec90-ce5d-512135a876f7","DC Teaching Ltd")</f>
      </c>
      <c r="B2376" s="3" t="s">
        <v>11</v>
      </c>
      <c r="C2376" s="4">
        <v>18</v>
      </c>
    </row>
    <row r="2377">
      <c r="A2377" s="5">
        <f>HYPERLINK("https://app-web.statementrec.com/app#appuploadfiles/3a1bfe5d-cbc8-ef29-772f-d6393836b7ed","Hollingbury Limited")</f>
      </c>
      <c r="B2377" s="3" t="s">
        <v>17</v>
      </c>
      <c r="C2377" s="4">
        <v>2</v>
      </c>
    </row>
    <row r="2378">
      <c r="A2378" s="5">
        <f>HYPERLINK("https://app-web.statementrec.com/app#appuploadfiles/3a1bff10-807a-af89-46c2-c3b37571f73d","Ryan Health")</f>
      </c>
      <c r="B2378" s="3" t="s">
        <v>140</v>
      </c>
      <c r="C2378" s="4">
        <v>6</v>
      </c>
    </row>
    <row r="2379">
      <c r="A2379" s="5">
        <f>HYPERLINK("https://app-web.statementrec.com/app#appuploadfiles/3a1c024a-89e2-d3e6-1c07-2ac2d09691f4","psl")</f>
      </c>
      <c r="B2379" s="3" t="s">
        <v>505</v>
      </c>
      <c r="C2379" s="4">
        <v>2</v>
      </c>
    </row>
    <row r="2380">
      <c r="A2380" s="5">
        <f>HYPERLINK("https://app-web.statementrec.com/app#appuploadfiles/3a1c0307-a495-4c54-c44c-754666d33c64","Tony Dicipline")</f>
      </c>
      <c r="B2380" s="3" t="s">
        <v>26</v>
      </c>
      <c r="C2380" s="4">
        <v>48</v>
      </c>
    </row>
    <row r="2381">
      <c r="A2381" s="5">
        <f>HYPERLINK("https://app-web.statementrec.com/app#appuploadfiles/3a1c034e-56e4-7250-309e-f940afe02eca","Simon Clay Photography")</f>
      </c>
      <c r="B2381" s="3" t="s">
        <v>506</v>
      </c>
      <c r="C2381" s="4">
        <v>17</v>
      </c>
    </row>
    <row r="2382">
      <c r="A2382" s="5">
        <f>HYPERLINK("https://app-web.statementrec.com/app#appuploadfiles/3a1c0384-ac8f-924a-9233-d3c4e50d368b","H L Civils Ltd")</f>
      </c>
      <c r="B2382" s="3" t="s">
        <v>33</v>
      </c>
      <c r="C2382" s="4">
        <v>15</v>
      </c>
    </row>
    <row r="2383">
      <c r="A2383" s="5">
        <f>HYPERLINK("https://app-web.statementrec.com/app#appuploadfiles/3a1c038d-6d02-03d8-e9a9-a6d60f52bf85","Michael Taylor")</f>
      </c>
      <c r="B2383" s="3" t="s">
        <v>12</v>
      </c>
      <c r="C2383" s="4">
        <v>2</v>
      </c>
    </row>
    <row r="2384">
      <c r="A2384" s="5">
        <f>HYPERLINK("https://app-web.statementrec.com/app#appuploadfiles/3a1c039c-d6a9-c60a-9246-ee6403808c68","VLA Drilling")</f>
      </c>
      <c r="B2384" s="3" t="s">
        <v>158</v>
      </c>
      <c r="C2384" s="4">
        <v>2</v>
      </c>
    </row>
    <row r="2385">
      <c r="A2385" s="5">
        <f>HYPERLINK("https://app-web.statementrec.com/app#appuploadfiles/3a1c0764-e5b2-61d8-c634-dadf0405adef","DasAutomotive Northwest Limited")</f>
      </c>
      <c r="B2385" s="3" t="s">
        <v>17</v>
      </c>
      <c r="C2385" s="4">
        <v>10</v>
      </c>
    </row>
    <row r="2386">
      <c r="A2386" s="5">
        <f>HYPERLINK("https://app-web.statementrec.com/app#appuploadfiles/3a1c0798-0f33-b07d-d57d-1d079ed4ef6e","Molwantwa Trading Construction cc")</f>
      </c>
      <c r="B2386" s="3" t="s">
        <v>95</v>
      </c>
      <c r="C2386" s="4">
        <v>44</v>
      </c>
    </row>
    <row r="2387">
      <c r="A2387" s="5">
        <f>HYPERLINK("https://app-web.statementrec.com/app#appuploadfiles/3a1c1717-e9c2-4895-3f12-b7a71b20dbde","Mr D Martin Pugh")</f>
      </c>
      <c r="B2387" s="3" t="s">
        <v>17</v>
      </c>
      <c r="C2387" s="4">
        <v>13</v>
      </c>
    </row>
    <row r="2388">
      <c r="A2388" s="5">
        <f>HYPERLINK("https://app-web.statementrec.com/app#appuploadfiles/3a1c1734-baed-57e1-4bdb-6ed5396d1134","K421- Kin High Engineering Limited")</f>
      </c>
      <c r="B2388" s="3" t="s">
        <v>43</v>
      </c>
      <c r="C2388" s="4">
        <v>11</v>
      </c>
    </row>
    <row r="2389">
      <c r="A2389" s="5">
        <f>HYPERLINK("https://app-web.statementrec.com/app#appuploadfiles/3a1c1766-10cf-38d3-8994-134f18e983e1","E Howarth Property Ltd")</f>
      </c>
      <c r="B2389" s="3" t="s">
        <v>18</v>
      </c>
      <c r="C2389" s="4">
        <v>70</v>
      </c>
    </row>
    <row r="2390">
      <c r="A2390" s="5">
        <f>HYPERLINK("https://app-web.statementrec.com/app#appuploadfiles/3a1c17cb-2e67-6827-0f8d-b109bc0a4120","Acorn Tiles Ltd")</f>
      </c>
      <c r="B2390" s="3" t="s">
        <v>507</v>
      </c>
      <c r="C2390" s="4">
        <v>51</v>
      </c>
    </row>
    <row r="2391">
      <c r="A2391" s="5">
        <f>HYPERLINK("https://app-web.statementrec.com/app#appuploadfiles/3a1c1c09-59f2-8dc2-3860-82979a92014e","hamilton site services")</f>
      </c>
      <c r="B2391" s="3" t="s">
        <v>47</v>
      </c>
      <c r="C2391" s="4">
        <v>3</v>
      </c>
    </row>
    <row r="2392">
      <c r="A2392" s="5">
        <f>HYPERLINK("https://app-web.statementrec.com/app#appuploadfiles/3a1c1c80-0e4a-32df-ce3b-8362156073ff","MEK CONCEPT LIMITED")</f>
      </c>
      <c r="B2392" s="3" t="s">
        <v>168</v>
      </c>
      <c r="C2392" s="4">
        <v>9</v>
      </c>
    </row>
    <row r="2393">
      <c r="A2393" s="5">
        <f>HYPERLINK("https://app-web.statementrec.com/app#appuploadfiles/3a1c1cc8-13ae-d00b-bf28-347ea77b956c","Cairbrigh Contractors Limited")</f>
      </c>
      <c r="B2393" s="3" t="s">
        <v>3</v>
      </c>
      <c r="C2393" s="4">
        <v>8</v>
      </c>
    </row>
    <row r="2394">
      <c r="A2394" s="5">
        <f>HYPERLINK("https://app-web.statementrec.com/app#appuploadfiles/3a1c1e36-913f-f521-ee36-5553d7d70d39","Growing With Grace Tutoring LLC")</f>
      </c>
      <c r="B2394" s="3" t="s">
        <v>59</v>
      </c>
      <c r="C2394" s="4">
        <v>54</v>
      </c>
    </row>
    <row r="2395">
      <c r="A2395" s="5">
        <f>HYPERLINK("https://app-web.statementrec.com/app#appuploadfiles/3a1c1e45-fd42-410e-0064-0cdd01297ff6","Diamond Thermal")</f>
      </c>
      <c r="B2395" s="3" t="s">
        <v>158</v>
      </c>
      <c r="C2395" s="4">
        <v>4</v>
      </c>
    </row>
    <row r="2396">
      <c r="A2396" s="5">
        <f>HYPERLINK("https://app-web.statementrec.com/app#appuploadfiles/3a1c1ebd-d928-ce68-1095-e4a5ad1cc57b","Okotoks Home Improvements")</f>
      </c>
      <c r="B2396" s="3" t="s">
        <v>19</v>
      </c>
      <c r="C2396" s="4">
        <v>3</v>
      </c>
    </row>
    <row r="2397">
      <c r="A2397" s="5">
        <f>HYPERLINK("https://app-web.statementrec.com/app#appuploadfiles/3a1c2184-994a-e3c6-4721-ae2e21eadb5b","Susan Harris")</f>
      </c>
      <c r="B2397" s="3" t="s">
        <v>17</v>
      </c>
      <c r="C2397" s="4">
        <v>13</v>
      </c>
    </row>
    <row r="2398">
      <c r="A2398" s="5">
        <f>HYPERLINK("https://app-web.statementrec.com/app#appuploadfiles/3a1c21eb-4ba3-affc-7478-a77fd9cec32d","Beijing Falkirk Ltd")</f>
      </c>
      <c r="B2398" s="3" t="s">
        <v>11</v>
      </c>
      <c r="C2398" s="4">
        <v>15</v>
      </c>
    </row>
    <row r="2399">
      <c r="A2399" s="5">
        <f>HYPERLINK("https://app-web.statementrec.com/app#appuploadfiles/3a1c25e4-7545-f2db-b43f-d404ca8c2775","TBP Operating")</f>
      </c>
      <c r="B2399" s="3" t="s">
        <v>11</v>
      </c>
      <c r="C2399" s="4">
        <v>31</v>
      </c>
    </row>
    <row r="2400">
      <c r="A2400" s="5">
        <f>HYPERLINK("https://app-web.statementrec.com/app#appuploadfiles/3a1c2644-1458-f642-e5c7-75aa9c7754ae","Kago Development")</f>
      </c>
      <c r="B2400" s="3" t="s">
        <v>48</v>
      </c>
      <c r="C2400" s="4">
        <v>6</v>
      </c>
    </row>
    <row r="2401">
      <c r="A2401" s="5">
        <f>HYPERLINK("https://app-web.statementrec.com/app#appuploadfiles/3a1c2674-7f09-4517-1cfc-85b023e74218","SSC Eagle Capital")</f>
      </c>
      <c r="B2401" s="3" t="s">
        <v>44</v>
      </c>
      <c r="C2401" s="4">
        <v>2</v>
      </c>
    </row>
    <row r="2402">
      <c r="A2402" s="5">
        <f>HYPERLINK("https://app-web.statementrec.com/app#appuploadfiles/3a1c26de-7ecc-69b1-f0e8-3db1e0c00af8","Credit Card")</f>
      </c>
      <c r="B2402" s="3" t="s">
        <v>118</v>
      </c>
      <c r="C2402" s="4">
        <v>4</v>
      </c>
    </row>
    <row r="2403">
      <c r="A2403" s="5">
        <f>HYPERLINK("https://app-web.statementrec.com/app#appuploadfiles/3a1c2723-e09c-5a59-8d8b-cea1781190c8","Opulento")</f>
      </c>
      <c r="B2403" s="3" t="s">
        <v>12</v>
      </c>
      <c r="C2403" s="4">
        <v>11</v>
      </c>
    </row>
    <row r="2404">
      <c r="A2404" s="5">
        <f>HYPERLINK("https://app-web.statementrec.com/app#appuploadfiles/3a1c2a77-f18f-bcc8-fc78-98ee28d37298","Greg Tee &amp; Milla Vladova")</f>
      </c>
      <c r="B2404" s="3" t="s">
        <v>40</v>
      </c>
      <c r="C2404" s="4">
        <v>2</v>
      </c>
    </row>
    <row r="2405">
      <c r="A2405" s="5">
        <f>HYPERLINK("https://app-web.statementrec.com/app#appuploadfiles/3a1c2bc6-a1d6-e2ee-9142-bb6707097b3a","MST Glasgow Ltd")</f>
      </c>
      <c r="B2405" s="3" t="s">
        <v>508</v>
      </c>
      <c r="C2405" s="4">
        <v>22</v>
      </c>
    </row>
    <row r="2406">
      <c r="A2406" s="5">
        <f>HYPERLINK("https://app-web.statementrec.com/app#appuploadfiles/3a1c2c2b-d847-db46-05e9-aa8283737d6b","ELITE CONSTRUCT INTERIORS LTD")</f>
      </c>
      <c r="B2406" s="3" t="s">
        <v>12</v>
      </c>
      <c r="C2406" s="4">
        <v>13</v>
      </c>
    </row>
    <row r="2407">
      <c r="A2407" s="5">
        <f>HYPERLINK("https://app-web.statementrec.com/app#appuploadfiles/3a1c2c3b-f96e-3421-5e6d-b33ba3cb3300","RBS Current Account")</f>
      </c>
      <c r="B2407" s="3" t="s">
        <v>30</v>
      </c>
      <c r="C2407" s="4">
        <v>1</v>
      </c>
    </row>
    <row r="2408">
      <c r="A2408" s="5">
        <f>HYPERLINK("https://app-web.statementrec.com/app#appuploadfiles/3a1c2c84-0cdb-d248-9b85-23d1ac45eb04","Pure Waste Management Ltd")</f>
      </c>
      <c r="B2408" s="3" t="s">
        <v>116</v>
      </c>
      <c r="C2408" s="4">
        <v>2</v>
      </c>
    </row>
    <row r="2409">
      <c r="A2409" s="5">
        <f>HYPERLINK("https://app-web.statementrec.com/app#appuploadfiles/3a1c2e13-9ad5-a9f7-f9c6-a6137dd0ff71","DS&amp;D")</f>
      </c>
      <c r="B2409" s="3" t="s">
        <v>47</v>
      </c>
      <c r="C2409" s="4">
        <v>14</v>
      </c>
    </row>
    <row r="2410">
      <c r="A2410" s="5">
        <f>HYPERLINK("https://app-web.statementrec.com/app#appuploadfiles/3a1c3132-d094-4c53-9a51-bb54e47d3fb4","Domestic Maintenance Solutions Ltd")</f>
      </c>
      <c r="B2410" s="3" t="s">
        <v>17</v>
      </c>
      <c r="C2410" s="4">
        <v>20</v>
      </c>
    </row>
    <row r="2411">
      <c r="A2411" s="5">
        <f>HYPERLINK("https://app-web.statementrec.com/app#appuploadfiles/3a1c3710-c0f9-b0af-207c-87abe2fb8db1","CPSSA")</f>
      </c>
      <c r="B2411" s="3" t="s">
        <v>118</v>
      </c>
      <c r="C2411" s="4">
        <v>7</v>
      </c>
    </row>
    <row r="2412">
      <c r="A2412" s="5">
        <f>HYPERLINK("https://app-web.statementrec.com/app#appuploadfiles/3a1c3756-78ff-bf7e-4a11-afa40224d59a","Dunelm Vets")</f>
      </c>
      <c r="B2412" s="3" t="s">
        <v>12</v>
      </c>
      <c r="C2412" s="4">
        <v>4</v>
      </c>
    </row>
    <row r="2413">
      <c r="A2413" s="5">
        <f>HYPERLINK("https://app-web.statementrec.com/app#appuploadfiles/3a1c3ba9-90ce-b9b2-f9d7-b274e220572e","Spiderlinks")</f>
      </c>
      <c r="B2413" s="3" t="s">
        <v>11</v>
      </c>
      <c r="C2413" s="4">
        <v>23</v>
      </c>
    </row>
    <row r="2414">
      <c r="A2414" s="5">
        <f>HYPERLINK("https://app-web.statementrec.com/app#appuploadfiles/3a1c4042-9d5d-2778-a435-50cc1711c6ba","2759 - Inova Business Solutions Limited")</f>
      </c>
      <c r="B2414" s="3" t="s">
        <v>509</v>
      </c>
      <c r="C2414" s="4">
        <v>7</v>
      </c>
    </row>
    <row r="2415">
      <c r="A2415" s="5">
        <f>HYPERLINK("https://app-web.statementrec.com/app#appuploadfiles/3a1c40e6-6ab3-f686-1b3e-36da97334b63","Cefas Ltd")</f>
      </c>
      <c r="B2415" s="3" t="s">
        <v>52</v>
      </c>
      <c r="C2415" s="4">
        <v>81</v>
      </c>
    </row>
    <row r="2416">
      <c r="A2416" s="5">
        <f>HYPERLINK("https://app-web.statementrec.com/app#appuploadfiles/3a1c4117-128d-1569-0059-f4366b26b92a","Vale Arena Limited")</f>
      </c>
      <c r="B2416" s="3" t="s">
        <v>17</v>
      </c>
      <c r="C2416" s="4">
        <v>21</v>
      </c>
    </row>
    <row r="2417">
      <c r="A2417" s="5">
        <f>HYPERLINK("https://app-web.statementrec.com/app#appuploadfiles/3a1c4167-18e9-bde6-ffcb-120fd436e8b5","MANT Construction Limited")</f>
      </c>
      <c r="B2417" s="3" t="s">
        <v>11</v>
      </c>
      <c r="C2417" s="4">
        <v>6</v>
      </c>
    </row>
    <row r="2418">
      <c r="A2418" s="5">
        <f>HYPERLINK("https://app-web.statementrec.com/app#appuploadfiles/3a1c4471-d82e-092f-2592-bc1ea3ced6a4","Bridge Financial Services")</f>
      </c>
      <c r="B2418" s="3" t="s">
        <v>80</v>
      </c>
      <c r="C2418" s="4">
        <v>2</v>
      </c>
    </row>
    <row r="2419">
      <c r="A2419" s="5">
        <f>HYPERLINK("https://app-web.statementrec.com/app#appuploadfiles/3a1c4ae6-fa26-c5d2-a087-bf49645053c3","Floralex Lab Ltd")</f>
      </c>
      <c r="B2419" s="3" t="s">
        <v>11</v>
      </c>
      <c r="C2419" s="4">
        <v>1</v>
      </c>
    </row>
    <row r="2420">
      <c r="A2420" s="5">
        <f>HYPERLINK("https://app-web.statementrec.com/app#appuploadfiles/3a1c4b93-9b15-a94f-6546-d0e0311adabc","PH Louis-Blvd")</f>
      </c>
      <c r="B2420" s="3" t="s">
        <v>56</v>
      </c>
      <c r="C2420" s="4">
        <v>2</v>
      </c>
    </row>
    <row r="2421">
      <c r="A2421" s="5">
        <f>HYPERLINK("https://app-web.statementrec.com/app#appuploadfiles/3a1c56b3-4fa9-c281-8e74-af5d36872444","A.J. Hallahan Limited")</f>
      </c>
      <c r="B2421" s="3" t="s">
        <v>15</v>
      </c>
      <c r="C2421" s="4">
        <v>1</v>
      </c>
    </row>
    <row r="2422">
      <c r="A2422" s="5">
        <f>HYPERLINK("https://app-web.statementrec.com/app#appuploadfiles/3a1c57ba-18cf-e3a7-f520-6cd0c18bdfaf","Chery A Hodgkin Family Law")</f>
      </c>
      <c r="B2422" s="3" t="s">
        <v>181</v>
      </c>
      <c r="C2422" s="4">
        <v>2</v>
      </c>
    </row>
    <row r="2423">
      <c r="A2423" s="5">
        <f>HYPERLINK("https://app-web.statementrec.com/app#appuploadfiles/3a1c6035-0168-a5f1-a540-41346be63c5e","SWALLOW BAKERY EVENTS LTD")</f>
      </c>
      <c r="B2423" s="3" t="s">
        <v>15</v>
      </c>
      <c r="C2423" s="4">
        <v>4</v>
      </c>
    </row>
    <row r="2424">
      <c r="A2424" s="5">
        <f>HYPERLINK("https://app-web.statementrec.com/app#appuploadfiles/3a1c64ba-4d42-64a5-88c9-8c0fd170605c","Chemvet")</f>
      </c>
      <c r="B2424" s="3" t="s">
        <v>3</v>
      </c>
      <c r="C2424" s="4">
        <v>4</v>
      </c>
    </row>
    <row r="2425">
      <c r="A2425" s="5">
        <f>HYPERLINK("https://app-web.statementrec.com/app#appuploadfiles/3a1c6a22-c3ad-00f5-fc79-3098c5a48f12","CIBC")</f>
      </c>
      <c r="B2425" s="3" t="s">
        <v>294</v>
      </c>
      <c r="C2425" s="4">
        <v>18</v>
      </c>
    </row>
    <row r="2426">
      <c r="A2426" s="5">
        <f>HYPERLINK("https://app-web.statementrec.com/app#appuploadfiles/3a1c6a23-ad9b-1e1a-64cd-39ba3119c75a","Scotia credit")</f>
      </c>
      <c r="B2426" s="3" t="s">
        <v>181</v>
      </c>
      <c r="C2426" s="4">
        <v>26</v>
      </c>
    </row>
    <row r="2427">
      <c r="A2427" s="5">
        <f>HYPERLINK("https://app-web.statementrec.com/app#appuploadfiles/3a1c6d1e-f61d-f8e3-5588-de95891285f7","Almawed Medical Limited")</f>
      </c>
      <c r="B2427" s="3" t="s">
        <v>3</v>
      </c>
      <c r="C2427" s="4">
        <v>1</v>
      </c>
    </row>
    <row r="2428">
      <c r="A2428" s="5">
        <f>HYPERLINK("https://app-web.statementrec.com/app#appuploadfiles/3a1c6f09-a6ab-9b41-b24b-e9e182ac7a9e","Cathrina Coyle Limited")</f>
      </c>
      <c r="B2428" s="3" t="s">
        <v>11</v>
      </c>
      <c r="C2428" s="4">
        <v>11</v>
      </c>
    </row>
    <row r="2429">
      <c r="A2429" s="5">
        <f>HYPERLINK("https://app-web.statementrec.com/app#appuploadfiles/3a1c7353-3dfa-8c2b-a472-ff1b3675cc89","H137 Henry Girls")</f>
      </c>
      <c r="B2429" s="3" t="s">
        <v>10</v>
      </c>
      <c r="C2429" s="4">
        <v>3</v>
      </c>
    </row>
    <row r="2430">
      <c r="A2430" s="5">
        <f>HYPERLINK("https://app-web.statementrec.com/app#appuploadfiles/3a1c73ac-9de0-6aa5-9b74-39de07cdddc2","Isembard")</f>
      </c>
      <c r="B2430" s="3" t="s">
        <v>510</v>
      </c>
      <c r="C2430" s="4">
        <v>12</v>
      </c>
    </row>
    <row r="2431">
      <c r="A2431" s="5">
        <f>HYPERLINK("https://app-web.statementrec.com/app#appuploadfiles/3a1c7469-039e-48cd-9264-72462bf02e02","Iona Designs")</f>
      </c>
      <c r="B2431" s="3" t="s">
        <v>30</v>
      </c>
      <c r="C2431" s="4">
        <v>2</v>
      </c>
    </row>
    <row r="2432">
      <c r="A2432" s="5">
        <f>HYPERLINK("https://app-web.statementrec.com/app#appuploadfiles/3a1c7dd1-6d47-b635-0f4f-e21f68f17953","Balanced Financials Ltd")</f>
      </c>
      <c r="B2432" s="3" t="s">
        <v>11</v>
      </c>
      <c r="C2432" s="4">
        <v>2</v>
      </c>
    </row>
    <row r="2433">
      <c r="A2433" s="5">
        <f>HYPERLINK("https://app-web.statementrec.com/app#appuploadfiles/3a1c83c2-024b-118e-9142-5cc580a32d39","Derrymore Energy Ltd t/a Western Solar")</f>
      </c>
      <c r="B2433" s="3" t="s">
        <v>11</v>
      </c>
      <c r="C2433" s="4">
        <v>2</v>
      </c>
    </row>
    <row r="2434">
      <c r="A2434" s="5">
        <f>HYPERLINK("https://app-web.statementrec.com/app#appuploadfiles/3a1c8519-125f-c022-4a05-c9bcc8249e73","Max's Waterproofing Solutions Experts")</f>
      </c>
      <c r="B2434" s="3" t="s">
        <v>56</v>
      </c>
      <c r="C2434" s="4">
        <v>5</v>
      </c>
    </row>
    <row r="2435">
      <c r="A2435" s="5">
        <f>HYPERLINK("https://app-web.statementrec.com/app#appuploadfiles/3a1c8802-edc3-f35f-7242-afda2ebac8c4","Run Ashore Ltd")</f>
      </c>
      <c r="B2435" s="3" t="s">
        <v>511</v>
      </c>
      <c r="C2435" s="4">
        <v>4</v>
      </c>
    </row>
    <row r="2436">
      <c r="A2436" s="5">
        <f>HYPERLINK("https://app-web.statementrec.com/app#appuploadfiles/3a1c888a-d7b0-56c9-db61-c504560ae0eb","Simon Harper")</f>
      </c>
      <c r="B2436" s="3" t="s">
        <v>15</v>
      </c>
      <c r="C2436" s="4">
        <v>7</v>
      </c>
    </row>
    <row r="2437">
      <c r="A2437" s="5">
        <f>HYPERLINK("https://app-web.statementrec.com/app#appuploadfiles/3a1c8a13-aeb5-33f8-44d5-86662d023df1","Zimeleni School")</f>
      </c>
      <c r="B2437" s="3" t="s">
        <v>512</v>
      </c>
      <c r="C2437" s="4">
        <v>74</v>
      </c>
    </row>
    <row r="2438">
      <c r="A2438" s="5">
        <f>HYPERLINK("https://app-web.statementrec.com/app#appuploadfiles/3a1c8c9a-606a-180e-fa5c-c1e321b5e9d2","Planatomy Pty Ltd")</f>
      </c>
      <c r="B2438" s="3" t="s">
        <v>80</v>
      </c>
      <c r="C2438" s="4">
        <v>10</v>
      </c>
    </row>
    <row r="2439">
      <c r="A2439" s="5">
        <f>HYPERLINK("https://app-web.statementrec.com/app#appuploadfiles/3a1c8d29-a857-e784-87fe-623ca6b757d4","Mzansi Medic Ltd")</f>
      </c>
      <c r="B2439" s="3" t="s">
        <v>10</v>
      </c>
      <c r="C2439" s="4">
        <v>1</v>
      </c>
    </row>
    <row r="2440">
      <c r="A2440" s="5">
        <f>HYPERLINK("https://app-web.statementrec.com/app#appuploadfiles/3a1c8daa-28da-6765-a104-16cf1ace3301","JKAM Ltd")</f>
      </c>
      <c r="B2440" s="3" t="s">
        <v>17</v>
      </c>
      <c r="C2440" s="4">
        <v>6</v>
      </c>
    </row>
    <row r="2441">
      <c r="A2441" s="5">
        <f>HYPERLINK("https://app-web.statementrec.com/app#appuploadfiles/3a1c9298-fe8e-f372-d31c-1c8e76be089c","NIAZI RODEN LIMITED")</f>
      </c>
      <c r="B2441" s="3" t="s">
        <v>17</v>
      </c>
      <c r="C2441" s="4">
        <v>22</v>
      </c>
    </row>
    <row r="2442">
      <c r="A2442" s="5">
        <f>HYPERLINK("https://app-web.statementrec.com/app#appuploadfiles/3a1c92b1-cdbf-f38c-0878-d4c0ad52a293","0527 2024")</f>
      </c>
      <c r="B2442" s="3" t="s">
        <v>513</v>
      </c>
      <c r="C2442" s="4">
        <v>63</v>
      </c>
    </row>
    <row r="2443">
      <c r="A2443" s="5">
        <f>HYPERLINK("https://app-web.statementrec.com/app#appuploadfiles/3a1c96cc-e22b-0407-bd23-f7525b8233e1","FJ Rappard")</f>
      </c>
      <c r="B2443" s="3" t="s">
        <v>80</v>
      </c>
      <c r="C2443" s="4">
        <v>2</v>
      </c>
    </row>
    <row r="2444">
      <c r="A2444" s="5">
        <f>HYPERLINK("https://app-web.statementrec.com/app#appuploadfiles/3a1c97e4-15b1-8eab-db60-c81a417e2f0f","Tide Main")</f>
      </c>
      <c r="B2444" s="3" t="s">
        <v>70</v>
      </c>
      <c r="C2444" s="4">
        <v>2</v>
      </c>
    </row>
    <row r="2445">
      <c r="A2445" s="5">
        <f>HYPERLINK("https://app-web.statementrec.com/app#appuploadfiles/3a1c97e4-9576-2b37-e6cb-9fdb65d2b975","Tide Pot")</f>
      </c>
      <c r="B2445" s="3" t="s">
        <v>433</v>
      </c>
      <c r="C2445" s="4">
        <v>1</v>
      </c>
    </row>
    <row r="2446">
      <c r="A2446" s="5">
        <f>HYPERLINK("https://app-web.statementrec.com/app#appuploadfiles/3a1c9842-5517-37e8-98c7-c43e8733942c","75456 - Quotrium Limited")</f>
      </c>
      <c r="B2446" s="3" t="s">
        <v>84</v>
      </c>
      <c r="C2446" s="4">
        <v>6</v>
      </c>
    </row>
    <row r="2447">
      <c r="A2447" s="5">
        <f>HYPERLINK("https://app-web.statementrec.com/app#appuploadfiles/3a1ca1b7-0001-00e7-4ba9-255b6752c680","SERENA HOLDINGS / WESTWOOD")</f>
      </c>
      <c r="B2447" s="3" t="s">
        <v>514</v>
      </c>
      <c r="C2447" s="4">
        <v>115</v>
      </c>
    </row>
    <row r="2448">
      <c r="A2448" s="5">
        <f>HYPERLINK("https://app-web.statementrec.com/app#appuploadfiles/3a1ca852-a8e2-40da-fabb-caf30e27fe4e","Tina - 13866921 Canada Inc")</f>
      </c>
      <c r="B2448" s="3" t="s">
        <v>294</v>
      </c>
      <c r="C2448" s="4">
        <v>1</v>
      </c>
    </row>
    <row r="2449">
      <c r="A2449" s="5">
        <f>HYPERLINK("https://app-web.statementrec.com/app#appuploadfiles/3a1ca934-27b2-3409-f85f-a12494331b8a","Yi Jing Golf Club Inc.")</f>
      </c>
      <c r="B2449" s="3" t="s">
        <v>201</v>
      </c>
      <c r="C2449" s="4">
        <v>3</v>
      </c>
    </row>
    <row r="2450">
      <c r="A2450" s="5">
        <f>HYPERLINK("https://app-web.statementrec.com/app#appuploadfiles/3a1cabe4-e97e-e83a-cdaa-0f671deeff2f","C038 Andrew Carlisle")</f>
      </c>
      <c r="B2450" s="3" t="s">
        <v>17</v>
      </c>
      <c r="C2450" s="4">
        <v>8</v>
      </c>
    </row>
    <row r="2451">
      <c r="A2451" s="5">
        <f>HYPERLINK("https://app-web.statementrec.com/app#appuploadfiles/3a1cabef-75db-2a68-0c1e-8a5aca5cdab0","DRH PROPERTY SOLUTIONS LTD")</f>
      </c>
      <c r="B2451" s="3" t="s">
        <v>70</v>
      </c>
      <c r="C2451" s="4">
        <v>331</v>
      </c>
    </row>
    <row r="2452">
      <c r="A2452" s="5">
        <f>HYPERLINK("https://app-web.statementrec.com/app#appuploadfiles/3a1cac27-5d41-4175-fdc2-c9e25cfeae12","0000 Brian Maguire")</f>
      </c>
      <c r="B2452" s="3" t="s">
        <v>33</v>
      </c>
      <c r="C2452" s="4">
        <v>11</v>
      </c>
    </row>
    <row r="2453">
      <c r="A2453" s="5">
        <f>HYPERLINK("https://app-web.statementrec.com/app#appuploadfiles/3a1cad40-0fb3-e0cd-a9d6-9ed3deac9b6f","Starehe Ninety Ltd")</f>
      </c>
      <c r="B2453" s="3" t="s">
        <v>56</v>
      </c>
      <c r="C2453" s="4">
        <v>27</v>
      </c>
    </row>
    <row r="2454">
      <c r="A2454" s="5">
        <f>HYPERLINK("https://app-web.statementrec.com/app#appuploadfiles/3a1cb239-5ab3-547c-e91d-633fc68538fb","Fireball")</f>
      </c>
      <c r="B2454" s="3" t="s">
        <v>515</v>
      </c>
      <c r="C2454" s="4">
        <v>38</v>
      </c>
    </row>
    <row r="2455">
      <c r="A2455" s="5">
        <f>HYPERLINK("https://app-web.statementrec.com/app#appuploadfiles/3a1cb498-ca79-e99a-210a-8771a3802b21","Mohit-Red cliff Immigration")</f>
      </c>
      <c r="B2455" s="3" t="s">
        <v>40</v>
      </c>
      <c r="C2455" s="4">
        <v>3</v>
      </c>
    </row>
    <row r="2456">
      <c r="A2456" s="5">
        <f>HYPERLINK("https://app-web.statementrec.com/app#appuploadfiles/3a1cb744-92ad-1419-3e0c-c9636e2299a1","Drummond")</f>
      </c>
      <c r="B2456" s="3" t="s">
        <v>26</v>
      </c>
      <c r="C2456" s="4">
        <v>2</v>
      </c>
    </row>
    <row r="2457">
      <c r="A2457" s="5">
        <f>HYPERLINK("https://app-web.statementrec.com/app#appuploadfiles/3a1cb77d-fcbc-aa83-2286-a43074f65595","Mia Regan Limited")</f>
      </c>
      <c r="B2457" s="3" t="s">
        <v>52</v>
      </c>
      <c r="C2457" s="4">
        <v>26</v>
      </c>
    </row>
    <row r="2458">
      <c r="A2458" s="5">
        <f>HYPERLINK("https://app-web.statementrec.com/app#appuploadfiles/3a1cb852-be9a-7cee-0470-c60efdc85e9d","Noles Enterprises")</f>
      </c>
      <c r="B2458" s="3" t="s">
        <v>516</v>
      </c>
      <c r="C2458" s="4">
        <v>19</v>
      </c>
    </row>
    <row r="2459">
      <c r="A2459" s="5">
        <f>HYPERLINK("https://app-web.statementrec.com/app#appuploadfiles/3a1cb94f-1e35-e47a-1c4e-0ec68fd380fe","D&amp;J Carson Holdings")</f>
      </c>
      <c r="B2459" s="3" t="s">
        <v>294</v>
      </c>
      <c r="C2459" s="4">
        <v>6</v>
      </c>
    </row>
    <row r="2460">
      <c r="A2460" s="5">
        <f>HYPERLINK("https://app-web.statementrec.com/app#appuploadfiles/3a1cbbac-d3c3-c196-df0d-77e49d718380","Blackhound Consulting")</f>
      </c>
      <c r="B2460" s="3" t="s">
        <v>17</v>
      </c>
      <c r="C2460" s="4">
        <v>4</v>
      </c>
    </row>
    <row r="2461">
      <c r="A2461" s="5">
        <f>HYPERLINK("https://app-web.statementrec.com/app#appuploadfiles/3a1ccd74-0a47-8172-e18d-b19ae05b35d8","0804210 BC LTD (Grassl)")</f>
      </c>
      <c r="B2461" s="3" t="s">
        <v>40</v>
      </c>
      <c r="C2461" s="4">
        <v>5</v>
      </c>
    </row>
    <row r="2462">
      <c r="A2462" s="5">
        <f>HYPERLINK("https://app-web.statementrec.com/app#appuploadfiles/3a1cd01e-d4e7-3349-fb31-b2d68e82debf","Caroline Finlay")</f>
      </c>
      <c r="B2462" s="3" t="s">
        <v>22</v>
      </c>
      <c r="C2462" s="4">
        <v>21</v>
      </c>
    </row>
    <row r="2463">
      <c r="A2463" s="5">
        <f>HYPERLINK("https://app-web.statementrec.com/app#appuploadfiles/3a1cd186-581f-6b40-d7a5-9b61b199cdb2","Branchy Limited")</f>
      </c>
      <c r="B2463" s="3" t="s">
        <v>22</v>
      </c>
      <c r="C2463" s="4">
        <v>4</v>
      </c>
    </row>
    <row r="2464">
      <c r="A2464" s="5">
        <f>HYPERLINK("https://app-web.statementrec.com/app#appuploadfiles/3a1cd20a-11b0-b6d2-2a1b-050cefca46eb","2025")</f>
      </c>
      <c r="B2464" s="3" t="s">
        <v>466</v>
      </c>
      <c r="C2464" s="4">
        <v>11</v>
      </c>
    </row>
    <row r="2465">
      <c r="A2465" s="5">
        <f>HYPERLINK("https://app-web.statementrec.com/app#appuploadfiles/3a1cd2b1-e16f-1b9c-b32e-a662400016b8","Gurys Food Court")</f>
      </c>
      <c r="B2465" s="3" t="s">
        <v>517</v>
      </c>
      <c r="C2465" s="4">
        <v>18</v>
      </c>
    </row>
    <row r="2466">
      <c r="A2466" s="5">
        <f>HYPERLINK("https://app-web.statementrec.com/app#appuploadfiles/3a1cd7ac-9b3d-79ac-8679-89038073036a","vikram")</f>
      </c>
      <c r="B2466" s="3" t="s">
        <v>153</v>
      </c>
      <c r="C2466" s="4">
        <v>14</v>
      </c>
    </row>
    <row r="2467">
      <c r="A2467" s="5">
        <f>HYPERLINK("https://app-web.statementrec.com/app#appuploadfiles/3a1cd7fc-0329-8045-663a-aebb2afbfcfb","BAPH 3 Inc")</f>
      </c>
      <c r="B2467" s="3" t="s">
        <v>56</v>
      </c>
      <c r="C2467" s="4">
        <v>14</v>
      </c>
    </row>
    <row r="2468">
      <c r="A2468" s="5">
        <f>HYPERLINK("https://app-web.statementrec.com/app#appuploadfiles/3a1cdc8e-2303-2f91-f39c-076d8b07d0d0","Clarity Arc")</f>
      </c>
      <c r="B2468" s="3" t="s">
        <v>332</v>
      </c>
      <c r="C2468" s="4">
        <v>2</v>
      </c>
    </row>
    <row r="2469">
      <c r="A2469" s="5">
        <f>HYPERLINK("https://app-web.statementrec.com/app#appuploadfiles/3a1ce137-0798-240d-210e-7f5df1590e1b","Southern Arizona Rad Associates")</f>
      </c>
      <c r="B2469" s="3" t="s">
        <v>518</v>
      </c>
      <c r="C2469" s="4">
        <v>5</v>
      </c>
    </row>
    <row r="2470">
      <c r="A2470" s="5">
        <f>HYPERLINK("https://app-web.statementrec.com/app#appuploadfiles/3a1ce6a2-2174-f9cf-d4d0-b90680737bdc","No Escape")</f>
      </c>
      <c r="B2470" s="3" t="s">
        <v>47</v>
      </c>
      <c r="C2470" s="4">
        <v>5</v>
      </c>
    </row>
    <row r="2471">
      <c r="A2471" s="5">
        <f>HYPERLINK("https://app-web.statementrec.com/app#appuploadfiles/3a1ceeff-ac28-7b9a-6866-5c7f9bef5229","F022 Joseph and Richard Fortune")</f>
      </c>
      <c r="B2471" s="3" t="s">
        <v>3</v>
      </c>
      <c r="C2471" s="4">
        <v>19</v>
      </c>
    </row>
    <row r="2472">
      <c r="A2472" s="5">
        <f>HYPERLINK("https://app-web.statementrec.com/app#appuploadfiles/3a1cefa7-d17c-b8f6-dc55-807891d8a96a","Mehdi Gholamzadeh")</f>
      </c>
      <c r="B2472" s="3" t="s">
        <v>17</v>
      </c>
      <c r="C2472" s="4">
        <v>5</v>
      </c>
    </row>
    <row r="2473">
      <c r="A2473" s="5">
        <f>HYPERLINK("https://app-web.statementrec.com/app#appuploadfiles/3a1cf132-9ee3-580b-2288-6c692daf2d41","EK")</f>
      </c>
      <c r="B2473" s="3" t="s">
        <v>519</v>
      </c>
      <c r="C2473" s="4">
        <v>149</v>
      </c>
    </row>
    <row r="2474">
      <c r="A2474" s="5">
        <f>HYPERLINK("https://app-web.statementrec.com/app#appuploadfiles/3a1cf43c-8018-43d2-7bac-2cf792deaec5","Marina Didovich")</f>
      </c>
      <c r="B2474" s="3" t="s">
        <v>520</v>
      </c>
      <c r="C2474" s="4">
        <v>10</v>
      </c>
    </row>
    <row r="2475">
      <c r="A2475" s="5">
        <f>HYPERLINK("https://app-web.statementrec.com/app#appuploadfiles/3a1cf464-7ab3-5388-bafe-5ba0551b1460","HSOS Industrial Services Limited")</f>
      </c>
      <c r="B2475" s="3" t="s">
        <v>13</v>
      </c>
      <c r="C2475" s="4">
        <v>18</v>
      </c>
    </row>
    <row r="2476">
      <c r="A2476" s="5">
        <f>HYPERLINK("https://app-web.statementrec.com/app#appuploadfiles/3a1cf4d8-77cc-94a6-2232-4bb0d4b491c8","Aim Gram Ltd")</f>
      </c>
      <c r="B2476" s="3" t="s">
        <v>477</v>
      </c>
      <c r="C2476" s="4">
        <v>5</v>
      </c>
    </row>
    <row r="2477">
      <c r="A2477" s="5">
        <f>HYPERLINK("https://app-web.statementrec.com/app#appuploadfiles/3a1cf51f-f2f6-42a6-da3c-f806b7bade39","ZAWADI PROJECTS MANAGEMENT CC")</f>
      </c>
      <c r="B2477" s="3" t="s">
        <v>80</v>
      </c>
      <c r="C2477" s="4">
        <v>3</v>
      </c>
    </row>
    <row r="2478">
      <c r="A2478" s="5">
        <f>HYPERLINK("https://app-web.statementrec.com/app#appuploadfiles/3a1cfa40-e1d4-6e89-befb-65f3b7b567b0","MPBA ARCHITECTS LIMITED")</f>
      </c>
      <c r="B2478" s="3" t="s">
        <v>11</v>
      </c>
      <c r="C2478" s="4">
        <v>3</v>
      </c>
    </row>
    <row r="2479">
      <c r="A2479" s="5">
        <f>HYPERLINK("https://app-web.statementrec.com/app#appuploadfiles/3a1cfa53-31d5-e6ec-61ad-efe3168c335f","- Roehampton Vale Proprietors Company Limited")</f>
      </c>
      <c r="B2479" s="3" t="s">
        <v>521</v>
      </c>
      <c r="C2479" s="4">
        <v>27</v>
      </c>
    </row>
    <row r="2480">
      <c r="A2480" s="5">
        <f>HYPERLINK("https://app-web.statementrec.com/app#appuploadfiles/3a1cfeec-fda0-fe3f-b864-a4c46e39d493","DA Rosemeyer Groundworks  Ltd")</f>
      </c>
      <c r="B2480" s="3" t="s">
        <v>168</v>
      </c>
      <c r="C2480" s="4">
        <v>18</v>
      </c>
    </row>
    <row r="2481">
      <c r="A2481" s="5">
        <f>HYPERLINK("https://app-web.statementrec.com/app#appuploadfiles/3a1cff13-5b77-7e9e-6c98-2716f1edf16a","Selsil")</f>
      </c>
      <c r="B2481" s="3" t="s">
        <v>522</v>
      </c>
      <c r="C2481" s="4">
        <v>15</v>
      </c>
    </row>
    <row r="2482">
      <c r="A2482" s="5">
        <f>HYPERLINK("https://app-web.statementrec.com/app#appuploadfiles/3a1cff4f-f3e7-d124-950d-14aa946966c0","Zach")</f>
      </c>
      <c r="B2482" s="3" t="s">
        <v>523</v>
      </c>
      <c r="C2482" s="4">
        <v>9</v>
      </c>
    </row>
    <row r="2483">
      <c r="A2483" s="5">
        <f>HYPERLINK("https://app-web.statementrec.com/app#appuploadfiles/3a1cffa2-39f0-3948-47b9-3b5eb1043939","DR C Sparey")</f>
      </c>
      <c r="B2483" s="3" t="s">
        <v>56</v>
      </c>
      <c r="C2483" s="4">
        <v>7</v>
      </c>
    </row>
    <row r="2484">
      <c r="A2484" s="5">
        <f>HYPERLINK("https://app-web.statementrec.com/app#appuploadfiles/3a1d0393-8dad-9899-c8e2-cfd5a0deb193","M196 - Langney Car Wash Ltd")</f>
      </c>
      <c r="B2484" s="3" t="s">
        <v>356</v>
      </c>
      <c r="C2484" s="4">
        <v>7</v>
      </c>
    </row>
    <row r="2485">
      <c r="A2485" s="5">
        <f>HYPERLINK("https://app-web.statementrec.com/app#appuploadfiles/3a1d04b1-6c00-30e1-b394-724756fcade4","Brookwood Brae Limited")</f>
      </c>
      <c r="B2485" s="3" t="s">
        <v>40</v>
      </c>
      <c r="C2485" s="4">
        <v>4</v>
      </c>
    </row>
    <row r="2486">
      <c r="A2486" s="5">
        <f>HYPERLINK("https://app-web.statementrec.com/app#appuploadfiles/3a1d05e0-81e2-89c0-abc9-b2c5be843ec5","Grey Bear Pub Company Limited")</f>
      </c>
      <c r="B2486" s="3" t="s">
        <v>524</v>
      </c>
      <c r="C2486" s="4">
        <v>4</v>
      </c>
    </row>
    <row r="2487">
      <c r="A2487" s="5">
        <f>HYPERLINK("https://app-web.statementrec.com/app#appuploadfiles/3a1d066d-9b42-bb31-8492-a1511163066d","02420-CameronAlan")</f>
      </c>
      <c r="B2487" s="3" t="s">
        <v>525</v>
      </c>
      <c r="C2487" s="4">
        <v>95</v>
      </c>
    </row>
    <row r="2488">
      <c r="A2488" s="5">
        <f>HYPERLINK("https://app-web.statementrec.com/app#appuploadfiles/3a1d0e21-26e8-7dec-71e7-c03c3cd81750","Vanda Yates")</f>
      </c>
      <c r="B2488" s="3" t="s">
        <v>3</v>
      </c>
      <c r="C2488" s="4">
        <v>54</v>
      </c>
    </row>
    <row r="2489">
      <c r="A2489" s="5">
        <f>HYPERLINK("https://app-web.statementrec.com/app#appuploadfiles/3a1d0ea4-f68c-de45-a984-e9f44accd4f3","Jamm Visual")</f>
      </c>
      <c r="B2489" s="3" t="s">
        <v>43</v>
      </c>
      <c r="C2489" s="4">
        <v>3</v>
      </c>
    </row>
    <row r="2490">
      <c r="A2490" s="5">
        <f>HYPERLINK("https://app-web.statementrec.com/app#appuploadfiles/3a1d1040-87e6-b56c-bf17-4764e8a302ac","A THAI DISH")</f>
      </c>
      <c r="B2490" s="3" t="s">
        <v>526</v>
      </c>
      <c r="C2490" s="4">
        <v>13</v>
      </c>
    </row>
    <row r="2491">
      <c r="A2491" s="5">
        <f>HYPERLINK("https://app-web.statementrec.com/app#appuploadfiles/3a1d12ea-c6ae-12c6-3852-f90358b95819","Natwest CC")</f>
      </c>
      <c r="B2491" s="3" t="s">
        <v>12</v>
      </c>
      <c r="C2491" s="4">
        <v>9</v>
      </c>
    </row>
    <row r="2492">
      <c r="A2492" s="5">
        <f>HYPERLINK("https://app-web.statementrec.com/app#appuploadfiles/3a1d13ef-670e-226e-c3e1-0e9f1ae740f9","Elsie Ngidi Primary School")</f>
      </c>
      <c r="B2492" s="3" t="s">
        <v>80</v>
      </c>
      <c r="C2492" s="4">
        <v>2</v>
      </c>
    </row>
    <row r="2493">
      <c r="A2493" s="5">
        <f>HYPERLINK("https://app-web.statementrec.com/app#appuploadfiles/3a1d151f-d37d-20f5-adaa-ffe53bafaab3","Meta Conscience-Lucie-Anne Fabien")</f>
      </c>
      <c r="B2493" s="3" t="s">
        <v>47</v>
      </c>
      <c r="C2493" s="4">
        <v>9</v>
      </c>
    </row>
    <row r="2494">
      <c r="A2494" s="5">
        <f>HYPERLINK("https://app-web.statementrec.com/app#appuploadfiles/3a1d1526-0cda-79b9-d1e4-796be2361ed2","JV of HDEC- Green Whistle (Tournee)")</f>
      </c>
      <c r="B2494" s="3" t="s">
        <v>15</v>
      </c>
      <c r="C2494" s="4">
        <v>11</v>
      </c>
    </row>
    <row r="2495">
      <c r="A2495" s="5">
        <f>HYPERLINK("https://app-web.statementrec.com/app#appuploadfiles/3a1d180d-f569-83c4-17ff-a27fe1cd2886","The Thomas Brothers Entertainment")</f>
      </c>
      <c r="B2495" s="3" t="s">
        <v>13</v>
      </c>
      <c r="C2495" s="4">
        <v>4</v>
      </c>
    </row>
    <row r="2496">
      <c r="A2496" s="5">
        <f>HYPERLINK("https://app-web.statementrec.com/app#appuploadfiles/3a1d1932-e97e-b7a4-dc5b-2c2cebfcf842","Love and Accepted Counseling")</f>
      </c>
      <c r="B2496" s="3" t="s">
        <v>144</v>
      </c>
      <c r="C2496" s="4">
        <v>8</v>
      </c>
    </row>
    <row r="2497">
      <c r="A2497" s="5">
        <f>HYPERLINK("https://app-web.statementrec.com/app#appuploadfiles/3a1d1a98-ce5a-6a42-de24-5a5e1d5e0264","John Gilliam DBA C Shift Repairs")</f>
      </c>
      <c r="B2497" s="3" t="s">
        <v>40</v>
      </c>
      <c r="C2497" s="4">
        <v>1</v>
      </c>
    </row>
    <row r="2498">
      <c r="A2498" s="5">
        <f>HYPERLINK("https://app-web.statementrec.com/app#appuploadfiles/3a1d1b0d-470a-7b0a-572f-b27ac1765999","Brady Medical Incorporated")</f>
      </c>
      <c r="B2498" s="3" t="s">
        <v>158</v>
      </c>
      <c r="C2498" s="4">
        <v>3</v>
      </c>
    </row>
    <row r="2499">
      <c r="A2499" s="5">
        <f>HYPERLINK("https://app-web.statementrec.com/app#appuploadfiles/3a1d1f3f-1d0d-7807-7464-c5b967d7d06c","Isla Colon S.A")</f>
      </c>
      <c r="B2499" s="3" t="s">
        <v>47</v>
      </c>
      <c r="C2499" s="4">
        <v>1</v>
      </c>
    </row>
    <row r="2500">
      <c r="A2500" s="5">
        <f>HYPERLINK("https://app-web.statementrec.com/app#appuploadfiles/3a1d2224-f40d-06c7-8e75-c5fe05becaa0","Main Acc - 56194420")</f>
      </c>
      <c r="B2500" s="3" t="s">
        <v>12</v>
      </c>
      <c r="C2500" s="4">
        <v>15</v>
      </c>
    </row>
    <row r="2501">
      <c r="A2501" s="5">
        <f>HYPERLINK("https://app-web.statementrec.com/app#appuploadfiles/3a1d2810-5fe5-c9d5-b201-79a702423bee","SPIRIT MOTOR COMPANY LIMITED")</f>
      </c>
      <c r="B2501" s="3" t="s">
        <v>17</v>
      </c>
      <c r="C2501" s="4">
        <v>25</v>
      </c>
    </row>
    <row r="2502">
      <c r="A2502" s="5">
        <f>HYPERLINK("https://app-web.statementrec.com/app#appuploadfiles/3a1d285f-2f09-c948-c02f-c8037feaf563","L McDonald")</f>
      </c>
      <c r="B2502" s="3" t="s">
        <v>527</v>
      </c>
      <c r="C2502" s="4">
        <v>9</v>
      </c>
    </row>
    <row r="2503">
      <c r="A2503" s="5">
        <f>HYPERLINK("https://app-web.statementrec.com/app#appuploadfiles/3a1d3887-412a-4055-7fba-187aa20b6895","Normand Courture")</f>
      </c>
      <c r="B2503" s="3" t="s">
        <v>528</v>
      </c>
      <c r="C2503" s="4">
        <v>3</v>
      </c>
    </row>
    <row r="2504">
      <c r="A2504" s="5">
        <f>HYPERLINK("https://app-web.statementrec.com/app#appuploadfiles/3a1d38d8-6e20-4684-25ff-70e8ff409f1e","707 Repairs")</f>
      </c>
      <c r="B2504" s="3" t="s">
        <v>529</v>
      </c>
      <c r="C2504" s="4">
        <v>56</v>
      </c>
    </row>
    <row r="2505">
      <c r="A2505" s="5">
        <f>HYPERLINK("https://app-web.statementrec.com/app#appuploadfiles/3a1d398d-9cbf-1923-292e-85ea9ae22dc5","Tifosi Brossard (9530-1800)")</f>
      </c>
      <c r="B2505" s="3" t="s">
        <v>530</v>
      </c>
      <c r="C2505" s="4">
        <v>2</v>
      </c>
    </row>
    <row r="2506">
      <c r="A2506" s="5">
        <f>HYPERLINK("https://app-web.statementrec.com/app#appuploadfiles/3a1d3e53-733b-ed61-7308-7107ad69f32f","pizzahut Quatre Bourgeois")</f>
      </c>
      <c r="B2506" s="3" t="s">
        <v>531</v>
      </c>
      <c r="C2506" s="4">
        <v>4</v>
      </c>
    </row>
    <row r="2507">
      <c r="A2507" s="5">
        <f>HYPERLINK("https://app-web.statementrec.com/app#appuploadfiles/3a1d3e57-aed3-c5a5-87bb-1eb4e5686bc6","Pizzahut 18e")</f>
      </c>
      <c r="B2507" s="3" t="s">
        <v>47</v>
      </c>
      <c r="C2507" s="4">
        <v>4</v>
      </c>
    </row>
    <row r="2508">
      <c r="A2508" s="5">
        <f>HYPERLINK("https://app-web.statementrec.com/app#appuploadfiles/3a1d3e62-9bc7-d730-ed1e-4d6bb327e3d9","Pizzahut Everell")</f>
      </c>
      <c r="B2508" s="3" t="s">
        <v>40</v>
      </c>
      <c r="C2508" s="4">
        <v>3</v>
      </c>
    </row>
    <row r="2509">
      <c r="A2509" s="5">
        <f>HYPERLINK("https://app-web.statementrec.com/app#appuploadfiles/3a1d3e67-156b-7a7f-04bc-a005a4e7454d","Pizzahut Ormiere")</f>
      </c>
      <c r="B2509" s="3" t="s">
        <v>532</v>
      </c>
      <c r="C2509" s="4">
        <v>12</v>
      </c>
    </row>
    <row r="2510">
      <c r="A2510" s="5">
        <f>HYPERLINK("https://app-web.statementrec.com/app#appuploadfiles/3a1d4196-eb19-dd11-99d1-23029f5a9154","Alonsy")</f>
      </c>
      <c r="B2510" s="3" t="s">
        <v>13</v>
      </c>
      <c r="C2510" s="4">
        <v>8</v>
      </c>
    </row>
    <row r="2511">
      <c r="A2511" s="5">
        <f>HYPERLINK("https://app-web.statementrec.com/app#appuploadfiles/3a1d4216-75d1-85cb-afae-c1ae8b28ed81","AM Spraying Limited")</f>
      </c>
      <c r="B2511" s="3" t="s">
        <v>12</v>
      </c>
      <c r="C2511" s="4">
        <v>37</v>
      </c>
    </row>
    <row r="2512">
      <c r="A2512" s="5">
        <f>HYPERLINK("https://app-web.statementrec.com/app#appuploadfiles/3a1d4231-0cad-d53f-70f5-e43e19b74aa2","Luxury Boutique Collections Limited")</f>
      </c>
      <c r="B2512" s="3" t="s">
        <v>16</v>
      </c>
      <c r="C2512" s="4">
        <v>9</v>
      </c>
    </row>
    <row r="2513">
      <c r="A2513" s="5">
        <f>HYPERLINK("https://app-web.statementrec.com/app#appuploadfiles/3a1d4283-9cd2-d235-e816-44221e2de7ae","Quality Impasse")</f>
      </c>
      <c r="B2513" s="3" t="s">
        <v>3</v>
      </c>
      <c r="C2513" s="4">
        <v>2</v>
      </c>
    </row>
    <row r="2514">
      <c r="A2514" s="5">
        <f>HYPERLINK("https://app-web.statementrec.com/app#appuploadfiles/3a1d44be-63a4-7441-0f05-9e2a3bb88fb9","Solutions LEMCO s.e.n.c")</f>
      </c>
      <c r="B2514" s="3" t="s">
        <v>533</v>
      </c>
      <c r="C2514" s="4">
        <v>2</v>
      </c>
    </row>
    <row r="2515">
      <c r="A2515" s="5">
        <f>HYPERLINK("https://app-web.statementrec.com/app#appuploadfiles/3a1d465e-8373-214e-e337-b15ca904e759","G En S Delwery")</f>
      </c>
      <c r="B2515" s="3" t="s">
        <v>80</v>
      </c>
      <c r="C2515" s="4">
        <v>4</v>
      </c>
    </row>
    <row r="2516">
      <c r="A2516" s="5">
        <f>HYPERLINK("https://app-web.statementrec.com/app#appuploadfiles/3a1d48bc-8726-8548-d357-a025eabe3264","Belco")</f>
      </c>
      <c r="B2516" s="3" t="s">
        <v>3</v>
      </c>
      <c r="C2516" s="4">
        <v>1</v>
      </c>
    </row>
    <row r="2517">
      <c r="A2517" s="5">
        <f>HYPERLINK("https://app-web.statementrec.com/app#appuploadfiles/3a1d59d6-8536-dbdd-011c-766a4786de01","Dylan Gagne Chiropody")</f>
      </c>
      <c r="B2517" s="3" t="s">
        <v>181</v>
      </c>
      <c r="C2517" s="4">
        <v>12</v>
      </c>
    </row>
    <row r="2518">
      <c r="A2518" s="5">
        <f>HYPERLINK("https://app-web.statementrec.com/app#appuploadfiles/3a1d5bea-b7c5-65c0-71a9-dc51305af05e","Bank - 4001")</f>
      </c>
      <c r="B2518" s="3" t="s">
        <v>47</v>
      </c>
      <c r="C2518" s="4">
        <v>1</v>
      </c>
    </row>
    <row r="2519">
      <c r="A2519" s="5">
        <f>HYPERLINK("https://app-web.statementrec.com/app#appuploadfiles/3a1d5cc8-bb8f-2b15-6f77-87b20fe932f4","MM Steel No 1 Account")</f>
      </c>
      <c r="B2519" s="3" t="s">
        <v>3</v>
      </c>
      <c r="C2519" s="4">
        <v>2</v>
      </c>
    </row>
    <row r="2520">
      <c r="A2520" s="5">
        <f>HYPERLINK("https://app-web.statementrec.com/app#appuploadfiles/3a1d5dbc-10dc-45d2-23b3-e83ab040b6ee","Bayside Screen")</f>
      </c>
      <c r="B2520" s="3" t="s">
        <v>185</v>
      </c>
      <c r="C2520" s="4">
        <v>26</v>
      </c>
    </row>
    <row r="2521">
      <c r="A2521" s="5">
        <f>HYPERLINK("https://app-web.statementrec.com/app#appuploadfiles/3a1d60c8-142e-9457-e5d3-cccd949ef9f2","JMC Electrics Engineering Limited")</f>
      </c>
      <c r="B2521" s="3" t="s">
        <v>534</v>
      </c>
      <c r="C2521" s="4">
        <v>13</v>
      </c>
    </row>
    <row r="2522">
      <c r="A2522" s="5">
        <f>HYPERLINK("https://app-web.statementrec.com/app#appuploadfiles/3a1d6102-349a-8fa6-4815-b517ad5f27b2","FX GOBY")</f>
      </c>
      <c r="B2522" s="3" t="s">
        <v>84</v>
      </c>
      <c r="C2522" s="4">
        <v>3</v>
      </c>
    </row>
    <row r="2523">
      <c r="A2523" s="5">
        <f>HYPERLINK("https://app-web.statementrec.com/app#appuploadfiles/3a1d61bc-e59c-9318-7586-3b6fab5127eb","Arbre Chocolate")</f>
      </c>
      <c r="B2523" s="3" t="s">
        <v>8</v>
      </c>
      <c r="C2523" s="4">
        <v>2</v>
      </c>
    </row>
    <row r="2524">
      <c r="A2524" s="5">
        <f>HYPERLINK("https://app-web.statementrec.com/app#appuploadfiles/3a1d64eb-474b-d319-c69c-8f77c8c1acd0","LL Accommodation CC")</f>
      </c>
      <c r="B2524" s="3" t="s">
        <v>264</v>
      </c>
      <c r="C2524" s="4">
        <v>6</v>
      </c>
    </row>
    <row r="2525">
      <c r="A2525" s="5">
        <f>HYPERLINK("https://app-web.statementrec.com/app#appuploadfiles/3a1d6554-84f8-d87a-0d37-c5d2c36a82ab","NIC08 - Nicholsons")</f>
      </c>
      <c r="B2525" s="3" t="s">
        <v>17</v>
      </c>
      <c r="C2525" s="4">
        <v>12</v>
      </c>
    </row>
    <row r="2526">
      <c r="A2526" s="5">
        <f>HYPERLINK("https://app-web.statementrec.com/app#appuploadfiles/3a1d6590-b6c1-ef0f-2d45-c80ce65468d2","Phlow")</f>
      </c>
      <c r="B2526" s="3" t="s">
        <v>43</v>
      </c>
      <c r="C2526" s="4">
        <v>2</v>
      </c>
    </row>
    <row r="2527">
      <c r="A2527" s="5">
        <f>HYPERLINK("https://app-web.statementrec.com/app#appuploadfiles/3a1d65cb-9e97-767f-81e4-d0d09a37012a","Forest Lane Plumbing &amp; Heating")</f>
      </c>
      <c r="B2527" s="3" t="s">
        <v>18</v>
      </c>
      <c r="C2527" s="4">
        <v>19</v>
      </c>
    </row>
    <row r="2528">
      <c r="A2528" s="5">
        <f>HYPERLINK("https://app-web.statementrec.com/app#appuploadfiles/3a1d65e0-5da4-ee29-7bd6-1f5330047bbd","GLYN JONES BUILDING CONTRACTORS LTD")</f>
      </c>
      <c r="B2528" s="3" t="s">
        <v>19</v>
      </c>
      <c r="C2528" s="4">
        <v>10</v>
      </c>
    </row>
    <row r="2529">
      <c r="A2529" s="5">
        <f>HYPERLINK("https://app-web.statementrec.com/app#appuploadfiles/3a1d663b-6168-aad7-18ca-f47e1691006c","J Finney Trading Ltd")</f>
      </c>
      <c r="B2529" s="3" t="s">
        <v>15</v>
      </c>
      <c r="C2529" s="4">
        <v>3</v>
      </c>
    </row>
    <row r="2530">
      <c r="A2530" s="5">
        <f>HYPERLINK("https://app-web.statementrec.com/app#appuploadfiles/3a1d66c1-ae41-1f1b-5ae4-2dbbd3224cfd","Mr D.G.B. Davies")</f>
      </c>
      <c r="B2530" s="3" t="s">
        <v>18</v>
      </c>
      <c r="C2530" s="4">
        <v>6</v>
      </c>
    </row>
    <row r="2531">
      <c r="A2531" s="5">
        <f>HYPERLINK("https://app-web.statementrec.com/app#appuploadfiles/3a1d6701-b096-a9c2-8c91-1b4b13e8f687","Armadillo Tap Limited")</f>
      </c>
      <c r="B2531" s="3" t="s">
        <v>428</v>
      </c>
      <c r="C2531" s="4">
        <v>49</v>
      </c>
    </row>
    <row r="2532">
      <c r="A2532" s="5">
        <f>HYPERLINK("https://app-web.statementrec.com/app#appuploadfiles/3a1d6706-77ec-f611-79ed-ef165706210c","Aaron O Sullivan")</f>
      </c>
      <c r="B2532" s="3" t="s">
        <v>10</v>
      </c>
      <c r="C2532" s="4">
        <v>4</v>
      </c>
    </row>
    <row r="2533">
      <c r="A2533" s="5">
        <f>HYPERLINK("https://app-web.statementrec.com/app#appuploadfiles/3a1d69c4-b40f-7707-9f80-1366f27dd308","Hassans Electrical Contractors CC")</f>
      </c>
      <c r="B2533" s="3" t="s">
        <v>118</v>
      </c>
      <c r="C2533" s="4">
        <v>12</v>
      </c>
    </row>
    <row r="2534">
      <c r="A2534" s="5">
        <f>HYPERLINK("https://app-web.statementrec.com/app#appuploadfiles/3a1d6a55-af76-2170-85bd-fffc515335ac","Ace electrical")</f>
      </c>
      <c r="B2534" s="3" t="s">
        <v>123</v>
      </c>
      <c r="C2534" s="4">
        <v>2</v>
      </c>
    </row>
    <row r="2535">
      <c r="A2535" s="5">
        <f>HYPERLINK("https://app-web.statementrec.com/app#appuploadfiles/3a1d6b1c-8ac5-b389-3c89-c80d3a9dfd20","DESIGN REIMAGINED (PTY) LTD")</f>
      </c>
      <c r="B2535" s="3" t="s">
        <v>95</v>
      </c>
      <c r="C2535" s="4">
        <v>1</v>
      </c>
    </row>
    <row r="2536">
      <c r="A2536" s="5">
        <f>HYPERLINK("https://app-web.statementrec.com/app#appuploadfiles/3a1d6b8f-29c0-2752-ed3f-2d1520f85686","9484-8272 Québec Inc.-Daniel Tremblay")</f>
      </c>
      <c r="B2536" s="3" t="s">
        <v>140</v>
      </c>
      <c r="C2536" s="4">
        <v>4</v>
      </c>
    </row>
    <row r="2537">
      <c r="A2537" s="5">
        <f>HYPERLINK("https://app-web.statementrec.com/app#appuploadfiles/3a1d6cfa-c378-6727-0e1d-7ff75a82eb49","Bid Capital")</f>
      </c>
      <c r="B2537" s="3" t="s">
        <v>153</v>
      </c>
      <c r="C2537" s="4">
        <v>14</v>
      </c>
    </row>
    <row r="2538">
      <c r="A2538" s="5">
        <f>HYPERLINK("https://app-web.statementrec.com/app#appuploadfiles/3a1d70dd-d0d3-2342-0bf1-3ef33484634f","Adam &amp; Grace")</f>
      </c>
      <c r="B2538" s="3" t="s">
        <v>12</v>
      </c>
      <c r="C2538" s="4">
        <v>4</v>
      </c>
    </row>
    <row r="2539">
      <c r="A2539" s="5">
        <f>HYPERLINK("https://app-web.statementrec.com/app#appuploadfiles/3a1d70ff-d962-a961-012a-0bb85004322c","FORM + FUNCTION STUDIO LTD")</f>
      </c>
      <c r="B2539" s="3" t="s">
        <v>18</v>
      </c>
      <c r="C2539" s="4">
        <v>19</v>
      </c>
    </row>
    <row r="2540">
      <c r="A2540" s="5">
        <f>HYPERLINK("https://app-web.statementrec.com/app#appuploadfiles/3a1d7f6b-c485-7bdc-0e94-91c34c1d10a0","Susan Knight-Crellin")</f>
      </c>
      <c r="B2540" s="3" t="s">
        <v>535</v>
      </c>
      <c r="C2540" s="4">
        <v>50</v>
      </c>
    </row>
    <row r="2541">
      <c r="A2541" s="5">
        <f>HYPERLINK("https://app-web.statementrec.com/app#appuploadfiles/3a1d8082-12c0-2414-7f01-fb069431c75f","Natalie Mitchell")</f>
      </c>
      <c r="B2541" s="3" t="s">
        <v>19</v>
      </c>
      <c r="C2541" s="4">
        <v>12</v>
      </c>
    </row>
    <row r="2542">
      <c r="A2542" s="5">
        <f>HYPERLINK("https://app-web.statementrec.com/app#appuploadfiles/3a1d84d2-e2e2-d6f1-da85-f0ba1c94edb9","Sann Studio")</f>
      </c>
      <c r="B2542" s="3" t="s">
        <v>26</v>
      </c>
      <c r="C2542" s="4">
        <v>2</v>
      </c>
    </row>
    <row r="2543">
      <c r="A2543" s="5">
        <f>HYPERLINK("https://app-web.statementrec.com/app#appuploadfiles/3a1d84ed-7f25-ed85-68db-a956ff9dcfc9","Earlwood")</f>
      </c>
      <c r="B2543" s="3" t="s">
        <v>3</v>
      </c>
      <c r="C2543" s="4">
        <v>4</v>
      </c>
    </row>
    <row r="2544">
      <c r="A2544" s="5">
        <f>HYPERLINK("https://app-web.statementrec.com/app#appuploadfiles/3a1d85ab-aeb5-9466-bb3f-5ce452b181df","Ahnamu")</f>
      </c>
      <c r="B2544" s="3" t="s">
        <v>264</v>
      </c>
      <c r="C2544" s="4">
        <v>4</v>
      </c>
    </row>
    <row r="2545">
      <c r="A2545" s="5">
        <f>HYPERLINK("https://app-web.statementrec.com/app#appuploadfiles/3a1d85d1-fd3c-1521-558a-2fa31a58ae30","Jason Rebbitt")</f>
      </c>
      <c r="B2545" s="3" t="s">
        <v>19</v>
      </c>
      <c r="C2545" s="4">
        <v>20</v>
      </c>
    </row>
    <row r="2546">
      <c r="A2546" s="5">
        <f>HYPERLINK("https://app-web.statementrec.com/app#appuploadfiles/3a1d866c-33ed-53c8-39c9-95fbff86cedc","Autotest 2000 Ltd")</f>
      </c>
      <c r="B2546" s="3" t="s">
        <v>18</v>
      </c>
      <c r="C2546" s="4">
        <v>8</v>
      </c>
    </row>
    <row r="2547">
      <c r="A2547" s="5">
        <f>HYPERLINK("https://app-web.statementrec.com/app#appuploadfiles/3a1d8989-6b6f-c7b2-e07f-ae17c1aec5f8","1")</f>
      </c>
      <c r="B2547" s="3" t="s">
        <v>15</v>
      </c>
      <c r="C2547" s="4">
        <v>13</v>
      </c>
    </row>
    <row r="2548">
      <c r="A2548" s="5">
        <f>HYPERLINK("https://app-web.statementrec.com/app#appuploadfiles/3a1d8a42-c05e-c323-c1a9-80067925656c","D Squared")</f>
      </c>
      <c r="B2548" s="3" t="s">
        <v>398</v>
      </c>
      <c r="C2548" s="4">
        <v>2</v>
      </c>
    </row>
    <row r="2549">
      <c r="A2549" s="5">
        <f>HYPERLINK("https://app-web.statementrec.com/app#appuploadfiles/3a1d8a66-a83b-68cd-3924-739a515d5b0d","1582610-Brunette-Heatwave")</f>
      </c>
      <c r="B2549" s="3" t="s">
        <v>40</v>
      </c>
      <c r="C2549" s="4">
        <v>8</v>
      </c>
    </row>
    <row r="2550">
      <c r="A2550" s="5">
        <f>HYPERLINK("https://app-web.statementrec.com/app#appuploadfiles/3a1d8a81-a268-39de-6a30-21ed0e945b04","Classic")</f>
      </c>
      <c r="B2550" s="3" t="s">
        <v>95</v>
      </c>
      <c r="C2550" s="4">
        <v>8</v>
      </c>
    </row>
    <row r="2551">
      <c r="A2551" s="5">
        <f>HYPERLINK("https://app-web.statementrec.com/app#appuploadfiles/3a1d8a8d-0760-1610-18f4-3ea0c42ca02c","Fantastic")</f>
      </c>
      <c r="B2551" s="3" t="s">
        <v>3</v>
      </c>
      <c r="C2551" s="4">
        <v>2</v>
      </c>
    </row>
    <row r="2552">
      <c r="A2552" s="5">
        <f>HYPERLINK("https://app-web.statementrec.com/app#appuploadfiles/3a1d8c4a-da53-315e-e45d-a396cee768f6","PACE")</f>
      </c>
      <c r="B2552" s="3" t="s">
        <v>47</v>
      </c>
      <c r="C2552" s="4">
        <v>7</v>
      </c>
    </row>
    <row r="2553">
      <c r="A2553" s="5">
        <f>HYPERLINK("https://app-web.statementrec.com/app#appuploadfiles/3a1d8f74-4b0b-9d2e-b583-d3b5e866fe72","Emperor Ampersand Limited Partnership")</f>
      </c>
      <c r="B2553" s="3" t="s">
        <v>536</v>
      </c>
      <c r="C2553" s="4">
        <v>6</v>
      </c>
    </row>
    <row r="2554">
      <c r="A2554" s="5">
        <f>HYPERLINK("https://app-web.statementrec.com/app#appuploadfiles/3a1d8fe8-fae5-6864-1e00-96eb3a0bfd58","Café des Laurentides Enr.")</f>
      </c>
      <c r="B2554" s="3" t="s">
        <v>537</v>
      </c>
      <c r="C2554" s="4">
        <v>25</v>
      </c>
    </row>
    <row r="2555">
      <c r="A2555" s="5">
        <f>HYPERLINK("https://app-web.statementrec.com/app#appuploadfiles/3a1d93f7-9d55-2f0a-dabd-be296c798700","Kush Datta")</f>
      </c>
      <c r="B2555" s="3" t="s">
        <v>13</v>
      </c>
      <c r="C2555" s="4">
        <v>10</v>
      </c>
    </row>
    <row r="2556">
      <c r="A2556" s="5">
        <f>HYPERLINK("https://app-web.statementrec.com/app#appuploadfiles/3a1d96a2-ef0a-918c-a453-52a9b292663e","Calcul Concept Inc.")</f>
      </c>
      <c r="B2556" s="3" t="s">
        <v>538</v>
      </c>
      <c r="C2556" s="4">
        <v>8</v>
      </c>
    </row>
    <row r="2557">
      <c r="A2557" s="5">
        <f>HYPERLINK("https://app-web.statementrec.com/app#appuploadfiles/3a1d9c38-10d9-9429-57f1-007d31c67f1c","Frances Connaughton")</f>
      </c>
      <c r="B2557" s="3" t="s">
        <v>3</v>
      </c>
      <c r="C2557" s="4">
        <v>39</v>
      </c>
    </row>
    <row r="2558">
      <c r="A2558" s="5">
        <f>HYPERLINK("https://app-web.statementrec.com/app#appuploadfiles/3a1da3b0-7802-d4c0-a473-dd4df776bd9a","Perceptive Decorating Ltd")</f>
      </c>
      <c r="B2558" s="3" t="s">
        <v>15</v>
      </c>
      <c r="C2558" s="4">
        <v>2</v>
      </c>
    </row>
    <row r="2559">
      <c r="A2559" s="5">
        <f>HYPERLINK("https://app-web.statementrec.com/app#appuploadfiles/3a1da572-33ac-0073-61b6-e15675abc8d2","Tobias Matthew Ltd")</f>
      </c>
      <c r="B2559" s="3" t="s">
        <v>70</v>
      </c>
      <c r="C2559" s="4">
        <v>6</v>
      </c>
    </row>
    <row r="2560">
      <c r="A2560" s="5">
        <f>HYPERLINK("https://app-web.statementrec.com/app#appuploadfiles/3a1da8be-ea58-83f0-37ee-257fd3c16252","Bank - 03279473")</f>
      </c>
      <c r="B2560" s="3" t="s">
        <v>15</v>
      </c>
      <c r="C2560" s="4">
        <v>6</v>
      </c>
    </row>
    <row r="2561">
      <c r="A2561" s="5">
        <f>HYPERLINK("https://app-web.statementrec.com/app#appuploadfiles/3a1da8c9-2a3f-6746-4cad-99132a150faa","E H &amp; I M Priddey")</f>
      </c>
      <c r="B2561" s="3" t="s">
        <v>539</v>
      </c>
      <c r="C2561" s="4">
        <v>5</v>
      </c>
    </row>
    <row r="2562">
      <c r="A2562" s="5">
        <f>HYPERLINK("https://app-web.statementrec.com/app#appuploadfiles/3a1da9cf-fca8-e94a-a075-ef4f8414b89d","Newmarket Studio Ltd")</f>
      </c>
      <c r="B2562" s="3" t="s">
        <v>11</v>
      </c>
      <c r="C2562" s="4">
        <v>6</v>
      </c>
    </row>
    <row r="2563">
      <c r="A2563" s="5">
        <f>HYPERLINK("https://app-web.statementrec.com/app#appuploadfiles/3a1daa3d-0868-c474-4180-c474aba82841","DOMAL DEVELOPMENTS LTD")</f>
      </c>
      <c r="B2563" s="3" t="s">
        <v>10</v>
      </c>
      <c r="C2563" s="4">
        <v>20</v>
      </c>
    </row>
    <row r="2564">
      <c r="A2564" s="5">
        <f>HYPERLINK("https://app-web.statementrec.com/app#appuploadfiles/3a1dadfe-39fb-02b7-e879-2f2255536b18","Rush Nutrition")</f>
      </c>
      <c r="B2564" s="3" t="s">
        <v>80</v>
      </c>
      <c r="C2564" s="4">
        <v>3</v>
      </c>
    </row>
    <row r="2565">
      <c r="A2565" s="5">
        <f>HYPERLINK("https://app-web.statementrec.com/app#appuploadfiles/3a1db23a-d6b4-6044-79fa-ae9d1adae024","Alien Concepts")</f>
      </c>
      <c r="B2565" s="3" t="s">
        <v>46</v>
      </c>
      <c r="C2565" s="4">
        <v>5</v>
      </c>
    </row>
    <row r="2566">
      <c r="A2566" s="5">
        <f>HYPERLINK("https://app-web.statementrec.com/app#appuploadfiles/3a1db2a7-99d4-77de-a77d-402a55b5b181","KHK Racing Limited")</f>
      </c>
      <c r="B2566" s="3" t="s">
        <v>86</v>
      </c>
      <c r="C2566" s="4">
        <v>7</v>
      </c>
    </row>
    <row r="2567">
      <c r="A2567" s="5">
        <f>HYPERLINK("https://app-web.statementrec.com/app#appuploadfiles/3a1db3e7-1d1b-ccdf-f33f-fda7b163a732","Jilaman Farms Limited")</f>
      </c>
      <c r="B2567" s="3" t="s">
        <v>540</v>
      </c>
      <c r="C2567" s="4">
        <v>10</v>
      </c>
    </row>
    <row r="2568">
      <c r="A2568" s="5">
        <f>HYPERLINK("https://app-web.statementrec.com/app#appuploadfiles/3a1db563-f732-1d0d-0284-ddd2154c45c9","Kerwex Human Resources/TA Fettle")</f>
      </c>
      <c r="B2568" s="3" t="s">
        <v>11</v>
      </c>
      <c r="C2568" s="4">
        <v>57</v>
      </c>
    </row>
    <row r="2569">
      <c r="A2569" s="5">
        <f>HYPERLINK("https://app-web.statementrec.com/app#appuploadfiles/3a1db74c-c043-b81c-c98e-e96eb6929a6a","Osiris Dawn")</f>
      </c>
      <c r="B2569" s="3" t="s">
        <v>541</v>
      </c>
      <c r="C2569" s="4">
        <v>3</v>
      </c>
    </row>
    <row r="2570">
      <c r="A2570" s="5">
        <f>HYPERLINK("https://app-web.statementrec.com/app#appuploadfiles/3a1db7cf-ce48-7b29-045f-6a7bfc2ce1cc","Mrs V Fisher")</f>
      </c>
      <c r="B2570" s="3" t="s">
        <v>81</v>
      </c>
      <c r="C2570" s="4">
        <v>1</v>
      </c>
    </row>
    <row r="2571">
      <c r="A2571" s="5">
        <f>HYPERLINK("https://app-web.statementrec.com/app#appuploadfiles/3a1db80b-ae08-cd41-20d1-4dad6e2f63ed","Parkhall Private Office Ltd P75407")</f>
      </c>
      <c r="B2571" s="3" t="s">
        <v>89</v>
      </c>
      <c r="C2571" s="4">
        <v>6</v>
      </c>
    </row>
    <row r="2572">
      <c r="A2572" s="5">
        <f>HYPERLINK("https://app-web.statementrec.com/app#appuploadfiles/3a1db812-4ee6-b688-b20d-11776dfadcd2","Team Scotia")</f>
      </c>
      <c r="B2572" s="3" t="s">
        <v>43</v>
      </c>
      <c r="C2572" s="4">
        <v>2</v>
      </c>
    </row>
    <row r="2573">
      <c r="A2573" s="5">
        <f>HYPERLINK("https://app-web.statementrec.com/app#appuploadfiles/3a1db876-165a-3af8-b002-21c3caac8434","Infinity Estate Management Services Pty Ltd")</f>
      </c>
      <c r="B2573" s="3" t="s">
        <v>48</v>
      </c>
      <c r="C2573" s="4">
        <v>14</v>
      </c>
    </row>
    <row r="2574">
      <c r="A2574" s="5">
        <f>HYPERLINK("https://app-web.statementrec.com/app#appuploadfiles/3a1db87d-5438-08a4-e3ff-db059af88370","Miss Chloe Crocker")</f>
      </c>
      <c r="B2574" s="3" t="s">
        <v>15</v>
      </c>
      <c r="C2574" s="4">
        <v>48</v>
      </c>
    </row>
    <row r="2575">
      <c r="A2575" s="5">
        <f>HYPERLINK("https://app-web.statementrec.com/app#appuploadfiles/3a1db9e4-7c8b-4412-46d6-4a9eee05e0ff","Ex Physiology Inc.")</f>
      </c>
      <c r="B2575" s="3" t="s">
        <v>47</v>
      </c>
      <c r="C2575" s="4">
        <v>4</v>
      </c>
    </row>
    <row r="2576">
      <c r="A2576" s="5">
        <f>HYPERLINK("https://app-web.statementrec.com/app#appuploadfiles/3a1dbe6c-9fbc-b913-fddf-cbab94cceba8","WARTB")</f>
      </c>
      <c r="B2576" s="3" t="s">
        <v>294</v>
      </c>
      <c r="C2576" s="4">
        <v>6</v>
      </c>
    </row>
    <row r="2577">
      <c r="A2577" s="5">
        <f>HYPERLINK("https://app-web.statementrec.com/app#appuploadfiles/3a1dc73c-524f-33aa-604a-f44609fed3df","GRL Joiners Ltd")</f>
      </c>
      <c r="B2577" s="3" t="s">
        <v>139</v>
      </c>
      <c r="C2577" s="4">
        <v>17</v>
      </c>
    </row>
    <row r="2578">
      <c r="A2578" s="5">
        <f>HYPERLINK("https://app-web.statementrec.com/app#appuploadfiles/3a1dc84c-a30b-1c64-c052-468f3cbb604f","Abu Shama, Dr Raed MPC")</f>
      </c>
      <c r="B2578" s="3" t="s">
        <v>181</v>
      </c>
      <c r="C2578" s="4">
        <v>28</v>
      </c>
    </row>
    <row r="2579">
      <c r="A2579" s="5">
        <f>HYPERLINK("https://app-web.statementrec.com/app#appuploadfiles/3a1dc85f-da2d-a97f-657e-20f1b8461e98","Haz &amp; Sam Property Solutions")</f>
      </c>
      <c r="B2579" s="3" t="s">
        <v>12</v>
      </c>
      <c r="C2579" s="4">
        <v>6</v>
      </c>
    </row>
    <row r="2580">
      <c r="A2580" s="5">
        <f>HYPERLINK("https://app-web.statementrec.com/app#appuploadfiles/3a1dc892-7c6e-713b-ea0f-aa044e40865d","Nexus Utilities Ltd")</f>
      </c>
      <c r="B2580" s="3" t="s">
        <v>16</v>
      </c>
      <c r="C2580" s="4">
        <v>100</v>
      </c>
    </row>
    <row r="2581">
      <c r="A2581" s="5">
        <f>HYPERLINK("https://app-web.statementrec.com/app#appuploadfiles/3a1dc8c2-36fc-8755-9f02-a3cd5524b566","Mr J B Evans")</f>
      </c>
      <c r="B2581" s="3" t="s">
        <v>12</v>
      </c>
      <c r="C2581" s="4">
        <v>2</v>
      </c>
    </row>
    <row r="2582">
      <c r="A2582" s="5">
        <f>HYPERLINK("https://app-web.statementrec.com/app#appuploadfiles/3a1dcdb0-f0f7-3789-92e4-7f8b9bbbd4d8","EIGHTYSIX TALENT LTD")</f>
      </c>
      <c r="B2582" s="3" t="s">
        <v>70</v>
      </c>
      <c r="C2582" s="4">
        <v>40</v>
      </c>
    </row>
    <row r="2583">
      <c r="A2583" s="5">
        <f>HYPERLINK("https://app-web.statementrec.com/app#appuploadfiles/3a1dcdce-f98d-3296-144b-850fa6bca9fb","PASCALI BESIGHEIDS KONSULTANTE")</f>
      </c>
      <c r="B2583" s="3" t="s">
        <v>10</v>
      </c>
      <c r="C2583" s="4">
        <v>9</v>
      </c>
    </row>
    <row r="2584">
      <c r="A2584" s="5">
        <f>HYPERLINK("https://app-web.statementrec.com/app#appuploadfiles/3a1dce1f-10bd-b2e6-ec6f-424991295332","PGD Plumbing &amp; Heating Limited")</f>
      </c>
      <c r="B2584" s="3" t="s">
        <v>75</v>
      </c>
      <c r="C2584" s="4">
        <v>6</v>
      </c>
    </row>
    <row r="2585">
      <c r="A2585" s="5">
        <f>HYPERLINK("https://app-web.statementrec.com/app#appuploadfiles/3a1dce43-69e3-af98-82e4-88b4c34ecce9","R. J. GREEN CARPENTRY LTD")</f>
      </c>
      <c r="B2585" s="3" t="s">
        <v>480</v>
      </c>
      <c r="C2585" s="4">
        <v>11</v>
      </c>
    </row>
    <row r="2586">
      <c r="A2586" s="5">
        <f>HYPERLINK("https://app-web.statementrec.com/app#appuploadfiles/3a1dd25b-d030-5239-838d-20c1aafd821d","Esgairhir Uchaf Farm Ltd")</f>
      </c>
      <c r="B2586" s="3" t="s">
        <v>13</v>
      </c>
      <c r="C2586" s="4">
        <v>12</v>
      </c>
    </row>
    <row r="2587">
      <c r="A2587" s="5">
        <f>HYPERLINK("https://app-web.statementrec.com/app#appuploadfiles/3a1dd2af-9670-dfdd-2941-92e8f0738b9d","E MAHNE")</f>
      </c>
      <c r="B2587" s="3" t="s">
        <v>542</v>
      </c>
      <c r="C2587" s="4">
        <v>52</v>
      </c>
    </row>
    <row r="2588">
      <c r="A2588" s="5">
        <f>HYPERLINK("https://app-web.statementrec.com/app#appuploadfiles/3a1dd6a6-cbaa-6d1e-5a67-21fd8aa6d0cc","CC Oct-Nov 25")</f>
      </c>
      <c r="B2588" s="3" t="s">
        <v>26</v>
      </c>
      <c r="C2588" s="4">
        <v>3</v>
      </c>
    </row>
    <row r="2589">
      <c r="A2589" s="5">
        <f>HYPERLINK("https://app-web.statementrec.com/app#appuploadfiles/3a1dd73f-b617-750c-a75a-14624bceea8e","Vezokuhle Primary School")</f>
      </c>
      <c r="B2589" s="3" t="s">
        <v>80</v>
      </c>
      <c r="C2589" s="4">
        <v>7</v>
      </c>
    </row>
    <row r="2590">
      <c r="A2590" s="5">
        <f>HYPERLINK("https://app-web.statementrec.com/app#appuploadfiles/3a1dd81f-807f-f415-a9db-ef0012ad5dc0","Endeavor Media")</f>
      </c>
      <c r="B2590" s="3" t="s">
        <v>294</v>
      </c>
      <c r="C2590" s="4">
        <v>24</v>
      </c>
    </row>
    <row r="2591">
      <c r="A2591" s="5">
        <f>HYPERLINK("https://app-web.statementrec.com/app#appuploadfiles/3a1dda39-74de-3b19-fd97-b0ab449bbcbd","Ecole de surf à pagaie Echo Aloha Inc.")</f>
      </c>
      <c r="B2591" s="3" t="s">
        <v>158</v>
      </c>
      <c r="C2591" s="4">
        <v>34</v>
      </c>
    </row>
    <row r="2592">
      <c r="A2592" s="5">
        <f>HYPERLINK("https://app-web.statementrec.com/app#appuploadfiles/3a1ddc77-a855-e092-046a-c32e58f6099c","I M &amp; J Jones")</f>
      </c>
      <c r="B2592" s="3" t="s">
        <v>15</v>
      </c>
      <c r="C2592" s="4">
        <v>7</v>
      </c>
    </row>
    <row r="2593">
      <c r="A2593" s="5">
        <f>HYPERLINK("https://app-web.statementrec.com/app#appuploadfiles/3a1ddd70-daa7-6bbf-c31f-febf4f84756f","T R Bradley")</f>
      </c>
      <c r="B2593" s="3" t="s">
        <v>17</v>
      </c>
      <c r="C2593" s="4">
        <v>16</v>
      </c>
    </row>
    <row r="2594">
      <c r="A2594" s="5">
        <f>HYPERLINK("https://app-web.statementrec.com/app#appuploadfiles/3a1ddfbd-d221-6370-b516-5ae8e93b760b","Dr Rob Kennedy")</f>
      </c>
      <c r="B2594" s="3" t="s">
        <v>58</v>
      </c>
      <c r="C2594" s="4">
        <v>8</v>
      </c>
    </row>
    <row r="2595">
      <c r="A2595" s="5">
        <f>HYPERLINK("https://app-web.statementrec.com/app#appuploadfiles/3a1de861-4a5a-e6ba-53de-4df5c3cc45b8","Tatami JP Investments Ltd")</f>
      </c>
      <c r="B2595" s="3" t="s">
        <v>60</v>
      </c>
      <c r="C2595" s="4">
        <v>5</v>
      </c>
    </row>
    <row r="2596">
      <c r="A2596" s="5">
        <f>HYPERLINK("https://app-web.statementrec.com/app#appuploadfiles/3a1deae4-1941-5a1c-b6f9-94f2165af267","Examples Pty Ltd")</f>
      </c>
      <c r="B2596" s="3" t="s">
        <v>22</v>
      </c>
      <c r="C2596" s="4">
        <v>1</v>
      </c>
    </row>
    <row r="2597">
      <c r="A2597" s="5">
        <f>HYPERLINK("https://app-web.statementrec.com/app#appuploadfiles/3a1dec2f-1069-ca51-6489-09dd8ffc4bac","BLS Coventry Ltd")</f>
      </c>
      <c r="B2597" s="3" t="s">
        <v>12</v>
      </c>
      <c r="C2597" s="4">
        <v>1</v>
      </c>
    </row>
    <row r="2598">
      <c r="A2598" s="5">
        <f>HYPERLINK("https://app-web.statementrec.com/app#appuploadfiles/3a1dec42-7dc7-07c6-1c3d-1e7bbd5582a8","BLS Wakefield Ltd")</f>
      </c>
      <c r="B2598" s="3" t="s">
        <v>12</v>
      </c>
      <c r="C2598" s="4">
        <v>1</v>
      </c>
    </row>
    <row r="2599">
      <c r="A2599" s="5">
        <f>HYPERLINK("https://app-web.statementrec.com/app#appuploadfiles/3a1decfc-d413-c95d-56dd-a353e63b302b","AAFF Block Management Limited")</f>
      </c>
      <c r="B2599" s="3" t="s">
        <v>15</v>
      </c>
      <c r="C2599" s="4">
        <v>16</v>
      </c>
    </row>
    <row r="2600">
      <c r="A2600" s="5">
        <f>HYPERLINK("https://app-web.statementrec.com/app#appuploadfiles/3a1ded15-441b-2d4c-994d-abccedf596b9","Saxons Block Management Limited")</f>
      </c>
      <c r="B2600" s="3" t="s">
        <v>15</v>
      </c>
      <c r="C2600" s="4">
        <v>41</v>
      </c>
    </row>
    <row r="2601">
      <c r="A2601" s="5">
        <f>HYPERLINK("https://app-web.statementrec.com/app#appuploadfiles/3a1ded1c-33c1-fddd-0651-8f198c0d5b45","Ecocity")</f>
      </c>
      <c r="B2601" s="3" t="s">
        <v>21</v>
      </c>
      <c r="C2601" s="4">
        <v>3</v>
      </c>
    </row>
    <row r="2602">
      <c r="A2602" s="5">
        <f>HYPERLINK("https://app-web.statementrec.com/app#appuploadfiles/3a1ded25-3109-677b-1981-219b88ccbe63","IKE NDLOVU TRADING")</f>
      </c>
      <c r="B2602" s="3" t="s">
        <v>80</v>
      </c>
      <c r="C2602" s="4">
        <v>10</v>
      </c>
    </row>
    <row r="2603">
      <c r="A2603" s="5">
        <f>HYPERLINK("https://app-web.statementrec.com/app#appuploadfiles/3a1dee01-c84f-f51f-1b2c-24ed026317df","Fluent Solar Ltd. o/a Northern PWR")</f>
      </c>
      <c r="B2603" s="3" t="s">
        <v>146</v>
      </c>
      <c r="C2603" s="4">
        <v>30</v>
      </c>
    </row>
    <row r="2604">
      <c r="A2604" s="5">
        <f>HYPERLINK("https://app-web.statementrec.com/app#appuploadfiles/3a1df06d-cad8-69d6-2fae-89b6a0148a6c","Weltons Deli Limited")</f>
      </c>
      <c r="B2604" s="3" t="s">
        <v>543</v>
      </c>
      <c r="C2604" s="4">
        <v>79</v>
      </c>
    </row>
    <row r="2605">
      <c r="A2605" s="5">
        <f>HYPERLINK("https://app-web.statementrec.com/app#appuploadfiles/3a1df12f-76f2-4cf8-44dc-2025054cb908","High Class Joinery Ltd")</f>
      </c>
      <c r="B2605" s="3" t="s">
        <v>18</v>
      </c>
      <c r="C2605" s="4">
        <v>8</v>
      </c>
    </row>
    <row r="2606">
      <c r="A2606" s="5">
        <f>HYPERLINK("https://app-web.statementrec.com/app#appuploadfiles/3a1df5d7-0b0b-5d0c-cbb5-120f74050fc2","Elecforce Limited")</f>
      </c>
      <c r="B2606" s="3" t="s">
        <v>12</v>
      </c>
      <c r="C2606" s="4">
        <v>40</v>
      </c>
    </row>
    <row r="2607">
      <c r="A2607" s="5">
        <f>HYPERLINK("https://app-web.statementrec.com/app#appuploadfiles/3a1df6e6-a1d7-03a9-12b5-a262715438d2","E A T Rees")</f>
      </c>
      <c r="B2607" s="3" t="s">
        <v>17</v>
      </c>
      <c r="C2607" s="4">
        <v>9</v>
      </c>
    </row>
    <row r="2608">
      <c r="A2608" s="5">
        <f>HYPERLINK("https://app-web.statementrec.com/app#appuploadfiles/3a1dffd6-1cc6-9d0b-9746-9ed4fe449929","Yakoo Logistics Ltd")</f>
      </c>
      <c r="B2608" s="3" t="s">
        <v>11</v>
      </c>
      <c r="C2608" s="4">
        <v>23</v>
      </c>
    </row>
    <row r="2609">
      <c r="A2609" s="5">
        <f>HYPERLINK("https://app-web.statementrec.com/app#appuploadfiles/3a1e0016-6e56-9d64-ca53-80b6f822682f","Severals Ventures Limited")</f>
      </c>
      <c r="B2609" s="3" t="s">
        <v>17</v>
      </c>
      <c r="C2609" s="4">
        <v>9</v>
      </c>
    </row>
    <row r="2610">
      <c r="A2610" s="5">
        <f>HYPERLINK("https://app-web.statementrec.com/app#appuploadfiles/3a1e013f-9772-1abd-2015-7f747c4d6bfe","The Roach Hotel")</f>
      </c>
      <c r="B2610" s="3" t="s">
        <v>29</v>
      </c>
      <c r="C2610" s="4">
        <v>6</v>
      </c>
    </row>
    <row r="2611">
      <c r="A2611" s="5">
        <f>HYPERLINK("https://app-web.statementrec.com/app#appuploadfiles/3a1e0fa2-8a44-b287-1ddd-45ab18f9e200","AHP Partners London Limited")</f>
      </c>
      <c r="B2611" s="3" t="s">
        <v>544</v>
      </c>
      <c r="C2611" s="4">
        <v>80</v>
      </c>
    </row>
    <row r="2612">
      <c r="A2612" s="5">
        <f>HYPERLINK("https://app-web.statementrec.com/app#appuploadfiles/3a1e0fcc-87b7-5d04-bb7d-6b79b0fbe38c","Aberdeen")</f>
      </c>
      <c r="B2612" s="3" t="s">
        <v>545</v>
      </c>
      <c r="C2612" s="4">
        <v>28</v>
      </c>
    </row>
    <row r="2613">
      <c r="A2613" s="5">
        <f>HYPERLINK("https://app-web.statementrec.com/app#appuploadfiles/3a1e10d9-b039-4c3d-7471-089dfc307730","CHOLITA LLC")</f>
      </c>
      <c r="B2613" s="3" t="s">
        <v>546</v>
      </c>
      <c r="C2613" s="4">
        <v>29</v>
      </c>
    </row>
    <row r="2614">
      <c r="A2614" s="5">
        <f>HYPERLINK("https://app-web.statementrec.com/app#appuploadfiles/3a1e14ed-c26f-ff5d-a0dd-ec29fc704a5c","vINIO")</f>
      </c>
      <c r="B2614" s="3" t="s">
        <v>17</v>
      </c>
      <c r="C2614" s="4">
        <v>4</v>
      </c>
    </row>
    <row r="2615">
      <c r="A2615" s="5">
        <f>HYPERLINK("https://app-web.statementrec.com/app#appuploadfiles/3a1e1575-b77c-0d14-bd77-21b2d1185efd","FRANCE AGRELO")</f>
      </c>
      <c r="B2615" s="3" t="s">
        <v>26</v>
      </c>
      <c r="C2615" s="4">
        <v>2</v>
      </c>
    </row>
    <row r="2616">
      <c r="A2616" s="5">
        <f>HYPERLINK("https://app-web.statementrec.com/app#appuploadfiles/3a1e15d4-eae5-9c63-b21d-44032afc9434","Clinique Psycologie Sophiatrie Inc.")</f>
      </c>
      <c r="B2616" s="3" t="s">
        <v>13</v>
      </c>
      <c r="C2616" s="4">
        <v>14</v>
      </c>
    </row>
    <row r="2617">
      <c r="A2617" s="5">
        <f>HYPERLINK("https://app-web.statementrec.com/app#appuploadfiles/3a1e1605-5a8b-a4be-2be9-4e2e739eec24","CRAFTY CORP")</f>
      </c>
      <c r="B2617" s="3" t="s">
        <v>26</v>
      </c>
      <c r="C2617" s="4">
        <v>4</v>
      </c>
    </row>
    <row r="2618">
      <c r="A2618" s="5">
        <f>HYPERLINK("https://app-web.statementrec.com/app#appuploadfiles/3a1e1780-dee5-d488-48d4-adea10aa4c10","Jeannie Espinosa CPA PA")</f>
      </c>
      <c r="B2618" s="3" t="s">
        <v>326</v>
      </c>
      <c r="C2618" s="4">
        <v>7</v>
      </c>
    </row>
    <row r="2619">
      <c r="A2619" s="5">
        <f>HYPERLINK("https://app-web.statementrec.com/app#appuploadfiles/3a1e19d3-4bd7-4905-48ee-a058887a4455","FNB Silver Cheque Account 62281040114")</f>
      </c>
      <c r="B2619" s="3" t="s">
        <v>80</v>
      </c>
      <c r="C2619" s="4">
        <v>2</v>
      </c>
    </row>
    <row r="2620">
      <c r="A2620" s="5">
        <f>HYPERLINK("https://app-web.statementrec.com/app#appuploadfiles/3a1e1ae3-cd82-0223-5188-62b881305e4c","Soins Nadi")</f>
      </c>
      <c r="B2620" s="3" t="s">
        <v>17</v>
      </c>
      <c r="C2620" s="4">
        <v>2</v>
      </c>
    </row>
    <row r="2621">
      <c r="A2621" s="5">
        <f>HYPERLINK("https://app-web.statementrec.com/app#appuploadfiles/3a1e20a0-93b3-84b0-f90a-0b44725c8605","SLA LYNCH")</f>
      </c>
      <c r="B2621" s="3" t="s">
        <v>13</v>
      </c>
      <c r="C2621" s="4">
        <v>21</v>
      </c>
    </row>
    <row r="2622">
      <c r="A2622" s="5">
        <f>HYPERLINK("https://app-web.statementrec.com/app#appuploadfiles/3a1e24a9-9498-e6d9-203c-1657832ffc65","NFP PROPERTIES LTD")</f>
      </c>
      <c r="B2622" s="3" t="s">
        <v>18</v>
      </c>
      <c r="C2622" s="4">
        <v>16</v>
      </c>
    </row>
    <row r="2623">
      <c r="A2623" s="5">
        <f>HYPERLINK("https://app-web.statementrec.com/app#appuploadfiles/3a1e252f-ec8e-1107-48c9-2f5fe665953f","Zenos Automotive Ltd")</f>
      </c>
      <c r="B2623" s="3" t="s">
        <v>547</v>
      </c>
      <c r="C2623" s="4">
        <v>37</v>
      </c>
    </row>
    <row r="2624">
      <c r="A2624" s="5">
        <f>HYPERLINK("https://app-web.statementrec.com/app#appuploadfiles/3a1e34e4-affe-2c0c-2487-e3c7641a3f8b","ABUNDANCE PARTNERS LTD")</f>
      </c>
      <c r="B2624" s="3" t="s">
        <v>70</v>
      </c>
      <c r="C2624" s="4">
        <v>7</v>
      </c>
    </row>
    <row r="2625">
      <c r="A2625" s="5">
        <f>HYPERLINK("https://app-web.statementrec.com/app#appuploadfiles/3a1e3d2a-9b0a-f610-b251-2f83b6790426","UL Qwaqwa")</f>
      </c>
      <c r="B2625" s="3" t="s">
        <v>120</v>
      </c>
      <c r="C2625" s="4">
        <v>7</v>
      </c>
    </row>
    <row r="2626">
      <c r="A2626" s="5">
        <f>HYPERLINK("https://app-web.statementrec.com/app#appuploadfiles/3a1e3db8-e8a6-e761-742f-a6dd8ba0f20b","ERWIL")</f>
      </c>
      <c r="B2626" s="3" t="s">
        <v>120</v>
      </c>
      <c r="C2626" s="4">
        <v>2</v>
      </c>
    </row>
    <row r="2627">
      <c r="A2627" s="5">
        <f>HYPERLINK("https://app-web.statementrec.com/app#appuploadfiles/3a1e3f11-bf11-54e2-52ee-e88370c04d40","Chowbent Unitarian Chapel")</f>
      </c>
      <c r="B2627" s="3" t="s">
        <v>548</v>
      </c>
      <c r="C2627" s="4">
        <v>9</v>
      </c>
    </row>
    <row r="2628">
      <c r="A2628" s="5">
        <f>HYPERLINK("https://app-web.statementrec.com/app#appuploadfiles/3a1e4418-4825-9c08-8807-a2316657b9d5","XLA Dummy Company")</f>
      </c>
      <c r="B2628" s="3" t="s">
        <v>356</v>
      </c>
      <c r="C2628" s="4">
        <v>5</v>
      </c>
    </row>
    <row r="2629">
      <c r="A2629" s="5">
        <f>HYPERLINK("https://app-web.statementrec.com/app#appuploadfiles/3a1e4426-626c-87bb-ff7c-56a520872321","E021 Wyau Ynys Mon")</f>
      </c>
      <c r="B2629" s="3" t="s">
        <v>17</v>
      </c>
      <c r="C2629" s="4">
        <v>5</v>
      </c>
    </row>
    <row r="2630">
      <c r="A2630" s="5">
        <f>HYPERLINK("https://app-web.statementrec.com/app#appuploadfiles/3a1e44f7-a067-70d6-1463-e520d2e41cca","Koka, Dr. Suman MPC")</f>
      </c>
      <c r="B2630" s="3" t="s">
        <v>181</v>
      </c>
      <c r="C2630" s="4">
        <v>2</v>
      </c>
    </row>
    <row r="2631">
      <c r="A2631" s="5">
        <f>HYPERLINK("https://app-web.statementrec.com/app#appuploadfiles/3a1e49f8-3971-4bb9-a1dd-b9a7d597cd09","Visa 3113/4969 - 2026 Fiscal")</f>
      </c>
      <c r="B2631" s="3" t="s">
        <v>196</v>
      </c>
      <c r="C2631" s="4">
        <v>18</v>
      </c>
    </row>
    <row r="2632">
      <c r="A2632" s="5">
        <f>HYPERLINK("https://app-web.statementrec.com/app#appuploadfiles/3a1e57a0-14e0-8651-6362-05598657d6e9","Michael Powney")</f>
      </c>
      <c r="B2632" s="3" t="s">
        <v>17</v>
      </c>
      <c r="C2632" s="4">
        <v>32</v>
      </c>
    </row>
    <row r="2633">
      <c r="A2633" s="5">
        <f>HYPERLINK("https://app-web.statementrec.com/app#appuploadfiles/3a1e5925-6f59-88ff-5128-37260d2defbd","Gentle Dental")</f>
      </c>
      <c r="B2633" s="3" t="s">
        <v>21</v>
      </c>
      <c r="C2633" s="4">
        <v>37</v>
      </c>
    </row>
    <row r="2634">
      <c r="A2634" s="5">
        <f>HYPERLINK("https://app-web.statementrec.com/app#appuploadfiles/3a1e5bb8-155e-6f63-618d-ee6d8c41fb62","MDS Accountants")</f>
      </c>
      <c r="B2634" s="3" t="s">
        <v>80</v>
      </c>
      <c r="C2634" s="4">
        <v>33</v>
      </c>
    </row>
    <row r="2635">
      <c r="A2635" s="5">
        <f>HYPERLINK("https://app-web.statementrec.com/app#appuploadfiles/3a1e5d3f-f88d-4700-0ddf-9c4c26460cec","The Llindir Inn")</f>
      </c>
      <c r="B2635" s="3" t="s">
        <v>151</v>
      </c>
      <c r="C2635" s="4">
        <v>10</v>
      </c>
    </row>
    <row r="2636">
      <c r="A2636" s="5">
        <f>HYPERLINK("https://app-web.statementrec.com/app#appuploadfiles/3a1e6bd4-d2c8-3d5a-6e9d-551969168757","Mofutho Dijo")</f>
      </c>
      <c r="B2636" s="3" t="s">
        <v>95</v>
      </c>
      <c r="C2636" s="4">
        <v>55</v>
      </c>
    </row>
    <row r="2637">
      <c r="A2637" s="5">
        <f>HYPERLINK("https://app-web.statementrec.com/app#appuploadfiles/3a1e77ec-0f77-eb55-ced5-4d6b70edabb4","Frosted")</f>
      </c>
      <c r="B2637" s="3" t="s">
        <v>58</v>
      </c>
      <c r="C2637" s="4">
        <v>4</v>
      </c>
    </row>
    <row r="2638">
      <c r="A2638" s="5">
        <f>HYPERLINK("https://app-web.statementrec.com/app#appuploadfiles/3a1e7b1a-a302-2d96-4bfa-441dcf794e09","JN Maritz")</f>
      </c>
      <c r="B2638" s="3" t="s">
        <v>38</v>
      </c>
      <c r="C2638" s="4">
        <v>1</v>
      </c>
    </row>
    <row r="2639">
      <c r="A2639" s="5">
        <f>HYPERLINK("https://app-web.statementrec.com/app#appuploadfiles/3a1e7d39-707c-de2a-98ee-ad947753fb11","Camaros Plus")</f>
      </c>
      <c r="B2639" s="3" t="s">
        <v>549</v>
      </c>
      <c r="C2639" s="4">
        <v>24</v>
      </c>
    </row>
    <row r="2640">
      <c r="A2640" s="5">
        <f>HYPERLINK("https://app-web.statementrec.com/app#appuploadfiles/3a1e8739-1b03-96eb-e230-851e6c0ab530","Nood Stores Ltd")</f>
      </c>
      <c r="B2640" s="3" t="s">
        <v>43</v>
      </c>
      <c r="C2640" s="4">
        <v>5</v>
      </c>
    </row>
    <row r="2641">
      <c r="A2641" s="5">
        <f>HYPERLINK("https://app-web.statementrec.com/app#appuploadfiles/3a1e917c-f6e0-c451-2095-d08f34aa035b","Pyles Chicken Delite")</f>
      </c>
      <c r="B2641" s="3" t="s">
        <v>56</v>
      </c>
      <c r="C2641" s="4">
        <v>17</v>
      </c>
    </row>
    <row r="2642">
      <c r="A2642" s="5">
        <f>HYPERLINK("https://app-web.statementrec.com/app#appuploadfiles/3a1e926b-5013-6587-44dd-6befda69d6ae","Krazy Cherry Fruit Co")</f>
      </c>
      <c r="B2642" s="3" t="s">
        <v>201</v>
      </c>
      <c r="C2642" s="4">
        <v>4</v>
      </c>
    </row>
    <row r="2643">
      <c r="A2643" s="5">
        <f>HYPERLINK("https://app-web.statementrec.com/app#appuploadfiles/3a1e96b1-af40-f8a9-a8ac-a48c75689649","W019 Betstan")</f>
      </c>
      <c r="B2643" s="3" t="s">
        <v>139</v>
      </c>
      <c r="C2643" s="4">
        <v>4</v>
      </c>
    </row>
    <row r="2644">
      <c r="A2644" s="5">
        <f>HYPERLINK("https://app-web.statementrec.com/app#appuploadfiles/3a1e9cb5-6dcd-d741-8bbd-da0005b2e582","02606-Aslanian, David &amp; Miller, Emily")</f>
      </c>
      <c r="B2644" s="3" t="s">
        <v>59</v>
      </c>
      <c r="C2644" s="4">
        <v>35</v>
      </c>
    </row>
    <row r="2645">
      <c r="A2645" s="5">
        <f>HYPERLINK("https://app-web.statementrec.com/app#appuploadfiles/3a1ea02e-45a5-f695-3f05-e77a2921fd35","Neart Le Cheile")</f>
      </c>
      <c r="B2645" s="3" t="s">
        <v>18</v>
      </c>
      <c r="C2645" s="4">
        <v>4</v>
      </c>
    </row>
    <row r="2646">
      <c r="A2646" s="5">
        <f>HYPERLINK("https://app-web.statementrec.com/app#appuploadfiles/3a1ea05c-0e2f-ebe0-9151-a1a0082c1075","9416-9711 Québec Inc.-Alex Greendale")</f>
      </c>
      <c r="B2646" s="3" t="s">
        <v>12</v>
      </c>
      <c r="C2646" s="4">
        <v>6</v>
      </c>
    </row>
    <row r="2647">
      <c r="A2647" s="5">
        <f>HYPERLINK("https://app-web.statementrec.com/app#appuploadfiles/3a1ea112-ff20-87f3-a8fd-4f67dc9b28f4","Roma Corporation")</f>
      </c>
      <c r="B2647" s="3" t="s">
        <v>550</v>
      </c>
      <c r="C2647" s="4">
        <v>16</v>
      </c>
    </row>
    <row r="2648">
      <c r="A2648" s="5">
        <f>HYPERLINK("https://app-web.statementrec.com/app#appuploadfiles/3a1ea13d-0f33-53ca-4178-62fe9e4d2c33","9453-2140 Quebec Inc")</f>
      </c>
      <c r="B2648" s="3" t="s">
        <v>551</v>
      </c>
      <c r="C2648" s="4">
        <v>74</v>
      </c>
    </row>
    <row r="2649">
      <c r="A2649" s="5">
        <f>HYPERLINK("https://app-web.statementrec.com/app#appuploadfiles/3a1ea1d8-b18a-499b-a589-4f4145cbcf11","Maya &amp; Brothers LLC")</f>
      </c>
      <c r="B2649" s="3" t="s">
        <v>552</v>
      </c>
      <c r="C2649" s="4">
        <v>189</v>
      </c>
    </row>
    <row r="2650">
      <c r="A2650" s="5">
        <f>HYPERLINK("https://app-web.statementrec.com/app#appuploadfiles/3a1ea4ae-6577-22b3-be7b-10421d99a1b3","Selskar Pharmacy Ltd")</f>
      </c>
      <c r="B2650" s="3" t="s">
        <v>10</v>
      </c>
      <c r="C2650" s="4">
        <v>18</v>
      </c>
    </row>
    <row r="2651">
      <c r="A2651" s="5">
        <f>HYPERLINK("https://app-web.statementrec.com/app#appuploadfiles/3a1ea594-c774-c415-c44d-49781651855c","FORMWARE DIGITAL DESIGN CONSULTING")</f>
      </c>
      <c r="B2651" s="3" t="s">
        <v>553</v>
      </c>
      <c r="C2651" s="4">
        <v>9</v>
      </c>
    </row>
    <row r="2652">
      <c r="A2652" s="5">
        <f>HYPERLINK("https://app-web.statementrec.com/app#appuploadfiles/3a1ea9bc-0e08-96d1-2910-3228f39e20b5","Ace Pro Business")</f>
      </c>
      <c r="B2652" s="3" t="s">
        <v>554</v>
      </c>
      <c r="C2652" s="4">
        <v>3</v>
      </c>
    </row>
    <row r="2653">
      <c r="A2653" s="5">
        <f>HYPERLINK("https://app-web.statementrec.com/app#appuploadfiles/3a1eaa4b-23fa-df38-8718-c688fcbeb2db","DPD TRADING CC")</f>
      </c>
      <c r="B2653" s="3" t="s">
        <v>80</v>
      </c>
      <c r="C2653" s="4">
        <v>12</v>
      </c>
    </row>
    <row r="2654">
      <c r="A2654" s="5">
        <f>HYPERLINK("https://app-web.statementrec.com/app#appuploadfiles/3a1eaa4e-4939-9986-b689-6d072ec8cd09","C &amp; B S Limited")</f>
      </c>
      <c r="B2654" s="3" t="s">
        <v>70</v>
      </c>
      <c r="C2654" s="4">
        <v>3</v>
      </c>
    </row>
    <row r="2655">
      <c r="A2655" s="5">
        <f>HYPERLINK("https://app-web.statementrec.com/app#appuploadfiles/3a1eaefc-984e-5078-d130-b7e916eabed6","Earth and Wire")</f>
      </c>
      <c r="B2655" s="3" t="s">
        <v>3</v>
      </c>
      <c r="C2655" s="4">
        <v>3</v>
      </c>
    </row>
    <row r="2656">
      <c r="A2656" s="5">
        <f>HYPERLINK("https://app-web.statementrec.com/app#appuploadfiles/3a1eaf44-a37f-b23b-054c-0b7978027fe3","ADT")</f>
      </c>
      <c r="B2656" s="3" t="s">
        <v>3</v>
      </c>
      <c r="C2656" s="4">
        <v>2</v>
      </c>
    </row>
    <row r="2657">
      <c r="A2657" s="5">
        <f>HYPERLINK("https://app-web.statementrec.com/app#appuploadfiles/3a1eafe1-e85d-80ed-5db7-0295da51cf04","Kelly Garrett")</f>
      </c>
      <c r="B2657" s="3" t="s">
        <v>460</v>
      </c>
      <c r="C2657" s="4">
        <v>6</v>
      </c>
    </row>
    <row r="2658">
      <c r="A2658" s="5">
        <f>HYPERLINK("https://app-web.statementrec.com/app#appuploadfiles/3a1eb052-bde7-d4a1-b13b-481223762cad","Evoque")</f>
      </c>
      <c r="B2658" s="3" t="s">
        <v>13</v>
      </c>
      <c r="C2658" s="4">
        <v>1</v>
      </c>
    </row>
    <row r="2659">
      <c r="A2659" s="5">
        <f>HYPERLINK("https://app-web.statementrec.com/app#appuploadfiles/3a1eb547-8706-44cb-b165-2c5730c7bc5f","Apple Tree Mortgages Ltd")</f>
      </c>
      <c r="B2659" s="3" t="s">
        <v>11</v>
      </c>
      <c r="C2659" s="4">
        <v>79</v>
      </c>
    </row>
    <row r="2660">
      <c r="A2660" s="5">
        <f>HYPERLINK("https://app-web.statementrec.com/app#appuploadfiles/3a1eb563-3a40-7f98-76f9-0e51c2acfea2","JP Morgan")</f>
      </c>
      <c r="B2660" s="3" t="s">
        <v>18</v>
      </c>
      <c r="C2660" s="4">
        <v>34</v>
      </c>
    </row>
    <row r="2661">
      <c r="A2661" s="5">
        <f>HYPERLINK("https://app-web.statementrec.com/app#appuploadfiles/3a1ec3f1-546c-489e-f89d-782c47819937","Lynxcity Limited")</f>
      </c>
      <c r="B2661" s="3" t="s">
        <v>555</v>
      </c>
      <c r="C2661" s="4">
        <v>8</v>
      </c>
    </row>
    <row r="2662">
      <c r="A2662" s="5">
        <f>HYPERLINK("https://app-web.statementrec.com/app#appuploadfiles/3a1ec49c-19c7-34dc-1aaf-08f4436a08ae","V&amp;U JOINERY LTD")</f>
      </c>
      <c r="B2662" s="3" t="s">
        <v>17</v>
      </c>
      <c r="C2662" s="4">
        <v>3</v>
      </c>
    </row>
    <row r="2663">
      <c r="A2663" s="5">
        <f>HYPERLINK("https://app-web.statementrec.com/app#appuploadfiles/3a1ec97d-ac19-38da-b977-48d9dbce3adf","Bank Statement Extraction")</f>
      </c>
      <c r="B2663" s="3" t="s">
        <v>17</v>
      </c>
      <c r="C2663" s="4">
        <v>4</v>
      </c>
    </row>
    <row r="2664">
      <c r="A2664" s="5">
        <f>HYPERLINK("https://app-web.statementrec.com/app#appuploadfiles/3a1ec986-315d-5092-d2a9-50a128fdc741","Matthew Belsham")</f>
      </c>
      <c r="B2664" s="3" t="s">
        <v>16</v>
      </c>
      <c r="C2664" s="4">
        <v>7</v>
      </c>
    </row>
    <row r="2665">
      <c r="A2665" s="5">
        <f>HYPERLINK("https://app-web.statementrec.com/app#appuploadfiles/3a1ecdbe-35a5-4aac-aa3e-c9a1a6de253d","Abbey Street Pharmacy Ltd")</f>
      </c>
      <c r="B2665" s="3" t="s">
        <v>10</v>
      </c>
      <c r="C2665" s="4">
        <v>12</v>
      </c>
    </row>
    <row r="2666">
      <c r="A2666" s="5">
        <f>HYPERLINK("https://app-web.statementrec.com/app#appuploadfiles/3a1ece73-66e9-a33f-7f0c-2fbe58b7d49a","Elecrete")</f>
      </c>
      <c r="B2666" s="3" t="s">
        <v>556</v>
      </c>
      <c r="C2666" s="4">
        <v>8</v>
      </c>
    </row>
    <row r="2667">
      <c r="A2667" s="5">
        <f>HYPERLINK("https://app-web.statementrec.com/app#appuploadfiles/3a1ecf01-39ee-3953-67ed-3f0d73196cbf","Clonroche Pharmacy Ltd")</f>
      </c>
      <c r="B2667" s="3" t="s">
        <v>10</v>
      </c>
      <c r="C2667" s="4">
        <v>15</v>
      </c>
    </row>
    <row r="2668">
      <c r="A2668" s="5">
        <f>HYPERLINK("https://app-web.statementrec.com/app#appuploadfiles/3a1ed2b9-ec23-5769-bc6b-ad33f6d10e3a","Daniel Whittaker")</f>
      </c>
      <c r="B2668" s="3" t="s">
        <v>84</v>
      </c>
      <c r="C2668" s="4">
        <v>38</v>
      </c>
    </row>
    <row r="2669">
      <c r="A2669" s="5">
        <f>HYPERLINK("https://app-web.statementrec.com/app#appuploadfiles/3a1ed443-2b3c-15ed-f276-734115740af5","Jay Gentle")</f>
      </c>
      <c r="B2669" s="3" t="s">
        <v>19</v>
      </c>
      <c r="C2669" s="4">
        <v>30</v>
      </c>
    </row>
    <row r="2670">
      <c r="A2670" s="5">
        <f>HYPERLINK("https://app-web.statementrec.com/app#appuploadfiles/3a1ed4c4-fcb8-cf02-e1d9-57f66754eb97","Curtis Wood Combustion Ltd")</f>
      </c>
      <c r="B2670" s="3" t="s">
        <v>270</v>
      </c>
      <c r="C2670" s="4">
        <v>13</v>
      </c>
    </row>
    <row r="2671">
      <c r="A2671" s="5">
        <f>HYPERLINK("https://app-web.statementrec.com/app#appuploadfiles/3a1ed4e0-ee7f-fe43-2937-d886311f96ce","Blue Gate Texels - YE 05.04.25")</f>
      </c>
      <c r="B2671" s="3" t="s">
        <v>36</v>
      </c>
      <c r="C2671" s="4">
        <v>36</v>
      </c>
    </row>
    <row r="2672">
      <c r="A2672" s="5">
        <f>HYPERLINK("https://app-web.statementrec.com/app#appuploadfiles/3a1ed529-dad5-4c6c-fb20-44442b2f6c68","02572-BindalHarshendu")</f>
      </c>
      <c r="B2672" s="3" t="s">
        <v>557</v>
      </c>
      <c r="C2672" s="4">
        <v>44</v>
      </c>
    </row>
    <row r="2673">
      <c r="A2673" s="5">
        <f>HYPERLINK("https://app-web.statementrec.com/app#appuploadfiles/3a1ed7aa-8ff4-7b42-b1ff-9128c2dd28b2","Advanced Ventilations Systems Ltd")</f>
      </c>
      <c r="B2673" s="3" t="s">
        <v>12</v>
      </c>
      <c r="C2673" s="4">
        <v>6</v>
      </c>
    </row>
    <row r="2674">
      <c r="A2674" s="5">
        <f>HYPERLINK("https://app-web.statementrec.com/app#appuploadfiles/3a1ed85b-9b22-5b31-0ffe-a8f19889544b","SARL TROMBONE")</f>
      </c>
      <c r="B2674" s="3" t="s">
        <v>558</v>
      </c>
      <c r="C2674" s="4">
        <v>29</v>
      </c>
    </row>
    <row r="2675">
      <c r="A2675" s="5">
        <f>HYPERLINK("https://app-web.statementrec.com/app#appuploadfiles/3a1ed964-6deb-dc2e-c17c-d5ac67108046","Honey Gold Trading 12 CC")</f>
      </c>
      <c r="B2675" s="3" t="s">
        <v>559</v>
      </c>
      <c r="C2675" s="4">
        <v>259</v>
      </c>
    </row>
    <row r="2676">
      <c r="A2676" s="5">
        <f>HYPERLINK("https://app-web.statementrec.com/app#appuploadfiles/3a1ee762-bdfa-7134-9f5b-3322e21c3a0b","Aerovantage Solutions Ltd")</f>
      </c>
      <c r="B2676" s="3" t="s">
        <v>43</v>
      </c>
      <c r="C2676" s="4">
        <v>5</v>
      </c>
    </row>
    <row r="2677">
      <c r="A2677" s="5">
        <f>HYPERLINK("https://app-web.statementrec.com/app#appuploadfiles/3a1ee7a7-4470-7603-73dd-f0cff607d69a","Brew Export Limited")</f>
      </c>
      <c r="B2677" s="3" t="s">
        <v>3</v>
      </c>
      <c r="C2677" s="4">
        <v>2</v>
      </c>
    </row>
    <row r="2678">
      <c r="A2678" s="5">
        <f>HYPERLINK("https://app-web.statementrec.com/app#appuploadfiles/3a1ee7c8-944b-531c-c07b-47eaff1da81d","Fahrettin Hacioglu")</f>
      </c>
      <c r="B2678" s="3" t="s">
        <v>168</v>
      </c>
      <c r="C2678" s="4">
        <v>84</v>
      </c>
    </row>
    <row r="2679">
      <c r="A2679" s="5">
        <f>HYPERLINK("https://app-web.statementrec.com/app#appuploadfiles/3a1ee7d1-0bfa-aa04-8165-f5e09094553b","B8069 JMK Precious Metals Limited")</f>
      </c>
      <c r="B2679" s="3" t="s">
        <v>10</v>
      </c>
      <c r="C2679" s="4">
        <v>5</v>
      </c>
    </row>
    <row r="2680">
      <c r="A2680" s="5">
        <f>HYPERLINK("https://app-web.statementrec.com/app#appuploadfiles/3a1ee8e8-34d6-b484-1c1e-5cc3db0ed76b","PEEL ELITE CONSULTANCY LIMITED")</f>
      </c>
      <c r="B2680" s="3" t="s">
        <v>15</v>
      </c>
      <c r="C2680" s="4">
        <v>1</v>
      </c>
    </row>
    <row r="2681">
      <c r="A2681" s="5">
        <f>HYPERLINK("https://app-web.statementrec.com/app#appuploadfiles/3a1ee973-7046-b0d8-805e-c46e4812c94a","2026 Visa")</f>
      </c>
      <c r="B2681" s="3" t="s">
        <v>181</v>
      </c>
      <c r="C2681" s="4">
        <v>2</v>
      </c>
    </row>
    <row r="2682">
      <c r="A2682" s="5">
        <f>HYPERLINK("https://app-web.statementrec.com/app#appuploadfiles/3a1ee9d8-55d9-196c-4aab-739d9272939d","ConsultExpert Inc.Alex Lemay-Therrien")</f>
      </c>
      <c r="B2682" s="3" t="s">
        <v>560</v>
      </c>
      <c r="C2682" s="4">
        <v>12</v>
      </c>
    </row>
    <row r="2683">
      <c r="A2683" s="5">
        <f>HYPERLINK("https://app-web.statementrec.com/app#appuploadfiles/3a1eeaf1-dc11-71e5-c636-afdd6e6c6af9","grant-moore")</f>
      </c>
      <c r="B2683" s="3" t="s">
        <v>185</v>
      </c>
      <c r="C2683" s="4">
        <v>2</v>
      </c>
    </row>
    <row r="2684">
      <c r="A2684" s="5">
        <f>HYPERLINK("https://app-web.statementrec.com/app#appuploadfiles/3a1eed5b-793a-b68e-99de-04591fa1fcb9","Institute of Business Ethics")</f>
      </c>
      <c r="B2684" s="3" t="s">
        <v>33</v>
      </c>
      <c r="C2684" s="4">
        <v>3</v>
      </c>
    </row>
    <row r="2685">
      <c r="A2685" s="5">
        <f>HYPERLINK("https://app-web.statementrec.com/app#appuploadfiles/3a1eef4d-496c-e662-bf5a-8cfd7c1feb9a","Jette Studios")</f>
      </c>
      <c r="B2685" s="3" t="s">
        <v>158</v>
      </c>
      <c r="C2685" s="4">
        <v>3</v>
      </c>
    </row>
    <row r="2686">
      <c r="A2686" s="5">
        <f>HYPERLINK("https://app-web.statementrec.com/app#appuploadfiles/3a1ef1fe-5f0b-869d-6f91-94f884242ae8","Dynamis Enterprises")</f>
      </c>
      <c r="B2686" s="3" t="s">
        <v>56</v>
      </c>
      <c r="C2686" s="4">
        <v>2</v>
      </c>
    </row>
    <row r="2687">
      <c r="A2687" s="5">
        <f>HYPERLINK("https://app-web.statementrec.com/app#appuploadfiles/3a1ef20b-1c97-769d-7562-261cc81a905d","b8101 Cloneen Bespoke")</f>
      </c>
      <c r="B2687" s="3" t="s">
        <v>17</v>
      </c>
      <c r="C2687" s="4">
        <v>1</v>
      </c>
    </row>
    <row r="2688">
      <c r="A2688" s="5">
        <f>HYPERLINK("https://app-web.statementrec.com/app#appuploadfiles/3a1ef220-d464-343c-5e8e-f09f64f2dc98","2025 Accounts")</f>
      </c>
      <c r="B2688" s="3" t="s">
        <v>8</v>
      </c>
      <c r="C2688" s="4">
        <v>1</v>
      </c>
    </row>
    <row r="2689">
      <c r="A2689" s="5">
        <f>HYPERLINK("https://app-web.statementrec.com/app#appuploadfiles/3a1ef28e-6270-c196-0320-c34f42f80903","Churchill-knight new")</f>
      </c>
      <c r="B2689" s="3" t="s">
        <v>561</v>
      </c>
      <c r="C2689" s="4">
        <v>29</v>
      </c>
    </row>
    <row r="2690">
      <c r="A2690" s="5">
        <f>HYPERLINK("https://app-web.statementrec.com/app#appuploadfiles/3a1ef293-35f4-80a7-3b92-7ba1d1c0aee2","Vivendi")</f>
      </c>
      <c r="B2690" s="3" t="s">
        <v>26</v>
      </c>
      <c r="C2690" s="4">
        <v>16</v>
      </c>
    </row>
    <row r="2691">
      <c r="A2691" s="5">
        <f>HYPERLINK("https://app-web.statementrec.com/app#appuploadfiles/3a1ef2b5-a556-7c24-aef9-2457856b53a9","Moments Dorset Ltd")</f>
      </c>
      <c r="B2691" s="3" t="s">
        <v>17</v>
      </c>
      <c r="C2691" s="4">
        <v>17</v>
      </c>
    </row>
    <row r="2692">
      <c r="A2692" s="5">
        <f>HYPERLINK("https://app-web.statementrec.com/app#appuploadfiles/3a1ef2b9-3131-1ac2-ae56-e34739c0e7d9","The Bright Guy")</f>
      </c>
      <c r="B2692" s="3" t="s">
        <v>251</v>
      </c>
      <c r="C2692" s="4">
        <v>12</v>
      </c>
    </row>
    <row r="2693">
      <c r="A2693" s="5">
        <f>HYPERLINK("https://app-web.statementrec.com/app#appuploadfiles/3a1ef355-23b3-9b87-621d-250a8a2fb2c1","1780A Dr. Laura Reim Ismail")</f>
      </c>
      <c r="B2693" s="3" t="s">
        <v>17</v>
      </c>
      <c r="C2693" s="4">
        <v>7</v>
      </c>
    </row>
    <row r="2694">
      <c r="A2694" s="5">
        <f>HYPERLINK("https://app-web.statementrec.com/app#appuploadfiles/3a1ef371-1061-eb73-e7a9-fd9c363def63","Wells Sermo Ltd")</f>
      </c>
      <c r="B2694" s="3" t="s">
        <v>365</v>
      </c>
      <c r="C2694" s="4">
        <v>3</v>
      </c>
    </row>
    <row r="2695">
      <c r="A2695" s="5">
        <f>HYPERLINK("https://app-web.statementrec.com/app#appuploadfiles/3a1ef668-b165-4a54-a53c-f4b93e1b639a","31HTB")</f>
      </c>
      <c r="B2695" s="3" t="s">
        <v>270</v>
      </c>
      <c r="C2695" s="4">
        <v>8</v>
      </c>
    </row>
    <row r="2696">
      <c r="A2696" s="5">
        <f>HYPERLINK("https://app-web.statementrec.com/app#appuploadfiles/3a1ef701-9001-5a98-503b-2560e0260ed3","Adv Kabelo Maupa")</f>
      </c>
      <c r="B2696" s="3" t="s">
        <v>562</v>
      </c>
      <c r="C2696" s="4">
        <v>4</v>
      </c>
    </row>
    <row r="2697">
      <c r="A2697" s="5">
        <f>HYPERLINK("https://app-web.statementrec.com/app#appuploadfiles/3a1ef7ce-0dd0-664e-89d2-4d839a69f62f","MTM EXTERIOR HOME PROJECTS LTD")</f>
      </c>
      <c r="B2697" s="3" t="s">
        <v>22</v>
      </c>
      <c r="C2697" s="4">
        <v>21</v>
      </c>
    </row>
    <row r="2698">
      <c r="A2698" s="5">
        <f>HYPERLINK("https://app-web.statementrec.com/app#appuploadfiles/3a1efd3e-2eea-7970-feb3-0eb59267ce88","T008A - Tab Ivestments LLP")</f>
      </c>
      <c r="B2698" s="3" t="s">
        <v>17</v>
      </c>
      <c r="C2698" s="4">
        <v>34</v>
      </c>
    </row>
    <row r="2699">
      <c r="A2699" s="5">
        <f>HYPERLINK("https://app-web.statementrec.com/app#appuploadfiles/3a1efd89-d541-8327-6a20-a0fa8b9e248b","Albertina Sisulu Multi Purpose Centre")</f>
      </c>
      <c r="B2699" s="3" t="s">
        <v>80</v>
      </c>
      <c r="C2699" s="4">
        <v>3</v>
      </c>
    </row>
    <row r="2700">
      <c r="A2700" s="5">
        <f>HYPERLINK("https://app-web.statementrec.com/app#appuploadfiles/3a1f065e-3804-73ab-638f-b6b351f03c11","Cornerstone Care (NW) Limited")</f>
      </c>
      <c r="B2700" s="3" t="s">
        <v>29</v>
      </c>
      <c r="C2700" s="4">
        <v>2</v>
      </c>
    </row>
    <row r="2701">
      <c r="A2701" s="5">
        <f>HYPERLINK("https://app-web.statementrec.com/app#appuploadfiles/3a1f095c-b604-abaa-b6ee-3efebf54355a","Sula Clinic Ltd")</f>
      </c>
      <c r="B2701" s="3" t="s">
        <v>563</v>
      </c>
      <c r="C2701" s="4">
        <v>15</v>
      </c>
    </row>
    <row r="2702">
      <c r="A2702" s="5">
        <f>HYPERLINK("https://app-web.statementrec.com/app#appuploadfiles/3a1f0bb9-7e32-356a-1bbb-7deb90bb6a1f","Hadleigh Hats Ltd")</f>
      </c>
      <c r="B2702" s="3" t="s">
        <v>158</v>
      </c>
      <c r="C2702" s="4">
        <v>6</v>
      </c>
    </row>
    <row r="2703">
      <c r="A2703" s="5">
        <f>HYPERLINK("https://app-web.statementrec.com/app#appuploadfiles/3a1f0bfd-c549-58fc-09c5-28c7f182cbec","Raves Trucking")</f>
      </c>
      <c r="B2703" s="3" t="s">
        <v>118</v>
      </c>
      <c r="C2703" s="4">
        <v>12</v>
      </c>
    </row>
    <row r="2704">
      <c r="A2704" s="5">
        <f>HYPERLINK("https://app-web.statementrec.com/app#appuploadfiles/3a1f0eb0-6017-226d-9fd6-3c86044ed1b4","CONTINUUM MEDICAL CENTRE")</f>
      </c>
      <c r="B2704" s="3" t="s">
        <v>564</v>
      </c>
      <c r="C2704" s="4">
        <v>32</v>
      </c>
    </row>
    <row r="2705">
      <c r="A2705" s="5">
        <f>HYPERLINK("https://app-web.statementrec.com/app#appuploadfiles/3a1f0eb6-c189-37ba-67eb-891e4483b186","Valmar Bakery")</f>
      </c>
      <c r="B2705" s="3" t="s">
        <v>47</v>
      </c>
      <c r="C2705" s="4">
        <v>26</v>
      </c>
    </row>
    <row r="2706">
      <c r="A2706" s="5">
        <f>HYPERLINK("https://app-web.statementrec.com/app#appuploadfiles/3a1f11b1-27fe-f89a-b181-1e9f86bd6f58","A.M. Innovation Limited")</f>
      </c>
      <c r="B2706" s="3" t="s">
        <v>17</v>
      </c>
      <c r="C2706" s="4">
        <v>4</v>
      </c>
    </row>
    <row r="2707">
      <c r="A2707" s="5">
        <f>HYPERLINK("https://app-web.statementrec.com/app#appuploadfiles/3a1f1289-27e2-e245-3f1b-478ca64ebbad","Prime Structures Ltd")</f>
      </c>
      <c r="B2707" s="3" t="s">
        <v>11</v>
      </c>
      <c r="C2707" s="4">
        <v>5</v>
      </c>
    </row>
    <row r="2708">
      <c r="A2708" s="5">
        <f>HYPERLINK("https://app-web.statementrec.com/app#appuploadfiles/3a1f1342-0e54-2547-bf0a-0c39be3f2137","Pizzahut Taniata")</f>
      </c>
      <c r="B2708" s="3" t="s">
        <v>47</v>
      </c>
      <c r="C2708" s="4">
        <v>4</v>
      </c>
    </row>
    <row r="2709">
      <c r="A2709" s="5">
        <f>HYPERLINK("https://app-web.statementrec.com/app#appuploadfiles/3a1f1369-89bf-8a84-2d39-61df53a6dbd2","MCKEW ELECTRICAL MAINTENANCE LTD")</f>
      </c>
      <c r="B2709" s="3" t="s">
        <v>17</v>
      </c>
      <c r="C2709" s="4">
        <v>11</v>
      </c>
    </row>
    <row r="2710">
      <c r="A2710" s="5">
        <f>HYPERLINK("https://app-web.statementrec.com/app#appuploadfiles/3a1f1650-9b1e-6599-34ce-49d9c4dc342d","Nelworx")</f>
      </c>
      <c r="B2710" s="3" t="s">
        <v>118</v>
      </c>
      <c r="C2710" s="4">
        <v>322</v>
      </c>
    </row>
    <row r="2711">
      <c r="A2711" s="5">
        <f>HYPERLINK("https://app-web.statementrec.com/app#appuploadfiles/3a1f1666-31bb-9bee-623c-e93a9dc58372","Consulting")</f>
      </c>
      <c r="B2711" s="3" t="s">
        <v>80</v>
      </c>
      <c r="C2711" s="4">
        <v>21</v>
      </c>
    </row>
    <row r="2712">
      <c r="A2712" s="5">
        <f>HYPERLINK("https://app-web.statementrec.com/app#appuploadfiles/3a1f17e0-4611-28c2-41dc-89f069a187f6","Construction FJ23 inc.")</f>
      </c>
      <c r="B2712" s="3" t="s">
        <v>47</v>
      </c>
      <c r="C2712" s="4">
        <v>3</v>
      </c>
    </row>
    <row r="2713">
      <c r="A2713" s="5">
        <f>HYPERLINK("https://app-web.statementrec.com/app#appuploadfiles/3a1f17f7-65b9-71a8-ee9c-7a9b26dbf533","Studio Smith Architecture Ltd")</f>
      </c>
      <c r="B2713" s="3" t="s">
        <v>17</v>
      </c>
      <c r="C2713" s="4">
        <v>48</v>
      </c>
    </row>
    <row r="2714">
      <c r="A2714" s="5">
        <f>HYPERLINK("https://app-web.statementrec.com/app#appuploadfiles/3a1f1b61-4ff6-4d03-9274-62bb77e7b5b9","CYPHERE")</f>
      </c>
      <c r="B2714" s="3" t="s">
        <v>168</v>
      </c>
      <c r="C2714" s="4">
        <v>7</v>
      </c>
    </row>
    <row r="2715">
      <c r="A2715" s="5">
        <f>HYPERLINK("https://app-web.statementrec.com/app#appuploadfiles/3a1f1b74-dcb1-6a6a-ac5f-c63cd19ad00e","Cim Berishaj")</f>
      </c>
      <c r="B2715" s="3" t="s">
        <v>26</v>
      </c>
      <c r="C2715" s="4">
        <v>4</v>
      </c>
    </row>
    <row r="2716">
      <c r="A2716" s="5">
        <f>HYPERLINK("https://app-web.statementrec.com/app#appuploadfiles/3a1f1c05-1e0e-c0bf-3bb8-1f7ad2234946","Manzors Pub")</f>
      </c>
      <c r="B2716" s="3" t="s">
        <v>10</v>
      </c>
      <c r="C2716" s="4">
        <v>11</v>
      </c>
    </row>
    <row r="2717">
      <c r="A2717" s="5">
        <f>HYPERLINK("https://app-web.statementrec.com/app#appuploadfiles/3a1f1c96-3f6f-9240-cd57-6810d74c16da","The Guild Cafe Ltd")</f>
      </c>
      <c r="B2717" s="3" t="s">
        <v>3</v>
      </c>
      <c r="C2717" s="4">
        <v>7</v>
      </c>
    </row>
    <row r="2718">
      <c r="A2718" s="5">
        <f>HYPERLINK("https://app-web.statementrec.com/app#appuploadfiles/3a1f20c3-4726-14e5-e166-e714d81c8cfc","JOHN RUSH")</f>
      </c>
      <c r="B2718" s="3" t="s">
        <v>19</v>
      </c>
      <c r="C2718" s="4">
        <v>4</v>
      </c>
    </row>
    <row r="2719">
      <c r="A2719" s="5">
        <f>HYPERLINK("https://app-web.statementrec.com/app#appuploadfiles/3a1f214d-c077-3fca-01d8-89eb14a480d0","Jakub 2025")</f>
      </c>
      <c r="B2719" s="3" t="s">
        <v>11</v>
      </c>
      <c r="C2719" s="4">
        <v>10</v>
      </c>
    </row>
    <row r="2720">
      <c r="A2720" s="5">
        <f>HYPERLINK("https://app-web.statementrec.com/app#appuploadfiles/3a1f2ee1-394e-b04d-c422-cf13588ec68c","Karen Lunn Property")</f>
      </c>
      <c r="B2720" s="3" t="s">
        <v>12</v>
      </c>
      <c r="C2720" s="4">
        <v>2</v>
      </c>
    </row>
    <row r="2721">
      <c r="A2721" s="5">
        <f>HYPERLINK("https://app-web.statementrec.com/app#appuploadfiles/3a1f2faa-e359-4cb0-fb1e-ebbfb9812267","Holmes family farms")</f>
      </c>
      <c r="B2721" s="3" t="s">
        <v>565</v>
      </c>
      <c r="C2721" s="4">
        <v>9</v>
      </c>
    </row>
    <row r="2722">
      <c r="A2722" s="5">
        <f>HYPERLINK("https://app-web.statementrec.com/app#appuploadfiles/3a1f3083-b69a-ff86-4fc9-a17cc2fe45c6","OAK Consulting Services")</f>
      </c>
      <c r="B2722" s="3" t="s">
        <v>118</v>
      </c>
      <c r="C2722" s="4">
        <v>59</v>
      </c>
    </row>
    <row r="2723">
      <c r="A2723" s="5">
        <f>HYPERLINK("https://app-web.statementrec.com/app#appuploadfiles/3a1f310a-cd67-5918-59e0-c40c2e0dab01","Blackwater Tech Ltd")</f>
      </c>
      <c r="B2723" s="3" t="s">
        <v>43</v>
      </c>
      <c r="C2723" s="4">
        <v>5</v>
      </c>
    </row>
    <row r="2724">
      <c r="A2724" s="5">
        <f>HYPERLINK("https://app-web.statementrec.com/app#appuploadfiles/3a1f3138-cc61-4b3d-791b-f01f6c5a11f8","Star Player Mentoring")</f>
      </c>
      <c r="B2724" s="3" t="s">
        <v>11</v>
      </c>
      <c r="C2724" s="4">
        <v>19</v>
      </c>
    </row>
    <row r="2725">
      <c r="A2725" s="5">
        <f>HYPERLINK("https://app-web.statementrec.com/app#appuploadfiles/3a1f3440-e48f-94cd-793c-d658a8c6e7c9","RBL Credit Cards - 2026")</f>
      </c>
      <c r="B2725" s="3" t="s">
        <v>566</v>
      </c>
      <c r="C2725" s="4">
        <v>4</v>
      </c>
    </row>
    <row r="2726">
      <c r="A2726" s="5">
        <f>HYPERLINK("https://app-web.statementrec.com/app#appuploadfiles/3a1f361e-ac8a-1ecd-6012-b7f198d1eb8a","Mark Linton")</f>
      </c>
      <c r="B2726" s="3" t="s">
        <v>567</v>
      </c>
      <c r="C2726" s="4">
        <v>1</v>
      </c>
    </row>
    <row r="2727">
      <c r="A2727" s="5">
        <f>HYPERLINK("https://app-web.statementrec.com/app#appuploadfiles/3a1f366f-9289-7700-0fe8-f2b9a111b084","Pro Tech Tyres Ltd")</f>
      </c>
      <c r="B2727" s="3" t="s">
        <v>168</v>
      </c>
      <c r="C2727" s="4">
        <v>75</v>
      </c>
    </row>
    <row r="2728">
      <c r="A2728" s="5">
        <f>HYPERLINK("https://app-web.statementrec.com/app#appuploadfiles/3a1f3a41-0590-668e-aff5-219199d5de7c","2026")</f>
      </c>
      <c r="B2728" s="3" t="s">
        <v>31</v>
      </c>
      <c r="C2728" s="4">
        <v>2</v>
      </c>
    </row>
    <row r="2729">
      <c r="A2729" s="5">
        <f>HYPERLINK("https://app-web.statementrec.com/app#appuploadfiles/3a1f3cc4-a2a9-5e85-2dad-109304546570","Mahlangu &amp; Sokhanyile Attorneys Inc.")</f>
      </c>
      <c r="B2729" s="3" t="s">
        <v>118</v>
      </c>
      <c r="C2729" s="4">
        <v>11</v>
      </c>
    </row>
    <row r="2730">
      <c r="A2730" s="5">
        <f>HYPERLINK("https://app-web.statementrec.com/app#appuploadfiles/3a1f407b-005c-2746-571a-a7c208cb102e","Celeste Touring LLP")</f>
      </c>
      <c r="B2730" s="3" t="s">
        <v>568</v>
      </c>
      <c r="C2730" s="4">
        <v>9</v>
      </c>
    </row>
    <row r="2731">
      <c r="A2731" s="5">
        <f>HYPERLINK("https://app-web.statementrec.com/app#appuploadfiles/3a1f40de-9d93-5c81-02c5-1b0763dba62e","Wonderverse")</f>
      </c>
      <c r="B2731" s="3" t="s">
        <v>17</v>
      </c>
      <c r="C2731" s="4">
        <v>3</v>
      </c>
    </row>
    <row r="2732">
      <c r="A2732" s="5">
        <f>HYPERLINK("https://app-web.statementrec.com/app#appuploadfiles/3a1f4150-3d78-34ed-8d0c-b3b09a5b0159","AHB GROUP LIMITED")</f>
      </c>
      <c r="B2732" s="3" t="s">
        <v>3</v>
      </c>
      <c r="C2732" s="4">
        <v>6</v>
      </c>
    </row>
    <row r="2733">
      <c r="A2733" s="5">
        <f>HYPERLINK("https://app-web.statementrec.com/app#appuploadfiles/3a1f4490-d43f-fee4-5f49-85f85f7f5cdb","ABSA 4570-2300-6299-0010")</f>
      </c>
      <c r="B2733" s="3" t="s">
        <v>38</v>
      </c>
      <c r="C2733" s="4">
        <v>2</v>
      </c>
    </row>
    <row r="2734">
      <c r="A2734" s="5">
        <f>HYPERLINK("https://app-web.statementrec.com/app#appuploadfiles/3a1f4491-1226-0abb-183e-04cf8a7e8bee","ABSA 4570-2300-6299-3022")</f>
      </c>
      <c r="B2734" s="3" t="s">
        <v>38</v>
      </c>
      <c r="C2734" s="4">
        <v>2</v>
      </c>
    </row>
    <row r="2735">
      <c r="A2735" s="5">
        <f>HYPERLINK("https://app-web.statementrec.com/app#appuploadfiles/3a1f4491-4fed-7418-b5c5-1c160da43682","ABSA 4570-2300-6299-5035")</f>
      </c>
      <c r="B2735" s="3" t="s">
        <v>38</v>
      </c>
      <c r="C2735" s="4">
        <v>3</v>
      </c>
    </row>
    <row r="2736">
      <c r="A2736" s="5">
        <f>HYPERLINK("https://app-web.statementrec.com/app#appuploadfiles/3a1f4491-86de-4079-8c61-88b5cf5c6b52","ABSA 4570-2300-6299-1018")</f>
      </c>
      <c r="B2736" s="3" t="s">
        <v>38</v>
      </c>
      <c r="C2736" s="4">
        <v>2</v>
      </c>
    </row>
    <row r="2737">
      <c r="A2737" s="5">
        <f>HYPERLINK("https://app-web.statementrec.com/app#appuploadfiles/3a1f44d2-e39c-c61b-8898-b6b5c0393036","MR D W Mills")</f>
      </c>
      <c r="B2737" s="3" t="s">
        <v>18</v>
      </c>
      <c r="C2737" s="4">
        <v>15</v>
      </c>
    </row>
    <row r="2738">
      <c r="A2738" s="5">
        <f>HYPERLINK("https://app-web.statementrec.com/app#appuploadfiles/3a1f4a64-bc76-655a-5e33-804a38ba12cb","John Regan")</f>
      </c>
      <c r="B2738" s="3" t="s">
        <v>3</v>
      </c>
      <c r="C2738" s="4">
        <v>32</v>
      </c>
    </row>
    <row r="2739">
      <c r="A2739" s="5">
        <f>HYPERLINK("https://app-web.statementrec.com/app#appuploadfiles/3a1f533b-1bed-8968-e6ea-edc00b77c1f6","ABSA 4570-2300-6514-7022")</f>
      </c>
      <c r="B2739" s="3" t="s">
        <v>569</v>
      </c>
      <c r="C2739" s="4">
        <v>3</v>
      </c>
    </row>
    <row r="2740">
      <c r="A2740" s="5">
        <f>HYPERLINK("https://app-web.statementrec.com/app#appuploadfiles/3a1f53bf-eac9-898f-b79b-ec0fc93c3c90","GKA Capital (Pty) Ltd")</f>
      </c>
      <c r="B2740" s="3" t="s">
        <v>342</v>
      </c>
      <c r="C2740" s="4">
        <v>2</v>
      </c>
    </row>
    <row r="2741">
      <c r="A2741" s="5">
        <f>HYPERLINK("https://app-web.statementrec.com/app#appuploadfiles/3a1f5400-4a96-01a6-3ee2-8a2193af5777","Plasti-Sol Ltd")</f>
      </c>
      <c r="B2741" s="3" t="s">
        <v>43</v>
      </c>
      <c r="C2741" s="4">
        <v>5</v>
      </c>
    </row>
    <row r="2742">
      <c r="A2742" s="5">
        <f>HYPERLINK("https://app-web.statementrec.com/app#appuploadfiles/3a1f5419-68b5-1157-81cb-1632cf10fb35","Melfyn Evans")</f>
      </c>
      <c r="B2742" s="3" t="s">
        <v>12</v>
      </c>
      <c r="C2742" s="4">
        <v>6</v>
      </c>
    </row>
    <row r="2743">
      <c r="A2743" s="5">
        <f>HYPERLINK("https://app-web.statementrec.com/app#appuploadfiles/3a1f5477-f01b-c12b-f27b-e1e16daa8b7b","YVES ET GILLES")</f>
      </c>
      <c r="B2743" s="3" t="s">
        <v>40</v>
      </c>
      <c r="C2743" s="4">
        <v>7</v>
      </c>
    </row>
    <row r="2744">
      <c r="A2744" s="5">
        <f>HYPERLINK("https://app-web.statementrec.com/app#appuploadfiles/3a1f5479-3a75-b7c9-7bdb-0637c2bc20c7","Y COIFFURE PARIS")</f>
      </c>
      <c r="B2744" s="3" t="s">
        <v>47</v>
      </c>
      <c r="C2744" s="4">
        <v>10</v>
      </c>
    </row>
    <row r="2745">
      <c r="A2745" s="5">
        <f>HYPERLINK("https://app-web.statementrec.com/app#appuploadfiles/3a1f547a-a027-72a8-c1b0-9ba466afe953","YVES ET JACQUES")</f>
      </c>
      <c r="B2745" s="3" t="s">
        <v>56</v>
      </c>
      <c r="C2745" s="4">
        <v>2</v>
      </c>
    </row>
    <row r="2746">
      <c r="A2746" s="5">
        <f>HYPERLINK("https://app-web.statementrec.com/app#appuploadfiles/3a1f547f-42f7-a761-f017-4acb2bc77b01","RBL TTD 2026")</f>
      </c>
      <c r="B2746" s="3" t="s">
        <v>13</v>
      </c>
      <c r="C2746" s="4">
        <v>9</v>
      </c>
    </row>
    <row r="2747">
      <c r="A2747" s="5">
        <f>HYPERLINK("https://app-web.statementrec.com/app#appuploadfiles/3a1f54a4-2661-8d2f-2721-fa7e5a6bf5c9","Cierti Ltd")</f>
      </c>
      <c r="B2747" s="3" t="s">
        <v>190</v>
      </c>
      <c r="C2747" s="4">
        <v>6</v>
      </c>
    </row>
    <row r="2748">
      <c r="A2748" s="5">
        <f>HYPERLINK("https://app-web.statementrec.com/app#appuploadfiles/3a1f54a6-6766-9560-aef4-37cced35cb70","Matosse Holdings")</f>
      </c>
      <c r="B2748" s="3" t="s">
        <v>118</v>
      </c>
      <c r="C2748" s="4">
        <v>51</v>
      </c>
    </row>
    <row r="2749">
      <c r="A2749" s="5">
        <f>HYPERLINK("https://app-web.statementrec.com/app#appuploadfiles/3a1f5517-c9eb-7e6f-a2ae-322b075ad744","Clothes for Little People")</f>
      </c>
      <c r="B2749" s="3" t="s">
        <v>17</v>
      </c>
      <c r="C2749" s="4">
        <v>8</v>
      </c>
    </row>
    <row r="2750">
      <c r="A2750" s="5">
        <f>HYPERLINK("https://app-web.statementrec.com/app#appuploadfiles/3a1f555c-d7fb-e25b-158a-e68b575059de","Novembre 2025")</f>
      </c>
      <c r="B2750" s="3" t="s">
        <v>158</v>
      </c>
      <c r="C2750" s="4">
        <v>1</v>
      </c>
    </row>
    <row r="2751">
      <c r="A2751" s="5">
        <f>HYPERLINK("https://app-web.statementrec.com/app#appuploadfiles/3a1f5567-fe11-53af-c65e-6a80f2b49275","N&amp;N Parkash Group Ltd")</f>
      </c>
      <c r="B2751" s="3" t="s">
        <v>52</v>
      </c>
      <c r="C2751" s="4">
        <v>2</v>
      </c>
    </row>
    <row r="2752">
      <c r="A2752" s="5">
        <f>HYPERLINK("https://app-web.statementrec.com/app#appuploadfiles/3a1f5617-2f96-0443-b95f-118618a3c6c8","Jean Philippe Loiselle Inc.")</f>
      </c>
      <c r="B2752" s="3" t="s">
        <v>46</v>
      </c>
      <c r="C2752" s="4">
        <v>10</v>
      </c>
    </row>
    <row r="2753">
      <c r="A2753" s="5">
        <f>HYPERLINK("https://app-web.statementrec.com/app#appuploadfiles/3a1f5691-723b-fe63-8d45-6ec73aa5e0cf","VetEquip Ltd")</f>
      </c>
      <c r="B2753" s="3" t="s">
        <v>47</v>
      </c>
      <c r="C2753" s="4">
        <v>5</v>
      </c>
    </row>
    <row r="2754">
      <c r="A2754" s="5">
        <f>HYPERLINK("https://app-web.statementrec.com/app#appuploadfiles/3a1f58e7-4f65-9f30-c696-3d9e751bca36","J &amp; J Meals")</f>
      </c>
      <c r="B2754" s="3" t="s">
        <v>12</v>
      </c>
      <c r="C2754" s="4">
        <v>3</v>
      </c>
    </row>
    <row r="2755">
      <c r="A2755" s="5">
        <f>HYPERLINK("https://app-web.statementrec.com/app#appuploadfiles/3a1f5a12-62f3-41b3-a745-6bc4aa0e31f7","aed Jan26")</f>
      </c>
      <c r="B2755" s="3" t="s">
        <v>570</v>
      </c>
      <c r="C2755" s="4">
        <v>5</v>
      </c>
    </row>
    <row r="2756">
      <c r="A2756" s="5">
        <f>HYPERLINK("https://app-web.statementrec.com/app#appuploadfiles/3a1f5a5b-98e2-391b-94eb-11d2cc44cb39","RSP Lincoln Ltd")</f>
      </c>
      <c r="B2756" s="3" t="s">
        <v>17</v>
      </c>
      <c r="C2756" s="4">
        <v>3</v>
      </c>
    </row>
    <row r="2757">
      <c r="A2757" s="5">
        <f>HYPERLINK("https://app-web.statementrec.com/app#appuploadfiles/3a1f5a84-2d88-79b6-7372-7f3463aac919","Viclaire - Dubois")</f>
      </c>
      <c r="B2757" s="3" t="s">
        <v>17</v>
      </c>
      <c r="C2757" s="4">
        <v>9</v>
      </c>
    </row>
    <row r="2758">
      <c r="A2758" s="5">
        <f>HYPERLINK("https://app-web.statementrec.com/app#appuploadfiles/3a1f5b9b-f7de-d312-2c8d-fb76e62c878d","Scott")</f>
      </c>
      <c r="B2758" s="3" t="s">
        <v>56</v>
      </c>
      <c r="C2758" s="4">
        <v>5</v>
      </c>
    </row>
    <row r="2759">
      <c r="A2759" s="5">
        <f>HYPERLINK("https://app-web.statementrec.com/app#appuploadfiles/3a1f5e97-f5c4-29b8-cc26-59773a800f17","SJ ALFORTVILLE")</f>
      </c>
      <c r="B2759" s="3" t="s">
        <v>558</v>
      </c>
      <c r="C2759" s="4">
        <v>6</v>
      </c>
    </row>
    <row r="2760">
      <c r="A2760" s="5">
        <f>HYPERLINK("https://app-web.statementrec.com/app#appuploadfiles/3a1f5e9b-a499-a33b-7fdf-2c66632d16cd","E0229 - Enthuse Coaching And Training")</f>
      </c>
      <c r="B2760" s="3" t="s">
        <v>15</v>
      </c>
      <c r="C2760" s="4">
        <v>5</v>
      </c>
    </row>
    <row r="2761">
      <c r="A2761" s="5">
        <f>HYPERLINK("https://app-web.statementrec.com/app#appuploadfiles/3a1f5ea4-41c2-bc32-85f4-24d628e3be1d","SJ OPTIMUM")</f>
      </c>
      <c r="B2761" s="3" t="s">
        <v>571</v>
      </c>
      <c r="C2761" s="4">
        <v>31</v>
      </c>
    </row>
    <row r="2762">
      <c r="A2762" s="5">
        <f>HYPERLINK("https://app-web.statementrec.com/app#appuploadfiles/3a1f5f2c-e4a0-786a-d164-422a5911df57","2026")</f>
      </c>
      <c r="B2762" s="3" t="s">
        <v>15</v>
      </c>
      <c r="C2762" s="4">
        <v>15</v>
      </c>
    </row>
    <row r="2763">
      <c r="A2763" s="5">
        <f>HYPERLINK("https://app-web.statementrec.com/app#appuploadfiles/3a1f5f5c-34c3-1e14-5312-77008ff6f2c3","Reese Services LLC")</f>
      </c>
      <c r="B2763" s="3" t="s">
        <v>12</v>
      </c>
      <c r="C2763" s="4">
        <v>6</v>
      </c>
    </row>
    <row r="2764">
      <c r="A2764" s="5">
        <f>HYPERLINK("https://app-web.statementrec.com/app#appuploadfiles/3a1f5f77-ad87-f58f-1536-57479380c9ed","Josh Langtry Construction Ltd")</f>
      </c>
      <c r="B2764" s="3" t="s">
        <v>344</v>
      </c>
      <c r="C2764" s="4">
        <v>2</v>
      </c>
    </row>
    <row r="2765">
      <c r="A2765" s="5">
        <f>HYPERLINK("https://app-web.statementrec.com/app#appuploadfiles/3a1f63c2-71c3-8f61-b9c8-1ecedb8c3d86","SJ BRIE")</f>
      </c>
      <c r="B2765" s="3" t="s">
        <v>47</v>
      </c>
      <c r="C2765" s="4">
        <v>12</v>
      </c>
    </row>
    <row r="2766">
      <c r="A2766" s="5">
        <f>HYPERLINK("https://app-web.statementrec.com/app#appuploadfiles/3a1f6492-fb2c-7f74-ecb4-3711a4b7e887","Aho Capital LLC")</f>
      </c>
      <c r="B2766" s="3" t="s">
        <v>124</v>
      </c>
      <c r="C2766" s="4">
        <v>3</v>
      </c>
    </row>
    <row r="2767">
      <c r="A2767" s="5">
        <f>HYPERLINK("https://app-web.statementrec.com/app#appuploadfiles/3a1f64d6-c5d4-14ae-64b8-34d366cfb384","Global Travel Worldwide (Wrexham) Ltd")</f>
      </c>
      <c r="B2767" s="3" t="s">
        <v>11</v>
      </c>
      <c r="C2767" s="4">
        <v>21</v>
      </c>
    </row>
    <row r="2768">
      <c r="A2768" s="5">
        <f>HYPERLINK("https://app-web.statementrec.com/app#appuploadfiles/3a1f6614-509f-2a2e-a8d1-a438f3e39eef","2603911")</f>
      </c>
      <c r="B2768" s="3" t="s">
        <v>572</v>
      </c>
      <c r="C2768" s="4">
        <v>20</v>
      </c>
    </row>
    <row r="2769">
      <c r="A2769" s="5">
        <f>HYPERLINK("https://app-web.statementrec.com/app#appuploadfiles/3a1f6938-dd7e-db72-fa83-7c81b1b79a73","ORPI EST PARISIEN")</f>
      </c>
      <c r="B2769" s="3" t="s">
        <v>40</v>
      </c>
      <c r="C2769" s="4">
        <v>3</v>
      </c>
    </row>
    <row r="2770">
      <c r="A2770" s="5">
        <f>HYPERLINK("https://app-web.statementrec.com/app#appuploadfiles/3a1f6962-5df8-4b2b-8a5c-003bae6fc1e8","AUDIOVISUEL ASSISTANCE &amp; SERVICE")</f>
      </c>
      <c r="B2770" s="3" t="s">
        <v>573</v>
      </c>
      <c r="C2770" s="4">
        <v>10</v>
      </c>
    </row>
    <row r="2771">
      <c r="A2771" s="5">
        <f>HYPERLINK("https://app-web.statementrec.com/app#appuploadfiles/3a1f747e-2ef8-e953-a814-dd392a3d6d0d","Riley Home Group Ltd")</f>
      </c>
      <c r="B2771" s="3" t="s">
        <v>185</v>
      </c>
      <c r="C2771" s="4">
        <v>2</v>
      </c>
    </row>
    <row r="2772">
      <c r="A2772" s="5">
        <f>HYPERLINK("https://app-web.statementrec.com/app#appuploadfiles/3a1f7935-cd0f-2556-017d-37786a24513c","JEAN CLAUDE")</f>
      </c>
      <c r="B2772" s="3" t="s">
        <v>47</v>
      </c>
      <c r="C2772" s="4">
        <v>5</v>
      </c>
    </row>
    <row r="2773">
      <c r="A2773" s="5">
        <f>HYPERLINK("https://app-web.statementrec.com/app#appuploadfiles/3a1f7974-fb97-dcc4-81de-b0287b21543b","Thomas McCauley")</f>
      </c>
      <c r="B2773" s="3" t="s">
        <v>12</v>
      </c>
      <c r="C2773" s="4">
        <v>38</v>
      </c>
    </row>
    <row r="2774">
      <c r="A2774" s="5">
        <f>HYPERLINK("https://app-web.statementrec.com/app#appuploadfiles/3a1f7b27-7c92-d376-e57e-b6061d12e9da","Chocolat Favoris Barrhaven")</f>
      </c>
      <c r="B2774" s="3" t="s">
        <v>56</v>
      </c>
      <c r="C2774" s="4">
        <v>5</v>
      </c>
    </row>
    <row r="2775">
      <c r="A2775" s="5">
        <f>HYPERLINK("https://app-web.statementrec.com/app#appuploadfiles/3a1f7bf8-2321-cbfd-5e28-88758ab2c1d6","Peter Citroni")</f>
      </c>
      <c r="B2775" s="3" t="s">
        <v>17</v>
      </c>
      <c r="C2775" s="4">
        <v>16</v>
      </c>
    </row>
    <row r="2776">
      <c r="A2776" s="5">
        <f>HYPERLINK("https://app-web.statementrec.com/app#appuploadfiles/3a1f7dd5-2866-2e81-5a4a-01d6ac725885","STRIDES CHILDCARE SERVICES LTD")</f>
      </c>
      <c r="B2776" s="3" t="s">
        <v>17</v>
      </c>
      <c r="C2776" s="4">
        <v>4</v>
      </c>
    </row>
    <row r="2777">
      <c r="A2777" s="5">
        <f>HYPERLINK("https://app-web.statementrec.com/app#appuploadfiles/3a1f7e22-43ac-152f-45f7-12d8b45a7339","GNDT")</f>
      </c>
      <c r="B2777" s="3" t="s">
        <v>47</v>
      </c>
      <c r="C2777" s="4">
        <v>2</v>
      </c>
    </row>
    <row r="2778">
      <c r="A2778" s="5">
        <f>HYPERLINK("https://app-web.statementrec.com/app#appuploadfiles/3a1f7e42-6320-640d-f00d-88e19d87e862","2026")</f>
      </c>
      <c r="B2778" s="3" t="s">
        <v>40</v>
      </c>
      <c r="C2778" s="4">
        <v>4</v>
      </c>
    </row>
    <row r="2779">
      <c r="A2779" s="5">
        <f>HYPERLINK("https://app-web.statementrec.com/app#appuploadfiles/3a1f7f79-fa90-f28b-4a89-d12be9a5aef2","Gobystone Corporation")</f>
      </c>
      <c r="B2779" s="3" t="s">
        <v>10</v>
      </c>
      <c r="C2779" s="4">
        <v>3</v>
      </c>
    </row>
    <row r="2780">
      <c r="A2780" s="5">
        <f>HYPERLINK("https://app-web.statementrec.com/app#appuploadfiles/3a1f8266-7ef5-9c91-0941-552894a5b41f","Heathrow Trading Pty Ltd")</f>
      </c>
      <c r="B2780" s="3" t="s">
        <v>118</v>
      </c>
      <c r="C2780" s="4">
        <v>44</v>
      </c>
    </row>
    <row r="2781">
      <c r="A2781" s="5">
        <f>HYPERLINK("https://app-web.statementrec.com/app#appuploadfiles/3a1f8352-9b66-eb24-d8cc-0ab49a4a6e5e","STUDIO MIEL INC")</f>
      </c>
      <c r="B2781" s="3" t="s">
        <v>574</v>
      </c>
      <c r="C2781" s="4">
        <v>26</v>
      </c>
    </row>
    <row r="2782">
      <c r="A2782" s="5">
        <f>HYPERLINK("https://app-web.statementrec.com/app#appuploadfiles/3a1f83ec-069b-7d98-2562-7c8b8173a58a","NANDO AUTO REPAIR LLC")</f>
      </c>
      <c r="B2782" s="3" t="s">
        <v>15</v>
      </c>
      <c r="C2782" s="4">
        <v>8</v>
      </c>
    </row>
    <row r="2783">
      <c r="A2783" s="5">
        <f>HYPERLINK("https://app-web.statementrec.com/app#appuploadfiles/3a1f8447-2124-1baa-42d7-d2b1a3170011","2745727 Ontario Inc. Rivet, Sylvain")</f>
      </c>
      <c r="B2783" s="3" t="s">
        <v>158</v>
      </c>
      <c r="C2783" s="4">
        <v>2</v>
      </c>
    </row>
    <row r="2784">
      <c r="A2784" s="5">
        <f>HYPERLINK("https://app-web.statementrec.com/app#appuploadfiles/3a1f8763-644e-3d4e-4ffd-dd1d8139cda1","Catherine Gaughan")</f>
      </c>
      <c r="B2784" s="3" t="s">
        <v>12</v>
      </c>
      <c r="C2784" s="4">
        <v>14</v>
      </c>
    </row>
    <row r="2785">
      <c r="A2785" s="5">
        <f>HYPERLINK("https://app-web.statementrec.com/app#appuploadfiles/3a1f8765-19f2-d74a-31eb-88bf746b869c","SJ PLESSIS")</f>
      </c>
      <c r="B2785" s="3" t="s">
        <v>47</v>
      </c>
      <c r="C2785" s="4">
        <v>26</v>
      </c>
    </row>
    <row r="2786">
      <c r="A2786" s="5">
        <f>HYPERLINK("https://app-web.statementrec.com/app#appuploadfiles/3a1f87c5-6312-9d9c-58fb-c349510e6602","GDCG")</f>
      </c>
      <c r="B2786" s="3" t="s">
        <v>123</v>
      </c>
      <c r="C2786" s="4">
        <v>2</v>
      </c>
    </row>
    <row r="2787">
      <c r="A2787" s="5">
        <f>HYPERLINK("https://app-web.statementrec.com/app#appuploadfiles/3a1f8c9b-05d6-e52a-42f8-5e14ffd474ad","REVOLUT BUSINESS")</f>
      </c>
      <c r="B2787" s="3" t="s">
        <v>26</v>
      </c>
      <c r="C2787" s="4">
        <v>4</v>
      </c>
    </row>
    <row r="2788">
      <c r="A2788" s="5">
        <f>HYPERLINK("https://app-web.statementrec.com/app#appuploadfiles/3a1f8ceb-1a84-3902-61f3-949456ad95a5","NERAMS Ltd_2001453-103")</f>
      </c>
      <c r="B2788" s="3" t="s">
        <v>15</v>
      </c>
      <c r="C2788" s="4">
        <v>6</v>
      </c>
    </row>
    <row r="2789">
      <c r="A2789" s="5">
        <f>HYPERLINK("https://app-web.statementrec.com/app#appuploadfiles/3a1f8cf0-11e0-1c2e-b58f-5323bb27239d","Greenans Products Ltd")</f>
      </c>
      <c r="B2789" s="3" t="s">
        <v>11</v>
      </c>
      <c r="C2789" s="4">
        <v>16</v>
      </c>
    </row>
    <row r="2790">
      <c r="A2790" s="5">
        <f>HYPERLINK("https://app-web.statementrec.com/app#appuploadfiles/3a1f8d06-aea6-8fc3-4f43-f817095ebaac","BRICK FILMS LIMITED")</f>
      </c>
      <c r="B2790" s="3" t="s">
        <v>575</v>
      </c>
      <c r="C2790" s="4">
        <v>17</v>
      </c>
    </row>
    <row r="2791">
      <c r="A2791" s="5">
        <f>HYPERLINK("https://app-web.statementrec.com/app#appuploadfiles/3a1f8d67-4987-e1bd-6ee3-7b323deeafb3","stockcove")</f>
      </c>
      <c r="B2791" s="3" t="s">
        <v>26</v>
      </c>
      <c r="C2791" s="4">
        <v>2</v>
      </c>
    </row>
    <row r="2792">
      <c r="A2792" s="5">
        <f>HYPERLINK("https://app-web.statementrec.com/app#appuploadfiles/3a1f8dc0-f1de-f7c9-8396-869986e4701b","SJ ROBINSON")</f>
      </c>
      <c r="B2792" s="3" t="s">
        <v>47</v>
      </c>
      <c r="C2792" s="4">
        <v>22</v>
      </c>
    </row>
    <row r="2793">
      <c r="A2793" s="5">
        <f>HYPERLINK("https://app-web.statementrec.com/app#appuploadfiles/3a1f8eab-bf2d-2463-e9f6-b3692a494234","Fourth Dimension")</f>
      </c>
      <c r="B2793" s="3" t="s">
        <v>80</v>
      </c>
      <c r="C2793" s="4">
        <v>14</v>
      </c>
    </row>
    <row r="2794">
      <c r="A2794" s="5">
        <f>HYPERLINK("https://app-web.statementrec.com/app#appuploadfiles/3a1f9923-8658-2a20-9b42-48051689f339","Chocolat Favoris Orleans")</f>
      </c>
      <c r="B2794" s="3" t="s">
        <v>447</v>
      </c>
      <c r="C2794" s="4">
        <v>6</v>
      </c>
    </row>
    <row r="2795">
      <c r="A2795" s="5">
        <f>HYPERLINK("https://app-web.statementrec.com/app#appuploadfiles/3a1f9c0e-eb0f-c2be-3517-42702d335627","Cocoon Night Club (Pty) Ltd")</f>
      </c>
      <c r="B2795" s="3" t="s">
        <v>118</v>
      </c>
      <c r="C2795" s="4">
        <v>611</v>
      </c>
    </row>
    <row r="2796">
      <c r="A2796" s="5">
        <f>HYPERLINK("https://app-web.statementrec.com/app#appuploadfiles/3a1f9c1e-0393-3efe-211a-81a93c0daaa8","2026")</f>
      </c>
      <c r="B2796" s="3" t="s">
        <v>3</v>
      </c>
      <c r="C2796" s="4">
        <v>4</v>
      </c>
    </row>
    <row r="2797">
      <c r="A2797" s="5">
        <f>HYPERLINK("https://app-web.statementrec.com/app#appuploadfiles/3a1f9c2f-a029-030e-8c5f-d02e4a570f10","Lumira Search Limited")</f>
      </c>
      <c r="B2797" s="3" t="s">
        <v>17</v>
      </c>
      <c r="C2797" s="4">
        <v>2</v>
      </c>
    </row>
    <row r="2798">
      <c r="A2798" s="5">
        <f>HYPERLINK("https://app-web.statementrec.com/app#appuploadfiles/3a1f9c63-4ed4-bba4-d8ee-cc43a194c63f","Hannah Marshall")</f>
      </c>
      <c r="B2798" s="3" t="s">
        <v>47</v>
      </c>
      <c r="C2798" s="4">
        <v>3</v>
      </c>
    </row>
    <row r="2799">
      <c r="A2799" s="5">
        <f>HYPERLINK("https://app-web.statementrec.com/app#appuploadfiles/3a1f9caf-e001-e53e-6e8e-692b9092c5f4","amex 11th august- 5th feb")</f>
      </c>
      <c r="B2799" s="3" t="s">
        <v>19</v>
      </c>
      <c r="C2799" s="4">
        <v>4</v>
      </c>
    </row>
    <row r="2800">
      <c r="A2800" s="5">
        <f>HYPERLINK("https://app-web.statementrec.com/app#appuploadfiles/3a1f9d57-aea5-4499-58b8-5189c1fe51c8","STARGIRA ADVISORS LTD")</f>
      </c>
      <c r="B2800" s="3" t="s">
        <v>43</v>
      </c>
      <c r="C2800" s="4">
        <v>3</v>
      </c>
    </row>
    <row r="2801">
      <c r="A2801" s="5">
        <f>HYPERLINK("https://app-web.statementrec.com/app#appuploadfiles/3a1f9d67-f129-eb0d-9823-88ea5b0fbb54","R H R Construction Ltd")</f>
      </c>
      <c r="B2801" s="3" t="s">
        <v>10</v>
      </c>
      <c r="C2801" s="4">
        <v>8</v>
      </c>
    </row>
    <row r="2802">
      <c r="A2802" s="5">
        <f>HYPERLINK("https://app-web.statementrec.com/app#appuploadfiles/3a1f9d9e-9ae2-d693-6550-92a3308c4c66","StockMotion inc.")</f>
      </c>
      <c r="B2802" s="3" t="s">
        <v>47</v>
      </c>
      <c r="C2802" s="4">
        <v>1</v>
      </c>
    </row>
    <row r="2803">
      <c r="A2803" s="5">
        <f>HYPERLINK("https://app-web.statementrec.com/app#appuploadfiles/3a1f9dbc-02df-04d7-0109-c3a273b94297","Wisepenny Products Limited Retirement Benefit Scheme")</f>
      </c>
      <c r="B2803" s="3" t="s">
        <v>53</v>
      </c>
      <c r="C2803" s="4">
        <v>3</v>
      </c>
    </row>
    <row r="2804">
      <c r="A2804" s="5">
        <f>HYPERLINK("https://app-web.statementrec.com/app#appuploadfiles/3a1fa148-c12c-6793-884e-298961a05d38","Main - 31440231")</f>
      </c>
      <c r="B2804" s="3" t="s">
        <v>12</v>
      </c>
      <c r="C2804" s="4">
        <v>12</v>
      </c>
    </row>
    <row r="2805">
      <c r="A2805" s="5">
        <f>HYPERLINK("https://app-web.statementrec.com/app#appuploadfiles/3a1fa167-ad0e-df3f-fd46-a308ead16090","Peleus Lettings Limited")</f>
      </c>
      <c r="B2805" s="3" t="s">
        <v>26</v>
      </c>
      <c r="C2805" s="4">
        <v>2</v>
      </c>
    </row>
    <row r="2806">
      <c r="A2806" s="5">
        <f>HYPERLINK("https://app-web.statementrec.com/app#appuploadfiles/3a1fa20b-cec7-eb0f-ab99-6009de8580af","Peleus Estates Ltd")</f>
      </c>
      <c r="B2806" s="3" t="s">
        <v>11</v>
      </c>
      <c r="C2806" s="4">
        <v>2</v>
      </c>
    </row>
    <row r="2807">
      <c r="A2807" s="5">
        <f>HYPERLINK("https://app-web.statementrec.com/app#appuploadfiles/3a1fa314-bbc3-dc16-37d0-471f6a12e3c4","Rio Grande Liquors")</f>
      </c>
      <c r="B2807" s="3" t="s">
        <v>40</v>
      </c>
      <c r="C2807" s="4">
        <v>4</v>
      </c>
    </row>
    <row r="2808">
      <c r="A2808" s="5">
        <f>HYPERLINK("https://app-web.statementrec.com/app#appuploadfiles/3a1fa616-01ae-8158-b50b-5da8f01556e5","Metasmart")</f>
      </c>
      <c r="B2808" s="3" t="s">
        <v>17</v>
      </c>
      <c r="C2808" s="4">
        <v>8</v>
      </c>
    </row>
    <row r="2809">
      <c r="A2809" s="5">
        <f>HYPERLINK("https://app-web.statementrec.com/app#appuploadfiles/3a1fa64b-89ae-0ac1-9c04-c759c9e96c3a","Panopticon Solutions Ltd yr 31.01.2026")</f>
      </c>
      <c r="B2809" s="3" t="s">
        <v>18</v>
      </c>
      <c r="C2809" s="4">
        <v>10</v>
      </c>
    </row>
    <row r="2810">
      <c r="A2810" s="5">
        <f>HYPERLINK("https://app-web.statementrec.com/app#appuploadfiles/3a1fa66d-4985-797a-bfd6-77350ed356e1","Mary Early Ltd")</f>
      </c>
      <c r="B2810" s="3" t="s">
        <v>15</v>
      </c>
      <c r="C2810" s="4">
        <v>25</v>
      </c>
    </row>
    <row r="2811">
      <c r="A2811" s="5">
        <f>HYPERLINK("https://app-web.statementrec.com/app#appuploadfiles/3a1fa66e-8ee6-a5fd-f31a-e98313e2c7cc","Cape foot surgery")</f>
      </c>
      <c r="B2811" s="3" t="s">
        <v>48</v>
      </c>
      <c r="C2811" s="4">
        <v>17</v>
      </c>
    </row>
    <row r="2812">
      <c r="A2812" s="5">
        <f>HYPERLINK("https://app-web.statementrec.com/app#appuploadfiles/3a1fa6f3-f4c6-9ee9-ebc9-aeb6a115d24b","RECIPROCAL LIMITED")</f>
      </c>
      <c r="B2812" s="3" t="s">
        <v>33</v>
      </c>
      <c r="C2812" s="4">
        <v>1</v>
      </c>
    </row>
    <row r="2813">
      <c r="A2813" s="5">
        <f>HYPERLINK("https://app-web.statementrec.com/app#appuploadfiles/3a1fa6ff-7978-deac-bae6-b71fd8ed8e12","Du Plessisfamilie Trust")</f>
      </c>
      <c r="B2813" s="3" t="s">
        <v>565</v>
      </c>
      <c r="C2813" s="4">
        <v>6</v>
      </c>
    </row>
    <row r="2814">
      <c r="A2814" s="5">
        <f>HYPERLINK("https://app-web.statementrec.com/app#appuploadfiles/3a1fa972-f014-0ae0-3e63-8e2e6549994f","EJ Neale &amp; RG Easey")</f>
      </c>
      <c r="B2814" s="3" t="s">
        <v>153</v>
      </c>
      <c r="C2814" s="4">
        <v>7</v>
      </c>
    </row>
    <row r="2815">
      <c r="A2815" s="5">
        <f>HYPERLINK("https://app-web.statementrec.com/app#appuploadfiles/3a1fab7b-d6b2-1006-f2c6-1058a7d0d56a","HA &amp; C Rowley Limited")</f>
      </c>
      <c r="B2815" s="3" t="s">
        <v>17</v>
      </c>
      <c r="C2815" s="4">
        <v>13</v>
      </c>
    </row>
    <row r="2816">
      <c r="A2816" s="5">
        <f>HYPERLINK("https://app-web.statementrec.com/app#appuploadfiles/3a1fab95-c57d-cd2e-d497-b76277ddbaf4","Lesley - Accounts Prep")</f>
      </c>
      <c r="B2816" s="3" t="s">
        <v>19</v>
      </c>
      <c r="C2816" s="4">
        <v>23</v>
      </c>
    </row>
    <row r="2817">
      <c r="A2817" s="5">
        <f>HYPERLINK("https://app-web.statementrec.com/app#appuploadfiles/3a1fabc5-a531-dd44-61c2-7998cd4f6a11","GRAVITY ESTATES LTD")</f>
      </c>
      <c r="B2817" s="3" t="s">
        <v>17</v>
      </c>
      <c r="C2817" s="4">
        <v>20</v>
      </c>
    </row>
    <row r="2818">
      <c r="A2818" s="5">
        <f>HYPERLINK("https://app-web.statementrec.com/app#appuploadfiles/3a1fac17-df69-0d96-f180-64a4a4400d39","Claire - Account prep")</f>
      </c>
      <c r="B2818" s="3" t="s">
        <v>12</v>
      </c>
      <c r="C2818" s="4">
        <v>21</v>
      </c>
    </row>
    <row r="2819">
      <c r="A2819" s="5">
        <f>HYPERLINK("https://app-web.statementrec.com/app#appuploadfiles/3a1fac31-cff2-1285-dc39-81fe04428957","Capital on TAP")</f>
      </c>
      <c r="B2819" s="3" t="s">
        <v>140</v>
      </c>
      <c r="C2819" s="4">
        <v>3</v>
      </c>
    </row>
    <row r="2820">
      <c r="A2820" s="5">
        <f>HYPERLINK("https://app-web.statementrec.com/app#appuploadfiles/3a1fac95-b487-1885-8cc2-148b6eed98bb","Hipulse Ltd")</f>
      </c>
      <c r="B2820" s="3" t="s">
        <v>26</v>
      </c>
      <c r="C2820" s="4">
        <v>4</v>
      </c>
    </row>
    <row r="2821">
      <c r="A2821" s="5">
        <f>HYPERLINK("https://app-web.statementrec.com/app#appuploadfiles/3a1fae23-578a-bc25-b5b3-2b3c1789ff01","Muir Oral Facial and Dental Implants")</f>
      </c>
      <c r="B2821" s="3" t="s">
        <v>58</v>
      </c>
      <c r="C2821" s="4">
        <v>4</v>
      </c>
    </row>
    <row r="2822">
      <c r="A2822" s="5">
        <f>HYPERLINK("https://app-web.statementrec.com/app#appuploadfiles/3a1fb159-8437-49c7-b416-1f7016ee5ba5","Union Business Finance / Aintu Ltd")</f>
      </c>
      <c r="B2822" s="3" t="s">
        <v>11</v>
      </c>
      <c r="C2822" s="4">
        <v>3</v>
      </c>
    </row>
    <row r="2823">
      <c r="A2823" s="5">
        <f>HYPERLINK("https://app-web.statementrec.com/app#appuploadfiles/3a1fb1ee-7a65-ded2-10db-711c9f5efff0","Seamus Ryan")</f>
      </c>
      <c r="B2823" s="3" t="s">
        <v>576</v>
      </c>
      <c r="C2823" s="4">
        <v>8</v>
      </c>
    </row>
    <row r="2824">
      <c r="A2824" s="5">
        <f>HYPERLINK("https://app-web.statementrec.com/app#appuploadfiles/3a1fbde5-4341-7572-812b-7fa863c3a84c","JAe")</f>
      </c>
      <c r="B2824" s="3" t="s">
        <v>47</v>
      </c>
      <c r="C2824" s="4">
        <v>1</v>
      </c>
    </row>
    <row r="2825">
      <c r="A2825" s="5">
        <f>HYPERLINK("https://app-web.statementrec.com/app#appuploadfiles/3a1fc072-6db0-3b00-17be-339fc6cffe4b","SMB Car Sales")</f>
      </c>
      <c r="B2825" s="3" t="s">
        <v>17</v>
      </c>
      <c r="C2825" s="4">
        <v>20</v>
      </c>
    </row>
    <row r="2826">
      <c r="A2826" s="5">
        <f>HYPERLINK("https://app-web.statementrec.com/app#appuploadfiles/3a1fc0e6-8cae-e12e-756e-000f371b3adf","590382")</f>
      </c>
      <c r="B2826" s="3" t="s">
        <v>326</v>
      </c>
      <c r="C2826" s="4">
        <v>9</v>
      </c>
    </row>
    <row r="2827">
      <c r="A2827" s="5">
        <f>HYPERLINK("https://app-web.statementrec.com/app#appuploadfiles/3a1fc166-c200-0e70-2e49-5e54ecd91ade","Thai Spa Limited")</f>
      </c>
      <c r="B2827" s="3" t="s">
        <v>168</v>
      </c>
      <c r="C2827" s="4">
        <v>6</v>
      </c>
    </row>
    <row r="2828">
      <c r="A2828" s="5">
        <f>HYPERLINK("https://app-web.statementrec.com/app#appuploadfiles/3a1fc35a-9d3e-0a49-06de-22e0c7313cee","Get card Direct")</f>
      </c>
      <c r="B2828" s="3" t="s">
        <v>29</v>
      </c>
      <c r="C2828" s="4">
        <v>4</v>
      </c>
    </row>
    <row r="2829">
      <c r="A2829" s="5">
        <f>HYPERLINK("https://app-web.statementrec.com/app#appuploadfiles/3a1fc3a6-15a4-79c6-ed1a-47ddf6057a9d","Graffiti Designs Pty Ltd")</f>
      </c>
      <c r="B2829" s="3" t="s">
        <v>80</v>
      </c>
      <c r="C2829" s="4">
        <v>38</v>
      </c>
    </row>
    <row r="2830">
      <c r="A2830" s="5">
        <f>HYPERLINK("https://app-web.statementrec.com/app#appuploadfiles/3a1fc525-97b1-a55c-4712-c910dd0f1789","7006359 - PTSB #2395")</f>
      </c>
      <c r="B2830" s="3" t="s">
        <v>22</v>
      </c>
      <c r="C2830" s="4">
        <v>3</v>
      </c>
    </row>
    <row r="2831">
      <c r="A2831" s="5">
        <f>HYPERLINK("https://app-web.statementrec.com/app#appuploadfiles/3a1fc612-90c4-74ec-180f-64f6572dc854","HYDROAIR SERVICES")</f>
      </c>
      <c r="B2831" s="3" t="s">
        <v>558</v>
      </c>
      <c r="C2831" s="4">
        <v>6</v>
      </c>
    </row>
    <row r="2832">
      <c r="A2832" s="5">
        <f>HYPERLINK("https://app-web.statementrec.com/app#appuploadfiles/3a1fc6bb-c9bf-7153-5d7d-9301a2a6b694","SELARL CABINET D'ORTHOPTISTES Y DURIEUX")</f>
      </c>
      <c r="B2832" s="3" t="s">
        <v>577</v>
      </c>
      <c r="C2832" s="4">
        <v>21</v>
      </c>
    </row>
    <row r="2833">
      <c r="A2833" s="5">
        <f>HYPERLINK("https://app-web.statementrec.com/app#appuploadfiles/3a1fc6dd-f9ce-da43-eb6e-3d21b5c6ef36","ETAL SOLIDAIRE")</f>
      </c>
      <c r="B2833" s="3" t="s">
        <v>146</v>
      </c>
      <c r="C2833" s="4">
        <v>6</v>
      </c>
    </row>
    <row r="2834">
      <c r="A2834" s="5">
        <f>HYPERLINK("https://app-web.statementrec.com/app#appuploadfiles/3a1fcb00-95fd-3a23-8c99-c5c6e0ebdd23","(041101) Argassi Ltd")</f>
      </c>
      <c r="B2834" s="3" t="s">
        <v>578</v>
      </c>
      <c r="C2834" s="4">
        <v>2</v>
      </c>
    </row>
    <row r="2835">
      <c r="A2835" s="5">
        <f>HYPERLINK("https://app-web.statementrec.com/app#appuploadfiles/3a1fcb9d-67c0-e4c3-ee7a-d94b7ba074a9","Bank statement conversion tool")</f>
      </c>
      <c r="B2835" s="3" t="s">
        <v>579</v>
      </c>
      <c r="C2835" s="4">
        <v>9</v>
      </c>
    </row>
    <row r="2836">
      <c r="A2836" s="5">
        <f>HYPERLINK("https://app-web.statementrec.com/app#appuploadfiles/3a1fccce-8ad0-eca3-5f24-7b75dfc4fcfb","Screws Loose Services")</f>
      </c>
      <c r="B2836" s="3" t="s">
        <v>124</v>
      </c>
      <c r="C2836" s="4">
        <v>29</v>
      </c>
    </row>
    <row r="2837">
      <c r="A2837" s="5">
        <f>HYPERLINK("https://app-web.statementrec.com/app#appuploadfiles/3a1fd0fb-f226-affc-5acf-87027ad8dace","WES59B9-28/02/26")</f>
      </c>
      <c r="B2837" s="3" t="s">
        <v>18</v>
      </c>
      <c r="C2837" s="4">
        <v>1</v>
      </c>
    </row>
    <row r="2838">
      <c r="A2838" s="5">
        <f>HYPERLINK("https://app-web.statementrec.com/app#appuploadfiles/3a1fd16d-8a7c-2e26-afe4-ca6dfe314c20","Accelerate LLP")</f>
      </c>
      <c r="B2838" s="3" t="s">
        <v>40</v>
      </c>
      <c r="C2838" s="4">
        <v>3</v>
      </c>
    </row>
    <row r="2839">
      <c r="A2839" s="5">
        <f>HYPERLINK("https://app-web.statementrec.com/app#appuploadfiles/3a1fd480-77ce-573d-6302-cc3a11f1350b","7003586 - AIB CC #7338")</f>
      </c>
      <c r="B2839" s="3" t="s">
        <v>10</v>
      </c>
      <c r="C2839" s="4">
        <v>2</v>
      </c>
    </row>
    <row r="2840">
      <c r="A2840" s="5">
        <f>HYPERLINK("https://app-web.statementrec.com/app#appuploadfiles/3a1fd4d3-c46e-272e-9396-4991e0720870","St Gabriels")</f>
      </c>
      <c r="B2840" s="3" t="s">
        <v>580</v>
      </c>
      <c r="C2840" s="4">
        <v>16</v>
      </c>
    </row>
    <row r="2841">
      <c r="A2841" s="5">
        <f>HYPERLINK("https://app-web.statementrec.com/app#appuploadfiles/3a1fd4ef-9ffa-8bf7-4d0f-d48c9a1d5ffc","Call Account")</f>
      </c>
      <c r="B2841" s="3" t="s">
        <v>118</v>
      </c>
      <c r="C2841" s="4">
        <v>1</v>
      </c>
    </row>
    <row r="2842">
      <c r="A2842" s="5">
        <f>HYPERLINK("https://app-web.statementrec.com/app#appuploadfiles/3a1fd4f4-5b22-bbc4-3b15-17277671a638","Fineline Cabinetry Ltd")</f>
      </c>
      <c r="B2842" s="3" t="s">
        <v>21</v>
      </c>
      <c r="C2842" s="4">
        <v>2</v>
      </c>
    </row>
    <row r="2843">
      <c r="A2843" s="5">
        <f>HYPERLINK("https://app-web.statementrec.com/app#appuploadfiles/3a1fd565-2f99-f3de-eb7d-ca94ff41bca8","Call account")</f>
      </c>
      <c r="B2843" s="3" t="s">
        <v>118</v>
      </c>
      <c r="C2843" s="4">
        <v>1</v>
      </c>
    </row>
    <row r="2844">
      <c r="A2844" s="5">
        <f>HYPERLINK("https://app-web.statementrec.com/app#appuploadfiles/3a1fd5bf-7af7-9f02-de6e-edc36db9bffc","Barclaycard")</f>
      </c>
      <c r="B2844" s="3" t="s">
        <v>18</v>
      </c>
      <c r="C2844" s="4">
        <v>8</v>
      </c>
    </row>
    <row r="2845">
      <c r="A2845" s="5">
        <f>HYPERLINK("https://app-web.statementrec.com/app#appuploadfiles/3a1fd5ef-a043-aaa4-c8af-1caf6c191282","AAH Consutants Ltd")</f>
      </c>
      <c r="B2845" s="3" t="s">
        <v>33</v>
      </c>
      <c r="C2845" s="4">
        <v>5</v>
      </c>
    </row>
    <row r="2846">
      <c r="A2846" s="5">
        <f>HYPERLINK("https://app-web.statementrec.com/app#appuploadfiles/3a1fd6bc-0db8-24ca-e29f-3fcd92519848","Takhar West Sac, Inc")</f>
      </c>
      <c r="B2846" s="3" t="s">
        <v>10</v>
      </c>
      <c r="C2846" s="4">
        <v>36</v>
      </c>
    </row>
    <row r="2847">
      <c r="A2847" s="5">
        <f>HYPERLINK("https://app-web.statementrec.com/app#appuploadfiles/3a1fd6cb-a6e4-1c0e-4ac7-34e820992175","B &amp; R Takhar, Inc")</f>
      </c>
      <c r="B2847" s="3" t="s">
        <v>581</v>
      </c>
      <c r="C2847" s="4">
        <v>14</v>
      </c>
    </row>
    <row r="2848">
      <c r="A2848" s="5">
        <f>HYPERLINK("https://app-web.statementrec.com/app#appuploadfiles/3a1fdd2d-8bea-0f47-c6d0-a2303c5fc986","Prune de Jardins")</f>
      </c>
      <c r="B2848" s="3" t="s">
        <v>40</v>
      </c>
      <c r="C2848" s="4">
        <v>7</v>
      </c>
    </row>
    <row r="2849">
      <c r="A2849" s="5">
        <f>HYPERLINK("https://app-web.statementrec.com/app#appuploadfiles/3a1fe0cd-1057-06ce-666b-3b8c8ad82956","D-TECH")</f>
      </c>
      <c r="B2849" s="3" t="s">
        <v>582</v>
      </c>
      <c r="C2849" s="4">
        <v>10</v>
      </c>
    </row>
    <row r="2850">
      <c r="A2850" s="5">
        <f>HYPERLINK("https://app-web.statementrec.com/app#appuploadfiles/3a1fe44d-a9cb-27ee-fd2c-3d0b80e6c1d6","Sheerin Fencing &amp; Groundworks Ltd")</f>
      </c>
      <c r="B2850" s="3" t="s">
        <v>12</v>
      </c>
      <c r="C2850" s="4">
        <v>2</v>
      </c>
    </row>
    <row r="2851">
      <c r="A2851" s="5">
        <f>HYPERLINK("https://app-web.statementrec.com/app#appuploadfiles/3a1fe471-3c98-fa1b-716e-1d86e15f1147","01 Dec 2025-28 Feb 2026")</f>
      </c>
      <c r="B2851" s="3" t="s">
        <v>17</v>
      </c>
      <c r="C2851" s="4">
        <v>4</v>
      </c>
    </row>
    <row r="2852">
      <c r="A2852" s="5">
        <f>HYPERLINK("https://app-web.statementrec.com/app#appuploadfiles/3a1fe472-e1c2-342a-b9ad-b0432e1cd4ef","NOGENT SANTE")</f>
      </c>
      <c r="B2852" s="3" t="s">
        <v>583</v>
      </c>
      <c r="C2852" s="4">
        <v>210</v>
      </c>
    </row>
    <row r="2853">
      <c r="A2853" s="5">
        <f>HYPERLINK("https://app-web.statementrec.com/app#appuploadfiles/3a1fe48b-c250-a1cb-7852-4de21dfbe68f","Phrased Differently")</f>
      </c>
      <c r="B2853" s="3" t="s">
        <v>12</v>
      </c>
      <c r="C2853" s="4">
        <v>4</v>
      </c>
    </row>
    <row r="2854">
      <c r="A2854" s="5">
        <f>HYPERLINK("https://app-web.statementrec.com/app#appuploadfiles/3a1fe56d-6bfd-6f98-0fe8-8424a58aee33","SJ CHARONNE")</f>
      </c>
      <c r="B2854" s="3" t="s">
        <v>582</v>
      </c>
      <c r="C2854" s="4">
        <v>5</v>
      </c>
    </row>
    <row r="2855">
      <c r="A2855" s="5">
        <f>HYPERLINK("https://app-web.statementrec.com/app#appuploadfiles/3a1fe56e-738e-31f0-8bba-641e86e474d5","SJ GOBELINS")</f>
      </c>
      <c r="B2855" s="3" t="s">
        <v>584</v>
      </c>
      <c r="C2855" s="4">
        <v>15</v>
      </c>
    </row>
    <row r="2856">
      <c r="A2856" s="5">
        <f>HYPERLINK("https://app-web.statementrec.com/app#appuploadfiles/3a1fe56e-e0b5-8c15-8cca-53dee51b8eda","SJ JOINVILLE")</f>
      </c>
      <c r="B2856" s="3" t="s">
        <v>47</v>
      </c>
      <c r="C2856" s="4">
        <v>6</v>
      </c>
    </row>
    <row r="2857">
      <c r="A2857" s="5">
        <f>HYPERLINK("https://app-web.statementrec.com/app#appuploadfiles/3a1fe95d-c92b-e94c-6ca0-6d3142e9c146","Jason McClean Cars")</f>
      </c>
      <c r="B2857" s="3" t="s">
        <v>43</v>
      </c>
      <c r="C2857" s="4">
        <v>4</v>
      </c>
    </row>
    <row r="2858">
      <c r="A2858" s="5">
        <f>HYPERLINK("https://app-web.statementrec.com/app#appuploadfiles/3a1fe981-6448-1389-fe90-b2b00a005bcb","Fenestra")</f>
      </c>
      <c r="B2858" s="3" t="s">
        <v>12</v>
      </c>
      <c r="C2858" s="4">
        <v>4</v>
      </c>
    </row>
    <row r="2859">
      <c r="A2859" s="5">
        <f>HYPERLINK("https://app-web.statementrec.com/app#appuploadfiles/3a1fe9e4-2785-5c00-169c-1daed359409d","Lucinda Syson Casting Limited")</f>
      </c>
      <c r="B2859" s="3" t="s">
        <v>69</v>
      </c>
      <c r="C2859" s="4">
        <v>14</v>
      </c>
    </row>
    <row r="2860">
      <c r="A2860" s="5">
        <f>HYPERLINK("https://app-web.statementrec.com/app#appuploadfiles/3a1fee53-19f0-a4eb-c85b-1048c109ffb9","Brian Lawless")</f>
      </c>
      <c r="B2860" s="3" t="s">
        <v>26</v>
      </c>
      <c r="C2860" s="4">
        <v>69</v>
      </c>
    </row>
    <row r="2861">
      <c r="A2861" s="5">
        <f>HYPERLINK("https://app-web.statementrec.com/app#appuploadfiles/3a1fee67-20c1-7410-d08d-2c03ae3097f4","Global Reach International Ltd")</f>
      </c>
      <c r="B2861" s="3" t="s">
        <v>16</v>
      </c>
      <c r="C2861" s="4">
        <v>24</v>
      </c>
    </row>
    <row r="2862">
      <c r="A2862" s="5">
        <f>HYPERLINK("https://app-web.statementrec.com/app#appuploadfiles/3a1fee91-f72f-d37f-cbe3-c4f354bec1ec","Danny Daly")</f>
      </c>
      <c r="B2862" s="3" t="s">
        <v>10</v>
      </c>
      <c r="C2862" s="4">
        <v>14</v>
      </c>
    </row>
    <row r="2863">
      <c r="A2863" s="5">
        <f>HYPERLINK("https://app-web.statementrec.com/app#appuploadfiles/3a1fef72-9cb9-5c4d-3aca-0e98a6c211bf","Neil Blennerhasset")</f>
      </c>
      <c r="B2863" s="3" t="s">
        <v>40</v>
      </c>
      <c r="C2863" s="4">
        <v>1</v>
      </c>
    </row>
    <row r="2864">
      <c r="A2864" s="5">
        <f>HYPERLINK("https://app-web.statementrec.com/app#appuploadfiles/3a1fef87-6294-9180-bced-9f0d2dc97a24","Cantebury on Clare Services Pty Ltd")</f>
      </c>
      <c r="B2864" s="3" t="s">
        <v>118</v>
      </c>
      <c r="C2864" s="4">
        <v>195</v>
      </c>
    </row>
    <row r="2865">
      <c r="A2865" s="5">
        <f>HYPERLINK("https://app-web.statementrec.com/app#appuploadfiles/3a1feff4-844b-794d-27ab-416e6fa301c8","McGee")</f>
      </c>
      <c r="B2865" s="3" t="s">
        <v>181</v>
      </c>
      <c r="C2865" s="4">
        <v>4</v>
      </c>
    </row>
    <row r="2866">
      <c r="A2866" s="5">
        <f>HYPERLINK("https://app-web.statementrec.com/app#appuploadfiles/3a1ff223-8ce0-aa2d-2337-1b7596ffca76","2022 Bank Statements")</f>
      </c>
      <c r="B2866" s="3" t="s">
        <v>58</v>
      </c>
      <c r="C2866" s="4">
        <v>44</v>
      </c>
    </row>
    <row r="2867">
      <c r="A2867" s="5">
        <f>HYPERLINK("https://app-web.statementrec.com/app#appuploadfiles/3a1ff3fa-3e91-dfc0-cc7b-23d398346504","7004648 - Revolut Acc #0543")</f>
      </c>
      <c r="B2867" s="3" t="s">
        <v>11</v>
      </c>
      <c r="C2867" s="4">
        <v>4</v>
      </c>
    </row>
    <row r="2868">
      <c r="A2868" s="5">
        <f>HYPERLINK("https://app-web.statementrec.com/app#appuploadfiles/3a1ff413-fe02-69ec-dd11-399164684023","SJ ETAMPES")</f>
      </c>
      <c r="B2868" s="3" t="s">
        <v>47</v>
      </c>
      <c r="C2868" s="4">
        <v>20</v>
      </c>
    </row>
    <row r="2869">
      <c r="A2869" s="5">
        <f>HYPERLINK("https://app-web.statementrec.com/app#appuploadfiles/3a1ff419-71dd-1ad7-7ca4-9ca5e2ac8bca","SJ JLD LES ULIS")</f>
      </c>
      <c r="B2869" s="3" t="s">
        <v>40</v>
      </c>
      <c r="C2869" s="4">
        <v>15</v>
      </c>
    </row>
    <row r="2870">
      <c r="A2870" s="5">
        <f>HYPERLINK("https://app-web.statementrec.com/app#appuploadfiles/3a1ff419-e791-8548-54e0-32c13f2e1875","SJ LES ULIS")</f>
      </c>
      <c r="B2870" s="3" t="s">
        <v>15</v>
      </c>
      <c r="C2870" s="4">
        <v>13</v>
      </c>
    </row>
    <row r="2871">
      <c r="A2871" s="5">
        <f>HYPERLINK("https://app-web.statementrec.com/app#appuploadfiles/3a1ff41a-5829-f579-9f84-a4f44c1b3d98","SJ MASSY")</f>
      </c>
      <c r="B2871" s="3" t="s">
        <v>86</v>
      </c>
      <c r="C2871" s="4">
        <v>7</v>
      </c>
    </row>
    <row r="2872">
      <c r="A2872" s="5">
        <f>HYPERLINK("https://app-web.statementrec.com/app#appuploadfiles/3a1ff45f-5717-5b64-767f-b9bd05a868fb","1 High Street")</f>
      </c>
      <c r="B2872" s="3" t="s">
        <v>168</v>
      </c>
      <c r="C2872" s="4">
        <v>5</v>
      </c>
    </row>
    <row r="2873">
      <c r="A2873" s="5">
        <f>HYPERLINK("https://app-web.statementrec.com/app#appuploadfiles/3a1ff4e7-76b5-2020-c678-000e179a5bc8","TARGIPSUM TECHNOLOGIES INC")</f>
      </c>
      <c r="B2873" s="3" t="s">
        <v>133</v>
      </c>
      <c r="C2873" s="4">
        <v>5</v>
      </c>
    </row>
    <row r="2874">
      <c r="A2874" s="5">
        <f>HYPERLINK("https://app-web.statementrec.com/app#appuploadfiles/3a1ff518-90d6-3b39-4a37-e053f78f41c1","Eclipse")</f>
      </c>
      <c r="B2874" s="3" t="s">
        <v>170</v>
      </c>
      <c r="C2874" s="4">
        <v>7</v>
      </c>
    </row>
    <row r="2875">
      <c r="A2875" s="5">
        <f>HYPERLINK("https://app-web.statementrec.com/app#appuploadfiles/3a1ff876-2e85-6d9d-16a2-7a361b9e988e","03011510 - SH Realisations 2025 Ltd")</f>
      </c>
      <c r="B2875" s="3" t="s">
        <v>17</v>
      </c>
      <c r="C2875" s="4">
        <v>388</v>
      </c>
    </row>
    <row r="2876">
      <c r="A2876" s="5">
        <f>HYPERLINK("https://app-web.statementrec.com/app#appuploadfiles/3a1ff910-5048-65f2-bf98-60fb33456a54","JULIEN GUILLOT COIFFURE")</f>
      </c>
      <c r="B2876" s="3" t="s">
        <v>12</v>
      </c>
      <c r="C2876" s="4">
        <v>7</v>
      </c>
    </row>
    <row r="2877">
      <c r="A2877" s="5">
        <f>HYPERLINK("https://app-web.statementrec.com/app#appuploadfiles/3a1ff927-aeb4-08de-eda9-523a8f605dab","SJ ORSAY")</f>
      </c>
      <c r="B2877" s="3" t="s">
        <v>585</v>
      </c>
      <c r="C2877" s="4">
        <v>15</v>
      </c>
    </row>
    <row r="2878">
      <c r="A2878" s="5">
        <f>HYPERLINK("https://app-web.statementrec.com/app#appuploadfiles/3a1ff929-de0d-c36d-b4dd-626df6757779","SJ SCEAUX")</f>
      </c>
      <c r="B2878" s="3" t="s">
        <v>40</v>
      </c>
      <c r="C2878" s="4">
        <v>31</v>
      </c>
    </row>
    <row r="2879">
      <c r="A2879" s="5">
        <f>HYPERLINK("https://app-web.statementrec.com/app#appuploadfiles/3a1ff9c6-72f5-850f-287e-3cb8f8f45f0a","Beacon Security")</f>
      </c>
      <c r="B2879" s="3" t="s">
        <v>11</v>
      </c>
      <c r="C2879" s="4">
        <v>10</v>
      </c>
    </row>
    <row r="2880">
      <c r="A2880" s="5">
        <f>HYPERLINK("https://app-web.statementrec.com/app#appuploadfiles/3a1ffa44-b119-0f20-dfa7-fede0825983c","Purppl-2026-03-13 04-46-42")</f>
      </c>
      <c r="B2880" s="3" t="s">
        <v>586</v>
      </c>
      <c r="C2880" s="4">
        <v>2</v>
      </c>
    </row>
    <row r="2881">
      <c r="A2881" s="5">
        <f>HYPERLINK("https://app-web.statementrec.com/app#appuploadfiles/3a1ffa53-213d-dfc0-63d8-e8e4f6fd6c5b","AMC Removals")</f>
      </c>
      <c r="B2881" s="3" t="s">
        <v>10</v>
      </c>
      <c r="C2881" s="4">
        <v>9</v>
      </c>
    </row>
    <row r="2882">
      <c r="A2882" s="5">
        <f>HYPERLINK("https://app-web.statementrec.com/app#appuploadfiles/3a1ffa5f-a313-ff7d-d777-c1e47871697c","Phyllis Anderson")</f>
      </c>
      <c r="B2882" s="3" t="s">
        <v>168</v>
      </c>
      <c r="C2882" s="4">
        <v>10</v>
      </c>
    </row>
    <row r="2883">
      <c r="A2883" s="5">
        <f>HYPERLINK("https://app-web.statementrec.com/app#appuploadfiles/3a1ffa89-1677-09bd-f9fd-706cb37d6ae4","Abandonrite Ltd")</f>
      </c>
      <c r="B2883" s="3" t="s">
        <v>40</v>
      </c>
      <c r="C2883" s="4">
        <v>93</v>
      </c>
    </row>
    <row r="2884">
      <c r="A2884" s="5">
        <f>HYPERLINK("https://app-web.statementrec.com/app#appuploadfiles/3a1ffb41-762b-0500-c38b-6f7e51278d61","Xtreme Auto Exchange LLC")</f>
      </c>
      <c r="B2884" s="3" t="s">
        <v>587</v>
      </c>
      <c r="C2884" s="4">
        <v>8</v>
      </c>
    </row>
    <row r="2885">
      <c r="A2885" s="5">
        <f>HYPERLINK("https://app-web.statementrec.com/app#appuploadfiles/3a200908-4543-ba2f-d4b9-d469621804a4","D&amp;G Autocare Ltd")</f>
      </c>
      <c r="B2885" s="3" t="s">
        <v>30</v>
      </c>
      <c r="C2885" s="4">
        <v>3</v>
      </c>
    </row>
    <row r="2886">
      <c r="A2886" s="5">
        <f>HYPERLINK("https://app-web.statementrec.com/app#appuploadfiles/3a200968-6b02-202c-311b-4bd1846f7227","Pharmcare Limited")</f>
      </c>
      <c r="B2886" s="3" t="s">
        <v>19</v>
      </c>
      <c r="C2886" s="4">
        <v>4</v>
      </c>
    </row>
    <row r="2887">
      <c r="A2887" s="5">
        <f>HYPERLINK("https://app-web.statementrec.com/app#appuploadfiles/3a200bc5-34d1-6168-9b38-4c5240fb0d4f","ruthi urbach testamentary trust")</f>
      </c>
      <c r="B2887" s="3" t="s">
        <v>588</v>
      </c>
      <c r="C2887" s="4">
        <v>4</v>
      </c>
    </row>
    <row r="2888">
      <c r="A2888" s="5">
        <f>HYPERLINK("https://app-web.statementrec.com/app#appuploadfiles/3a200d54-f276-263f-079b-9d179caf5272","Revolut Business")</f>
      </c>
      <c r="B2888" s="3" t="s">
        <v>589</v>
      </c>
      <c r="C2888" s="4">
        <v>15</v>
      </c>
    </row>
    <row r="2889">
      <c r="A2889" s="5">
        <f>HYPERLINK("https://app-web.statementrec.com/app#appuploadfiles/3a200d96-f1ee-075f-e0f4-0e24e623e5b0","OPTIMALCAREPLUS LIMITED")</f>
      </c>
      <c r="B2889" s="3"/>
      <c r="C2889" s="4">
        <v>27</v>
      </c>
    </row>
    <row r="2890">
      <c r="A2890" s="5">
        <f>HYPERLINK("https://app-web.statementrec.com/app#appuploadfiles/3a200dcb-2017-a95c-8b05-e6744aa3822d","Banshee the Great")</f>
      </c>
      <c r="B2890" s="3" t="s">
        <v>12</v>
      </c>
      <c r="C2890" s="4">
        <v>15</v>
      </c>
    </row>
    <row r="2891">
      <c r="A2891" s="5">
        <f>HYPERLINK("https://app-web.statementrec.com/app#appuploadfiles/3a200e87-3040-1830-d9a5-9949f6cfe470","IK-IP")</f>
      </c>
      <c r="B2891" s="3" t="s">
        <v>15</v>
      </c>
      <c r="C2891" s="4">
        <v>3</v>
      </c>
    </row>
    <row r="2892">
      <c r="A2892" s="5">
        <f>HYPERLINK("https://app-web.statementrec.com/app#appuploadfiles/3a201506-e2a5-e519-f037-686bf31aab7d","DEMANDRE COMMUNICATIONS")</f>
      </c>
      <c r="B2892" s="3" t="s">
        <v>590</v>
      </c>
      <c r="C2892" s="4">
        <v>4</v>
      </c>
    </row>
    <row r="2893">
      <c r="A2893" s="5">
        <f>HYPERLINK("https://app-web.statementrec.com/app#appuploadfiles/3a201790-6007-fe50-f55b-77807e89961b","Kelly - Accounts Prep")</f>
      </c>
      <c r="B2893" s="3" t="s">
        <v>12</v>
      </c>
      <c r="C2893" s="4">
        <v>3</v>
      </c>
    </row>
    <row r="2894">
      <c r="A2894" s="5">
        <f>HYPERLINK("https://app-web.statementrec.com/app#appuploadfiles/3a201794-953d-b125-b5c3-d4c8b15aed96","BEAUSALE CONSULTING LIMITED")</f>
      </c>
      <c r="B2894" s="3" t="s">
        <v>17</v>
      </c>
      <c r="C2894" s="4">
        <v>14</v>
      </c>
    </row>
    <row r="2895">
      <c r="A2895" s="5">
        <f>HYPERLINK("https://app-web.statementrec.com/app#appuploadfiles/3a201925-e8fc-f042-2091-4bb14c88910f","A &amp; CA Whittall")</f>
      </c>
      <c r="B2895" s="3" t="s">
        <v>25</v>
      </c>
      <c r="C2895" s="4">
        <v>71</v>
      </c>
    </row>
    <row r="2896">
      <c r="A2896" s="5">
        <f>HYPERLINK("https://app-web.statementrec.com/app#appuploadfiles/3a201a8d-dfd8-a5f7-525b-b0643c9cd6a4","Chase Bank")</f>
      </c>
      <c r="B2896" s="3" t="s">
        <v>58</v>
      </c>
      <c r="C2896" s="4">
        <v>34</v>
      </c>
    </row>
    <row r="2897">
      <c r="A2897" s="5">
        <f>HYPERLINK("https://app-web.statementrec.com/app#appuploadfiles/3a201b41-7c0d-d4aa-e778-7fd5149ba179","Ashtanga Yoga Collective Pty Ltd")</f>
      </c>
      <c r="B2897" s="3" t="s">
        <v>591</v>
      </c>
      <c r="C2897" s="4">
        <v>11</v>
      </c>
    </row>
    <row r="2898">
      <c r="A2898" s="5">
        <f>HYPERLINK("https://app-web.statementrec.com/app#appuploadfiles/3a201daa-356f-d380-40e8-5b6f2168de74","MACK PTM SUPPLIERS")</f>
      </c>
      <c r="B2898" s="3" t="s">
        <v>264</v>
      </c>
      <c r="C2898" s="4">
        <v>13</v>
      </c>
    </row>
    <row r="2899">
      <c r="A2899" s="5">
        <f>HYPERLINK("https://app-web.statementrec.com/app#appuploadfiles/3a20249b-1995-9a75-9e6e-700c12700087","02. Cash Manager 9705")</f>
      </c>
      <c r="B2899" s="3" t="s">
        <v>592</v>
      </c>
      <c r="C2899" s="4">
        <v>2</v>
      </c>
    </row>
    <row r="2900">
      <c r="A2900" s="5">
        <f>HYPERLINK("https://app-web.statementrec.com/app#appuploadfiles/3a2024a4-b783-a00b-40ee-a80dea096864","04. Cash Manager 1156")</f>
      </c>
      <c r="B2900" s="3" t="s">
        <v>593</v>
      </c>
      <c r="C2900" s="4">
        <v>2</v>
      </c>
    </row>
    <row r="2901">
      <c r="A2901" s="5">
        <f>HYPERLINK("https://app-web.statementrec.com/app#appuploadfiles/3a20286c-0e08-f963-5a80-3bfe7735865b","MOREL SYLVAIN")</f>
      </c>
      <c r="B2901" s="3" t="s">
        <v>594</v>
      </c>
      <c r="C2901" s="4">
        <v>5</v>
      </c>
    </row>
    <row r="2902">
      <c r="A2902" s="5">
        <f>HYPERLINK("https://app-web.statementrec.com/app#appuploadfiles/3a202be0-4011-c2a5-db82-b394b827aa5d","Araba Scaffolding")</f>
      </c>
      <c r="B2902" s="3" t="s">
        <v>264</v>
      </c>
      <c r="C2902" s="4">
        <v>5</v>
      </c>
    </row>
    <row r="2903">
      <c r="A2903" s="5">
        <f>HYPERLINK("https://app-web.statementrec.com/app#appuploadfiles/3a202c35-f376-2d29-c762-02da492a32bb","BSSC Radiators Mozambique")</f>
      </c>
      <c r="B2903" s="3" t="s">
        <v>595</v>
      </c>
      <c r="C2903" s="4">
        <v>20</v>
      </c>
    </row>
    <row r="2904">
      <c r="A2904" s="5">
        <f>HYPERLINK("https://app-web.statementrec.com/app#appuploadfiles/3a202cac-a81e-67fa-509d-f18f9d5f643a","Dikwena Capital (Pty) Ltd")</f>
      </c>
      <c r="B2904" s="3" t="s">
        <v>40</v>
      </c>
      <c r="C2904" s="4">
        <v>4</v>
      </c>
    </row>
    <row r="2905">
      <c r="A2905" s="5">
        <f>HYPERLINK("https://app-web.statementrec.com/app#appuploadfiles/3a202d82-db8a-a003-519d-efa3b1a23d48","43020-26")</f>
      </c>
      <c r="B2905" s="3" t="s">
        <v>596</v>
      </c>
      <c r="C2905" s="4">
        <v>2</v>
      </c>
    </row>
    <row r="2906">
      <c r="A2906" s="5">
        <f>HYPERLINK("https://app-web.statementrec.com/app#appuploadfiles/3a2031cc-ebe8-d87e-4549-9cc16aec7f4d","Africa Felix Consulting Ltd")</f>
      </c>
      <c r="B2906" s="3" t="s">
        <v>597</v>
      </c>
      <c r="C2906" s="4">
        <v>87</v>
      </c>
    </row>
    <row r="2907">
      <c r="A2907" s="5">
        <f>HYPERLINK("https://app-web.statementrec.com/app#appuploadfiles/3a20326c-758c-9a1c-295e-94cbbfba5241","Nicholas Mernagh Chartered Surveyor Ltd.")</f>
      </c>
      <c r="B2907" s="3" t="s">
        <v>3</v>
      </c>
      <c r="C2907" s="4">
        <v>8</v>
      </c>
    </row>
    <row r="2908">
      <c r="A2908" s="5">
        <f>HYPERLINK("https://app-web.statementrec.com/app#appuploadfiles/3a2035fd-5ea1-34df-1114-e3d9e8aef102","Mooifontein")</f>
      </c>
      <c r="B2908" s="3" t="s">
        <v>38</v>
      </c>
      <c r="C2908" s="4">
        <v>80</v>
      </c>
    </row>
    <row r="2909">
      <c r="A2909" s="5">
        <f>HYPERLINK("https://app-web.statementrec.com/app#appuploadfiles/3a203644-23af-5947-8e05-f55477384f45","LKJ Painting")</f>
      </c>
      <c r="B2909" s="3" t="s">
        <v>19</v>
      </c>
      <c r="C2909" s="4">
        <v>14</v>
      </c>
    </row>
    <row r="2910">
      <c r="A2910" s="5">
        <f>HYPERLINK("https://app-web.statementrec.com/app#appuploadfiles/3a2036a9-891f-3c92-7944-a3111b2b5bb8","7009444 - BOI ACC # 8158")</f>
      </c>
      <c r="B2910" s="3" t="s">
        <v>3</v>
      </c>
      <c r="C2910" s="4">
        <v>2</v>
      </c>
    </row>
    <row r="2911">
      <c r="A2911" s="5">
        <f>HYPERLINK("https://app-web.statementrec.com/app#appuploadfiles/3a2038d7-a929-edf3-2ad9-2beedc5504d3","Jan 2026")</f>
      </c>
      <c r="B2911" s="3" t="s">
        <v>46</v>
      </c>
      <c r="C2911" s="4">
        <v>1</v>
      </c>
    </row>
    <row r="2912">
      <c r="A2912" s="5">
        <f>HYPERLINK("https://app-web.statementrec.com/app#appuploadfiles/3a203976-f712-32b2-1b43-1f2b1d7bdfdc","Strongs Marketing Group")</f>
      </c>
      <c r="B2912" s="3" t="s">
        <v>598</v>
      </c>
      <c r="C2912" s="4">
        <v>98</v>
      </c>
    </row>
    <row r="2913">
      <c r="A2913" s="5">
        <f>HYPERLINK("https://app-web.statementrec.com/app#appuploadfiles/3a203a38-165f-bd81-38e4-bf51fc9ab2a8","Sierra Expediting Inc.")</f>
      </c>
      <c r="B2913" s="3" t="s">
        <v>56</v>
      </c>
      <c r="C2913" s="4">
        <v>39</v>
      </c>
    </row>
    <row r="2914">
      <c r="A2914" s="5">
        <f>HYPERLINK("https://app-web.statementrec.com/app#appuploadfiles/3a203ca2-c579-be92-e554-350b3ac5b453","N243 - CHEVRIER EMILIE BNC")</f>
      </c>
      <c r="B2914" s="3" t="s">
        <v>599</v>
      </c>
      <c r="C2914" s="4">
        <v>32</v>
      </c>
    </row>
    <row r="2915">
      <c r="A2915" s="5">
        <f>HYPERLINK("https://app-web.statementrec.com/app#appuploadfiles/3a203ca6-3730-8ad0-10f9-61e55246e042","Bank Statements")</f>
      </c>
      <c r="B2915" s="3" t="s">
        <v>12</v>
      </c>
      <c r="C2915" s="4">
        <v>16</v>
      </c>
    </row>
    <row r="2916">
      <c r="A2916" s="5">
        <f>HYPERLINK("https://app-web.statementrec.com/app#appuploadfiles/3a203caf-8659-6ae6-c6fd-20377913b5a9","LAMPYRIS PRODUCTIONS")</f>
      </c>
      <c r="B2916" s="3" t="s">
        <v>600</v>
      </c>
      <c r="C2916" s="4">
        <v>10</v>
      </c>
    </row>
    <row r="2917">
      <c r="A2917" s="5">
        <f>HYPERLINK("https://app-web.statementrec.com/app#appuploadfiles/3a203ceb-4669-828f-e106-7003fbdd08da","Capitec")</f>
      </c>
      <c r="B2917" s="3" t="s">
        <v>95</v>
      </c>
      <c r="C2917" s="4">
        <v>10</v>
      </c>
    </row>
    <row r="2918">
      <c r="A2918" s="5">
        <f>HYPERLINK("https://app-web.statementrec.com/app#appuploadfiles/3a20402a-09bd-5e71-9695-cf40eb49d91d","Big Five Projects and Construction")</f>
      </c>
      <c r="B2918" s="3" t="s">
        <v>118</v>
      </c>
      <c r="C2918" s="4">
        <v>19</v>
      </c>
    </row>
    <row r="2919">
      <c r="A2919" s="5">
        <f>HYPERLINK("https://app-web.statementrec.com/app#appuploadfiles/3a2045b9-9593-9fa7-827d-1ee61cbbfa28","HAMEVIL")</f>
      </c>
      <c r="B2919" s="3" t="s">
        <v>601</v>
      </c>
      <c r="C2919" s="4">
        <v>3</v>
      </c>
    </row>
    <row r="2920">
      <c r="A2920" s="5">
        <f>HYPERLINK("https://app-web.statementrec.com/app#appuploadfiles/3a205043-7754-9ce1-6f27-dea342562bf9","Donaldson's Dry-Lining Ltd")</f>
      </c>
      <c r="B2920" s="3" t="s">
        <v>15</v>
      </c>
      <c r="C2920" s="4">
        <v>3</v>
      </c>
    </row>
    <row r="2921">
      <c r="A2921" s="5">
        <f>HYPERLINK("https://app-web.statementrec.com/app#appuploadfiles/3a205061-bc2d-01b4-a63f-efabe34bba9b","Axe Vale Netball")</f>
      </c>
      <c r="B2921" s="3" t="s">
        <v>15</v>
      </c>
      <c r="C2921" s="4">
        <v>4</v>
      </c>
    </row>
    <row r="2922">
      <c r="A2922" s="5">
        <f>HYPERLINK("https://app-web.statementrec.com/app#appuploadfiles/3a205075-c53f-c73d-7123-ed50e1aa73fa","Rupert Organic Consulting")</f>
      </c>
      <c r="B2922" s="3" t="s">
        <v>602</v>
      </c>
      <c r="C2922" s="4">
        <v>31</v>
      </c>
    </row>
    <row r="2923">
      <c r="A2923" s="5">
        <f>HYPERLINK("https://app-web.statementrec.com/app#appuploadfiles/3a20565e-56fd-91e4-2998-253e7973c0fb","Doyleman AIB 2026")</f>
      </c>
      <c r="B2923" s="3" t="s">
        <v>10</v>
      </c>
      <c r="C2923" s="4">
        <v>8</v>
      </c>
    </row>
    <row r="2924">
      <c r="A2924" s="5">
        <f>HYPERLINK("https://app-web.statementrec.com/app#appuploadfiles/3a20566f-034c-7e54-62f4-eb2bb32bd332","Zetech pty ltd")</f>
      </c>
      <c r="B2924" s="3" t="s">
        <v>120</v>
      </c>
      <c r="C2924" s="4">
        <v>4</v>
      </c>
    </row>
    <row r="2925">
      <c r="A2925" s="5">
        <f>HYPERLINK("https://app-web.statementrec.com/app#appuploadfiles/3a205a9c-c06b-19a7-3524-d3d7db19f64b","CARDINAL")</f>
      </c>
      <c r="B2925" s="3" t="s">
        <v>603</v>
      </c>
      <c r="C2925" s="4">
        <v>2</v>
      </c>
    </row>
    <row r="2926">
      <c r="A2926" s="5">
        <f>HYPERLINK("https://app-web.statementrec.com/app#appuploadfiles/3a205abc-b882-de8e-de92-9c055d995374","Leah Wells")</f>
      </c>
      <c r="B2926" s="3" t="s">
        <v>21</v>
      </c>
      <c r="C2926" s="4">
        <v>1</v>
      </c>
    </row>
    <row r="2927">
      <c r="A2927" s="5">
        <f>HYPERLINK("https://app-web.statementrec.com/app#appuploadfiles/3a20657d-87f9-7335-aba5-3529c3802820","Old Mill Lakes")</f>
      </c>
      <c r="B2927" s="3" t="s">
        <v>17</v>
      </c>
      <c r="C2927" s="4">
        <v>6</v>
      </c>
    </row>
    <row r="2928">
      <c r="A2928" s="5">
        <f>HYPERLINK("https://app-web.statementrec.com/app#appuploadfiles/3a2070ae-add7-dccb-0a84-fd505a897657","15848")</f>
      </c>
      <c r="B2928" s="3" t="s">
        <v>10</v>
      </c>
      <c r="C2928" s="4">
        <v>1</v>
      </c>
    </row>
    <row r="2929">
      <c r="A2929" s="5">
        <f>HYPERLINK("https://app-web.statementrec.com/app#appuploadfiles/3a2070e9-7961-1005-d2e9-f39981a64502","Charette Yves MPC")</f>
      </c>
      <c r="B2929" s="3" t="s">
        <v>216</v>
      </c>
      <c r="C2929" s="4">
        <v>3</v>
      </c>
    </row>
    <row r="2930">
      <c r="A2930" s="5">
        <f>HYPERLINK("https://app-web.statementrec.com/app#appuploadfiles/3a20738b-63ac-4888-c423-e353a639812f","Rubelli Limited")</f>
      </c>
      <c r="B2930" s="3" t="s">
        <v>26</v>
      </c>
      <c r="C2930" s="4">
        <v>3</v>
      </c>
    </row>
    <row r="2931">
      <c r="A2931" s="5">
        <f>HYPERLINK("https://app-web.statementrec.com/app#appuploadfiles/3a207528-146b-b1de-0e07-df1e696876da","Abbey Coachworks Ltd")</f>
      </c>
      <c r="B2931" s="3" t="s">
        <v>12</v>
      </c>
      <c r="C2931" s="4">
        <v>196</v>
      </c>
    </row>
    <row r="2932">
      <c r="A2932" s="5">
        <f>HYPERLINK("https://app-web.statementrec.com/app#appuploadfiles/3a20796a-c64a-1b9b-9875-ef185b561bba","Andra Jewels Ltd")</f>
      </c>
      <c r="B2932" s="3" t="s">
        <v>15</v>
      </c>
      <c r="C2932" s="4">
        <v>766</v>
      </c>
    </row>
    <row r="2933">
      <c r="A2933" s="5">
        <f>HYPERLINK("https://app-web.statementrec.com/app#appuploadfiles/3a207a8b-f0a1-51fe-eeac-7c8ece3bc7d1","Sandy Rawle SATR 25-26")</f>
      </c>
      <c r="B2933" s="3" t="s">
        <v>13</v>
      </c>
      <c r="C2933" s="4">
        <v>18</v>
      </c>
    </row>
    <row r="2934">
      <c r="A2934" s="5">
        <f>HYPERLINK("https://app-web.statementrec.com/app#appuploadfiles/3a207df4-d1ea-1f8f-66f0-f749e2da261f","7003928- BOI Acc 4800")</f>
      </c>
      <c r="B2934" s="3" t="s">
        <v>3</v>
      </c>
      <c r="C2934" s="4">
        <v>2</v>
      </c>
    </row>
    <row r="2935">
      <c r="A2935" s="5">
        <f>HYPERLINK("https://app-web.statementrec.com/app#appuploadfiles/3a207e65-dea0-126d-28ca-7de0e15afebd","E T Webster")</f>
      </c>
      <c r="B2935" s="3" t="s">
        <v>18</v>
      </c>
      <c r="C2935" s="4">
        <v>6</v>
      </c>
    </row>
    <row r="2936">
      <c r="A2936" s="5">
        <f>HYPERLINK("https://app-web.statementrec.com/app#appuploadfiles/3a207e7a-8970-54ec-98ed-5a214e928068","Andy Johnson")</f>
      </c>
      <c r="B2936" s="3" t="s">
        <v>19</v>
      </c>
      <c r="C2936" s="4">
        <v>8</v>
      </c>
    </row>
    <row r="2937">
      <c r="A2937" s="5">
        <f>HYPERLINK("https://app-web.statementrec.com/app#appuploadfiles/3a207ed5-a387-1c84-aa3e-5c0679754870","The Monday Spa Club (MSC)")</f>
      </c>
      <c r="B2937" s="3" t="s">
        <v>140</v>
      </c>
      <c r="C2937" s="4">
        <v>4</v>
      </c>
    </row>
    <row r="2938">
      <c r="A2938" s="5">
        <f>HYPERLINK("https://app-web.statementrec.com/app#appuploadfiles/3a207f05-2be0-ce7b-7ca7-30ddd203186d","AI Collaborative")</f>
      </c>
      <c r="B2938" s="3" t="s">
        <v>46</v>
      </c>
      <c r="C2938" s="4">
        <v>30</v>
      </c>
    </row>
    <row r="2939">
      <c r="A2939" s="5">
        <f>HYPERLINK("https://app-web.statementrec.com/app#appuploadfiles/3a207fae-fae3-23b8-4752-d854a837365b","Gecko Animation Limited")</f>
      </c>
      <c r="B2939" s="3" t="s">
        <v>26</v>
      </c>
      <c r="C2939" s="4">
        <v>7</v>
      </c>
    </row>
    <row r="2940">
      <c r="A2940" s="5">
        <f>HYPERLINK("https://app-web.statementrec.com/app#appuploadfiles/3a2083aa-aca8-5de7-0540-440f362c6f26","Edenderry Rugby Club")</f>
      </c>
      <c r="B2940" s="3" t="s">
        <v>3</v>
      </c>
      <c r="C2940" s="4">
        <v>2</v>
      </c>
    </row>
    <row r="2941">
      <c r="A2941" s="5">
        <f>HYPERLINK("https://app-web.statementrec.com/app#appuploadfiles/3a2083db-3933-02cf-aac3-39dc6558fcbd","Erova Energy Supply LTD EESL")</f>
      </c>
      <c r="B2941" s="3" t="s">
        <v>40</v>
      </c>
      <c r="C2941" s="4">
        <v>12</v>
      </c>
    </row>
    <row r="2942">
      <c r="A2942" s="5">
        <f>HYPERLINK("https://app-web.statementrec.com/app#appuploadfiles/3a208439-640c-6419-2d5c-a14a16d71fe8","Battery Tec Newton Park Branch")</f>
      </c>
      <c r="B2942" s="3" t="s">
        <v>264</v>
      </c>
      <c r="C2942" s="4">
        <v>5</v>
      </c>
    </row>
    <row r="2943">
      <c r="A2943" s="5">
        <f>HYPERLINK("https://app-web.statementrec.com/app#appuploadfiles/3a20844d-0c61-57bf-82c8-517717c31ca5","Lee Orr")</f>
      </c>
      <c r="B2943" s="3" t="s">
        <v>12</v>
      </c>
      <c r="C2943" s="4">
        <v>61</v>
      </c>
    </row>
    <row r="2944">
      <c r="A2944" s="5">
        <f>HYPERLINK("https://app-web.statementrec.com/app#appuploadfiles/3a2084c2-94e9-29af-9ab5-e9eef0ad7c9e","Leah Roulston")</f>
      </c>
      <c r="B2944" s="3" t="s">
        <v>36</v>
      </c>
      <c r="C2944" s="4">
        <v>45</v>
      </c>
    </row>
    <row r="2945">
      <c r="A2945" s="5">
        <f>HYPERLINK("https://app-web.statementrec.com/app#appuploadfiles/3a2084c4-b900-32a1-2a2c-9beee6e5285c","KEMWELL FIRE INTERNATIONAL LIMITED")</f>
      </c>
      <c r="B2945" s="3" t="s">
        <v>17</v>
      </c>
      <c r="C2945" s="4">
        <v>10</v>
      </c>
    </row>
    <row r="2946">
      <c r="A2946" s="5">
        <f>HYPERLINK("https://app-web.statementrec.com/app#appuploadfiles/3a2084e1-43be-05d3-0f79-28857e1765a9","A B Developing Ltd")</f>
      </c>
      <c r="B2946" s="3" t="s">
        <v>10</v>
      </c>
      <c r="C2946" s="4">
        <v>2</v>
      </c>
    </row>
    <row r="2947">
      <c r="A2947" s="5">
        <f>HYPERLINK("https://app-web.statementrec.com/app#appuploadfiles/3a2084f0-e870-8439-3df5-9e71be021a8d","LE PETIT RAMONEUR DU NORD S.E.N.C. (Benoit Goyer)")</f>
      </c>
      <c r="B2947" s="3" t="s">
        <v>40</v>
      </c>
      <c r="C2947" s="4">
        <v>57</v>
      </c>
    </row>
    <row r="2948">
      <c r="A2948" s="5">
        <f>HYPERLINK("https://app-web.statementrec.com/app#appuploadfiles/3a2088bf-6b83-193e-e559-2de0d50260b0","Brendan O'Boyle")</f>
      </c>
      <c r="B2948" s="3" t="s">
        <v>21</v>
      </c>
      <c r="C2948" s="4">
        <v>28</v>
      </c>
    </row>
    <row r="2949">
      <c r="A2949" s="5">
        <f>HYPERLINK("https://app-web.statementrec.com/app#appuploadfiles/3a20890b-90ff-83ea-3cc4-6beca5e4295b","OS Glasgow Limited (OSG080H)")</f>
      </c>
      <c r="B2949" s="3" t="s">
        <v>17</v>
      </c>
      <c r="C2949" s="4">
        <v>34</v>
      </c>
    </row>
    <row r="2950">
      <c r="A2950" s="5">
        <f>HYPERLINK("https://app-web.statementrec.com/app#appuploadfiles/3a208915-80f7-fad7-efb3-01eb21e13667","TS0129C The Samra Group Inc Ltd")</f>
      </c>
      <c r="B2950" s="3" t="s">
        <v>86</v>
      </c>
      <c r="C2950" s="4">
        <v>9</v>
      </c>
    </row>
    <row r="2951">
      <c r="A2951" s="5">
        <f>HYPERLINK("https://app-web.statementrec.com/app#appuploadfiles/3a208932-a2d3-aa18-0df1-3e524bb86eb6","CARONNE CARE LIMITED")</f>
      </c>
      <c r="B2951" s="3" t="s">
        <v>168</v>
      </c>
      <c r="C2951" s="4">
        <v>74</v>
      </c>
    </row>
    <row r="2952">
      <c r="A2952" s="5">
        <f>HYPERLINK("https://app-web.statementrec.com/app#appuploadfiles/3a208945-a089-f53c-9fc0-d2d09e364b5f","Guernsey Residential Home Limited")</f>
      </c>
      <c r="B2952" s="3" t="s">
        <v>604</v>
      </c>
      <c r="C2952" s="4">
        <v>13</v>
      </c>
    </row>
    <row r="2953">
      <c r="A2953" s="5">
        <f>HYPERLINK("https://app-web.statementrec.com/app#appuploadfiles/3a208b53-5dae-5309-7ab2-3ed1cee9b60b","02537-GokturkSalih (Burak)")</f>
      </c>
      <c r="B2953" s="3" t="s">
        <v>59</v>
      </c>
      <c r="C2953" s="4">
        <v>147</v>
      </c>
    </row>
    <row r="2954">
      <c r="A2954" s="5">
        <f>HYPERLINK("https://app-web.statementrec.com/app#appuploadfiles/3a2097ee-c931-27f8-07cf-f67b5ecbc644","Tighe Crook (Accountant)")</f>
      </c>
      <c r="B2954" s="3" t="s">
        <v>11</v>
      </c>
      <c r="C2954" s="4">
        <v>30</v>
      </c>
    </row>
    <row r="2955">
      <c r="A2955" s="5">
        <f>HYPERLINK("https://app-web.statementrec.com/app#appuploadfiles/3a2098f7-4a6a-f367-4fb0-937263b6e230","DZ")</f>
      </c>
      <c r="B2955" s="3" t="s">
        <v>316</v>
      </c>
      <c r="C2955" s="4">
        <v>2</v>
      </c>
    </row>
    <row r="2956">
      <c r="A2956" s="5">
        <f>HYPERLINK("https://app-web.statementrec.com/app#appuploadfiles/3a209cdc-1cc1-ac60-dc6b-acdef876372e","Equator Technologies (SA) (Pty) Ltd")</f>
      </c>
      <c r="B2956" s="3" t="s">
        <v>605</v>
      </c>
      <c r="C2956" s="4">
        <v>33</v>
      </c>
    </row>
    <row r="2957">
      <c r="A2957" s="5">
        <f>HYPERLINK("https://app-web.statementrec.com/app#appuploadfiles/3a209e6e-4011-836f-b0a0-9930a5a73349","LES MAISONS DE MONDRAN")</f>
      </c>
      <c r="B2957" s="3" t="s">
        <v>47</v>
      </c>
      <c r="C2957" s="4">
        <v>10</v>
      </c>
    </row>
    <row r="2958">
      <c r="A2958" s="5">
        <f>HYPERLINK("https://app-web.statementrec.com/app#appuploadfiles/3a209ee1-2bde-5839-feb5-cdc575363a17","Ed Stroud")</f>
      </c>
      <c r="B2958" s="3" t="s">
        <v>19</v>
      </c>
      <c r="C2958" s="4">
        <v>12</v>
      </c>
    </row>
    <row r="2959">
      <c r="A2959" s="5">
        <f>HYPERLINK("https://app-web.statementrec.com/app#appuploadfiles/3a20a28f-ac64-1f9e-00e3-1b1a9f75717f","CDP Accountants Pty Ltd")</f>
      </c>
      <c r="B2959" s="3" t="s">
        <v>118</v>
      </c>
      <c r="C2959" s="4">
        <v>4</v>
      </c>
    </row>
    <row r="2960">
      <c r="A2960" s="5">
        <f>HYPERLINK("https://app-web.statementrec.com/app#appuploadfiles/3a20a2da-4a5c-fcad-45cb-9388a718a491","Dara Distillery")</f>
      </c>
      <c r="B2960" s="3" t="s">
        <v>168</v>
      </c>
      <c r="C2960" s="4">
        <v>8</v>
      </c>
    </row>
    <row r="2961">
      <c r="A2961" s="5">
        <f>HYPERLINK("https://app-web.statementrec.com/app#appuploadfiles/3a20a7f3-e0ec-f63f-3868-67fb8b82b28e","Antolini Stone Gallery Limited")</f>
      </c>
      <c r="B2961" s="3" t="s">
        <v>26</v>
      </c>
      <c r="C2961" s="4">
        <v>2</v>
      </c>
    </row>
    <row r="2962">
      <c r="A2962" s="5">
        <f>HYPERLINK("https://app-web.statementrec.com/app#appuploadfiles/3a20a978-cbf6-a863-a007-6cb6c4592150","Communique")</f>
      </c>
      <c r="B2962" s="3" t="s">
        <v>158</v>
      </c>
      <c r="C2962" s="4">
        <v>16</v>
      </c>
    </row>
    <row r="2963">
      <c r="A2963" s="5">
        <f>HYPERLINK("https://app-web.statementrec.com/app#appuploadfiles/3a20ad04-d0b4-4a5b-a8e1-f59c160225f8","R T Builders &amp; Decorators Ltd")</f>
      </c>
      <c r="B2963" s="3" t="s">
        <v>26</v>
      </c>
      <c r="C2963" s="4">
        <v>15</v>
      </c>
    </row>
    <row r="2964">
      <c r="A2964" s="5">
        <f>HYPERLINK("https://app-web.statementrec.com/app#appuploadfiles/3a20adfd-98d8-4bc7-e676-f91b484f02f0","Direct Path Receuitment")</f>
      </c>
      <c r="B2964" s="3" t="s">
        <v>3</v>
      </c>
      <c r="C2964" s="4">
        <v>3</v>
      </c>
    </row>
    <row r="2965">
      <c r="A2965" s="5">
        <f>HYPERLINK("https://app-web.statementrec.com/app#appuploadfiles/3a20ae68-f8d4-c465-ee9f-b15543aab5ed","Mar 2026")</f>
      </c>
      <c r="B2965" s="3" t="s">
        <v>606</v>
      </c>
      <c r="C2965" s="4">
        <v>1</v>
      </c>
    </row>
    <row r="2966">
      <c r="A2966" s="5">
        <f>HYPERLINK("https://app-web.statementrec.com/app#appuploadfiles/3a20b55c-388a-b339-7bc1-594e044b5042","1452002 Alberta Ltd.")</f>
      </c>
      <c r="B2966" s="3" t="s">
        <v>185</v>
      </c>
      <c r="C2966" s="4">
        <v>19</v>
      </c>
    </row>
    <row r="2967">
      <c r="A2967" s="5">
        <f>HYPERLINK("https://app-web.statementrec.com/app#appuploadfiles/3a20bc8e-9e4e-286f-a6b9-dfd420c6ff0d","Antont Adams")</f>
      </c>
      <c r="B2967" s="3" t="s">
        <v>607</v>
      </c>
      <c r="C2967" s="4">
        <v>20</v>
      </c>
    </row>
    <row r="2968">
      <c r="A2968" s="5">
        <f>HYPERLINK("https://app-web.statementrec.com/app#appuploadfiles/3a20bdd0-d640-8257-1456-df4b4ece9787","Salbel Corp")</f>
      </c>
      <c r="B2968" s="3" t="s">
        <v>56</v>
      </c>
      <c r="C2968" s="4">
        <v>16</v>
      </c>
    </row>
    <row r="2969">
      <c r="A2969" s="5">
        <f>HYPERLINK("https://app-web.statementrec.com/app#appuploadfiles/3a20be67-7883-47fa-969c-ba7270491739","02340-Cervantes, Raul &amp; Sanez, Reagan")</f>
      </c>
      <c r="B2969" s="3" t="s">
        <v>58</v>
      </c>
      <c r="C2969" s="4">
        <v>16</v>
      </c>
    </row>
    <row r="2970">
      <c r="A2970" s="5">
        <f>HYPERLINK("https://app-web.statementrec.com/app#appuploadfiles/3a20be9c-4cb6-891f-0982-a2ea9339cac5","SUN LEE LAAN WHOLESALE FOOD LIMITED")</f>
      </c>
      <c r="B2970" s="3" t="s">
        <v>47</v>
      </c>
      <c r="C2970" s="4">
        <v>3</v>
      </c>
    </row>
    <row r="2971">
      <c r="A2971" s="5">
        <f>HYPERLINK("https://app-web.statementrec.com/app#appuploadfiles/3a20c1db-ade6-aa70-410d-8934a5f8f7fc","Time Recruitment Solutions Ltd")</f>
      </c>
      <c r="B2971" s="3" t="s">
        <v>213</v>
      </c>
      <c r="C2971" s="4">
        <v>14</v>
      </c>
    </row>
    <row r="2972">
      <c r="A2972" s="5">
        <f>HYPERLINK("https://app-web.statementrec.com/app#appuploadfiles/3a20c26f-ed1b-7f4d-fd94-380d56b3a696","Eamon O'Brien")</f>
      </c>
      <c r="B2972" s="3" t="s">
        <v>75</v>
      </c>
      <c r="C2972" s="4">
        <v>13</v>
      </c>
    </row>
    <row r="2973">
      <c r="A2973" s="5">
        <f>HYPERLINK("https://app-web.statementrec.com/app#appuploadfiles/3a20c2b1-26ed-e9f1-7d3a-cb4e7278817a","RDIJ002")</f>
      </c>
      <c r="B2973" s="3" t="s">
        <v>139</v>
      </c>
      <c r="C2973" s="4">
        <v>2</v>
      </c>
    </row>
    <row r="2974">
      <c r="A2974" s="5">
        <f>HYPERLINK("https://app-web.statementrec.com/app#appuploadfiles/3a20c2dc-bc48-c361-d198-82b2fda06e19","YE 05.04.2026")</f>
      </c>
      <c r="B2974" s="3" t="s">
        <v>26</v>
      </c>
      <c r="C2974" s="4">
        <v>61</v>
      </c>
    </row>
    <row r="2975">
      <c r="A2975" s="5">
        <f>HYPERLINK("https://app-web.statementrec.com/app#appuploadfiles/3a20c34b-846b-1c5c-ad6b-9af55f459589","Byrnes Gulf")</f>
      </c>
      <c r="B2975" s="3" t="s">
        <v>181</v>
      </c>
      <c r="C2975" s="4">
        <v>2</v>
      </c>
    </row>
    <row r="2976">
      <c r="A2976" s="5">
        <f>HYPERLINK("https://app-web.statementrec.com/app#appuploadfiles/3a20c74d-34c7-e715-1ad6-56b0cbb64595","Streetham Montessori Day Nursery")</f>
      </c>
      <c r="B2976" s="3" t="s">
        <v>17</v>
      </c>
      <c r="C2976" s="4">
        <v>15</v>
      </c>
    </row>
    <row r="2977">
      <c r="A2977" s="5">
        <f>HYPERLINK("https://app-web.statementrec.com/app#appuploadfiles/3a20c78e-6370-d910-1bd9-00045ac9e9ff","Nikki's Pub and Grill (Pty) Ltd")</f>
      </c>
      <c r="B2977" s="3" t="s">
        <v>264</v>
      </c>
      <c r="C2977" s="4">
        <v>5</v>
      </c>
    </row>
    <row r="2978">
      <c r="A2978" s="5">
        <f>HYPERLINK("https://app-web.statementrec.com/app#appuploadfiles/3a20c872-f5ee-635b-8391-88f1a46b3530","02701-ChinnAlice")</f>
      </c>
      <c r="B2978" s="3" t="s">
        <v>608</v>
      </c>
      <c r="C2978" s="4">
        <v>140</v>
      </c>
    </row>
    <row r="2979">
      <c r="A2979" s="5">
        <f>HYPERLINK("https://app-web.statementrec.com/app#appuploadfiles/3a20c999-c1e9-8d35-99ea-a64f63091fc8","xxxx")</f>
      </c>
      <c r="B2979" s="3" t="s">
        <v>609</v>
      </c>
      <c r="C2979" s="4">
        <v>19</v>
      </c>
    </row>
    <row r="2980">
      <c r="A2980" s="5">
        <f>HYPERLINK("https://app-web.statementrec.com/app#appuploadfiles/3a20cba7-7186-c415-e6a3-af0029c5bc2c","Kayleigh Hill (Client Services)")</f>
      </c>
      <c r="B2980" s="3" t="s">
        <v>259</v>
      </c>
      <c r="C2980" s="4">
        <v>4</v>
      </c>
    </row>
    <row r="2981">
      <c r="A2981" s="5">
        <f>HYPERLINK("https://app-web.statementrec.com/app#appuploadfiles/3a20cbb8-199b-b44e-e87b-16c8b8676b0f","NYAMEZELA FUNERAL SERVICES")</f>
      </c>
      <c r="B2981" s="3" t="s">
        <v>610</v>
      </c>
      <c r="C2981" s="4">
        <v>11</v>
      </c>
    </row>
    <row r="2982">
      <c r="A2982" s="5">
        <f>HYPERLINK("https://app-web.statementrec.com/app#appuploadfiles/3a20cbdd-9067-09c2-279b-7b72186aeae1","KLAIRE CARRIERS LTD")</f>
      </c>
      <c r="B2982" s="3" t="s">
        <v>17</v>
      </c>
      <c r="C2982" s="4">
        <v>101</v>
      </c>
    </row>
    <row r="2983">
      <c r="A2983" s="5">
        <f>HYPERLINK("https://app-web.statementrec.com/app#appuploadfiles/3a20cc02-489a-19de-e845-7ff33f39dcbf","HBP")</f>
      </c>
      <c r="B2983" s="3" t="s">
        <v>80</v>
      </c>
      <c r="C2983" s="4">
        <v>16</v>
      </c>
    </row>
    <row r="2984">
      <c r="A2984" s="5">
        <f>HYPERLINK("https://app-web.statementrec.com/app#appuploadfiles/3a20ccb3-38c3-27fb-a280-7a1d7b6ed6ec","Barbara Anderson (Accountant)")</f>
      </c>
      <c r="B2984" s="3" t="s">
        <v>84</v>
      </c>
      <c r="C2984" s="4">
        <v>21</v>
      </c>
    </row>
    <row r="2985">
      <c r="A2985" s="5">
        <f>HYPERLINK("https://app-web.statementrec.com/app#appuploadfiles/3a20ccc3-2fa5-60e0-037e-170ee4dae31a","Tsogo Secondary School")</f>
      </c>
      <c r="B2985" s="3" t="s">
        <v>38</v>
      </c>
      <c r="C2985" s="4">
        <v>28</v>
      </c>
    </row>
    <row r="2986">
      <c r="A2986" s="5">
        <f>HYPERLINK("https://app-web.statementrec.com/app#appuploadfiles/3a20cd21-4774-4e64-cad5-a9edee0f4135","Calace Limited")</f>
      </c>
      <c r="B2986" s="3" t="s">
        <v>11</v>
      </c>
      <c r="C2986" s="4">
        <v>11</v>
      </c>
    </row>
    <row r="2987">
      <c r="A2987" s="5">
        <f>HYPERLINK("https://app-web.statementrec.com/app#appuploadfiles/3a20cda4-826b-4603-cad0-d970e84199cb","Mentor BnB Inc.")</f>
      </c>
      <c r="B2987" s="3" t="s">
        <v>611</v>
      </c>
      <c r="C2987" s="4">
        <v>345</v>
      </c>
    </row>
    <row r="2988">
      <c r="A2988" s="5">
        <f>HYPERLINK("https://app-web.statementrec.com/app#appuploadfiles/3a20ce99-27eb-9d34-22af-1c156ce709fa","KD KHONKHE")</f>
      </c>
      <c r="B2988" s="3" t="s">
        <v>118</v>
      </c>
      <c r="C2988" s="4">
        <v>372</v>
      </c>
    </row>
    <row r="2989">
      <c r="A2989" s="5">
        <f>HYPERLINK("https://app-web.statementrec.com/app#appuploadfiles/3a20d0ae-e73a-0fbc-a522-0d808806a36b","NIGHT GUARD 2024 BANK")</f>
      </c>
      <c r="B2989" s="3" t="s">
        <v>80</v>
      </c>
      <c r="C2989" s="4">
        <v>989</v>
      </c>
    </row>
    <row r="2990">
      <c r="A2990" s="5">
        <f>HYPERLINK("https://app-web.statementrec.com/app#appuploadfiles/3a20d0e7-7830-3e63-20a0-42fca4609635","Kleinbroekskool")</f>
      </c>
      <c r="B2990" s="3" t="s">
        <v>38</v>
      </c>
      <c r="C2990" s="4">
        <v>10</v>
      </c>
    </row>
    <row r="2991">
      <c r="A2991" s="5">
        <f>HYPERLINK("https://app-web.statementrec.com/app#appuploadfiles/3a20d15a-072c-74de-2b27-09aa3517b38c","Micron Agritech Limited")</f>
      </c>
      <c r="B2991" s="3" t="s">
        <v>504</v>
      </c>
      <c r="C2991" s="4">
        <v>31</v>
      </c>
    </row>
    <row r="2992">
      <c r="A2992" s="5">
        <f>HYPERLINK("https://app-web.statementrec.com/app#appuploadfiles/3a20d21b-4246-d50d-3a41-540de5410a05","Revolut - Maria")</f>
      </c>
      <c r="B2992" s="3" t="s">
        <v>11</v>
      </c>
      <c r="C2992" s="4">
        <v>1</v>
      </c>
    </row>
    <row r="2993">
      <c r="A2993" s="5">
        <f>HYPERLINK("https://app-web.statementrec.com/app#appuploadfiles/3a20d21c-5cce-8e50-f560-ebb01a108307","Revolut - Constantinos")</f>
      </c>
      <c r="B2993" s="3" t="s">
        <v>26</v>
      </c>
      <c r="C2993" s="4">
        <v>1</v>
      </c>
    </row>
    <row r="2994">
      <c r="A2994" s="5">
        <f>HYPERLINK("https://app-web.statementrec.com/app#appuploadfiles/3a20d252-e916-3d38-8607-946804df30d2","APW Forensic Anthropology")</f>
      </c>
      <c r="B2994" s="3" t="s">
        <v>11</v>
      </c>
      <c r="C2994" s="4">
        <v>2</v>
      </c>
    </row>
    <row r="2995">
      <c r="A2995" s="5">
        <f>HYPERLINK("https://app-web.statementrec.com/app#appuploadfiles/3a20e062-e7d5-f397-e91f-83d0723d4c9a","PA0194 DEH Construction Ltd")</f>
      </c>
      <c r="B2995" s="3" t="s">
        <v>168</v>
      </c>
      <c r="C2995" s="4">
        <v>4</v>
      </c>
    </row>
    <row r="2996">
      <c r="A2996" s="5">
        <f>HYPERLINK("https://app-web.statementrec.com/app#appuploadfiles/3a20e080-065f-7492-cca0-dc439bb0b5a1","VOYAGES POUR NOUS")</f>
      </c>
      <c r="B2996" s="3" t="s">
        <v>612</v>
      </c>
      <c r="C2996" s="4">
        <v>128</v>
      </c>
    </row>
    <row r="2997">
      <c r="A2997" s="5">
        <f>HYPERLINK("https://app-web.statementrec.com/app#appuploadfiles/3a20e0bf-6a74-69c5-cd16-95ee22d1ca2f","BPS Property Holdings")</f>
      </c>
      <c r="B2997" s="3" t="s">
        <v>40</v>
      </c>
      <c r="C2997" s="4">
        <v>1</v>
      </c>
    </row>
    <row r="2998">
      <c r="A2998" s="5">
        <f>HYPERLINK("https://app-web.statementrec.com/app#appuploadfiles/3a20e1cd-869c-2db4-0f79-d04319a34933","Matthew Hayes 2025")</f>
      </c>
      <c r="B2998" s="3" t="s">
        <v>13</v>
      </c>
      <c r="C2998" s="4">
        <v>14</v>
      </c>
    </row>
    <row r="2999">
      <c r="A2999" s="5">
        <f>HYPERLINK("https://app-web.statementrec.com/app#appuploadfiles/3a20e252-ec44-b904-30a5-7b596ce30818","Apr 2026")</f>
      </c>
      <c r="B2999" s="3" t="s">
        <v>613</v>
      </c>
      <c r="C2999" s="4">
        <v>7</v>
      </c>
    </row>
    <row r="3000">
      <c r="A3000" s="5">
        <f>HYPERLINK("https://app-web.statementrec.com/app#appuploadfiles/3a20e5ce-c882-4132-e9e3-e8a7f9414692","TJ O'Riordan")</f>
      </c>
      <c r="B3000" s="3" t="s">
        <v>356</v>
      </c>
      <c r="C3000" s="4">
        <v>38</v>
      </c>
    </row>
    <row r="3001">
      <c r="A3001" s="5">
        <f>HYPERLINK("https://app-web.statementrec.com/app#appuploadfiles/3a20e800-ce1d-de30-b8ff-c6dab12462b3","Dr. Akinyele Iyiola PC - C926 - Hirsch")</f>
      </c>
      <c r="B3001" s="3" t="s">
        <v>16</v>
      </c>
      <c r="C3001" s="4">
        <v>43</v>
      </c>
    </row>
    <row r="3002">
      <c r="A3002" s="5">
        <f>HYPERLINK("https://app-web.statementrec.com/app#appuploadfiles/3a20ea63-6aa7-ecd6-8948-18c9a2c0579b","Rachel Galley")</f>
      </c>
      <c r="B3002" s="3" t="s">
        <v>17</v>
      </c>
      <c r="C3002" s="4">
        <v>100</v>
      </c>
    </row>
    <row r="3003">
      <c r="A3003" s="5">
        <f>HYPERLINK("https://app-web.statementrec.com/app#appuploadfiles/3a20ea7b-dfce-8c51-356e-de4ba50b76ed","HMN SOLUTIONS")</f>
      </c>
      <c r="B3003" s="3" t="s">
        <v>118</v>
      </c>
      <c r="C3003" s="4">
        <v>62</v>
      </c>
    </row>
    <row r="3004">
      <c r="A3004" s="5">
        <f>HYPERLINK("https://app-web.statementrec.com/app#appuploadfiles/3a20ea83-cbaf-5a6a-92d1-2e4517f98446","Kilnaleck Car Sales Limited")</f>
      </c>
      <c r="B3004" s="3" t="s">
        <v>614</v>
      </c>
      <c r="C3004" s="4">
        <v>2</v>
      </c>
    </row>
    <row r="3005">
      <c r="A3005" s="5">
        <f>HYPERLINK("https://app-web.statementrec.com/app#appuploadfiles/3a20ea87-5850-fe29-50ab-851b54073e25","Aoife Dunican")</f>
      </c>
      <c r="B3005" s="3" t="s">
        <v>33</v>
      </c>
      <c r="C3005" s="4">
        <v>2</v>
      </c>
    </row>
    <row r="3006">
      <c r="A3006" s="5">
        <f>HYPERLINK("https://app-web.statementrec.com/app#appuploadfiles/3a20eac8-490f-4cc6-d3dd-a29b928376bd","NEW VISION TOWN PLANNERS AND DEVOLOPERS")</f>
      </c>
      <c r="B3006" s="3" t="s">
        <v>40</v>
      </c>
      <c r="C3006" s="4">
        <v>45</v>
      </c>
    </row>
    <row r="3007">
      <c r="A3007" s="5">
        <f>HYPERLINK("https://app-web.statementrec.com/app#appuploadfiles/3a20ebd7-6a18-72a5-a6c6-0c25d934844e","Tyne prop  Mar 26")</f>
      </c>
      <c r="B3007" s="3" t="s">
        <v>615</v>
      </c>
      <c r="C3007" s="4">
        <v>7</v>
      </c>
    </row>
    <row r="3008">
      <c r="A3008" s="5">
        <f>HYPERLINK("https://app-web.statementrec.com/app#appuploadfiles/3a20ebfe-27ad-4634-d99c-3c4b5b4dad97","Wild Wattle Estate CC")</f>
      </c>
      <c r="B3008" s="3" t="s">
        <v>553</v>
      </c>
      <c r="C3008" s="4">
        <v>7</v>
      </c>
    </row>
    <row r="3009">
      <c r="A3009" s="5">
        <f>HYPERLINK("https://app-web.statementrec.com/app#appuploadfiles/3a20ec2f-d01f-5c09-dedc-57bee33f525c","Year ended March 2026")</f>
      </c>
      <c r="B3009" s="3" t="s">
        <v>54</v>
      </c>
      <c r="C3009" s="4">
        <v>187</v>
      </c>
    </row>
    <row r="3010">
      <c r="A3010" s="5">
        <f>HYPERLINK("https://app-web.statementrec.com/app#appuploadfiles/3a20ec70-6660-2a7b-81f7-f2b24eef5016","L.A. Yasenik Holdings Ltd.")</f>
      </c>
      <c r="B3010" s="3" t="s">
        <v>181</v>
      </c>
      <c r="C3010" s="4">
        <v>12</v>
      </c>
    </row>
    <row r="3011">
      <c r="A3011" s="5">
        <f>HYPERLINK("https://app-web.statementrec.com/app#appuploadfiles/3a20ece4-9a46-618a-5606-1a27d7e8b138","North Concept Framing")</f>
      </c>
      <c r="B3011" s="3" t="s">
        <v>616</v>
      </c>
      <c r="C3011" s="4">
        <v>164</v>
      </c>
    </row>
    <row r="3012">
      <c r="A3012" s="5">
        <f>HYPERLINK("https://app-web.statementrec.com/app#appuploadfiles/3a20eddd-7351-aa24-979f-02d0510f5a2d","Jawwad")</f>
      </c>
      <c r="B3012" s="3" t="s">
        <v>617</v>
      </c>
      <c r="C3012" s="4">
        <v>4</v>
      </c>
    </row>
    <row r="3013">
      <c r="A3013" s="5">
        <f>HYPERLINK("https://app-web.statementrec.com/app#appuploadfiles/3a20efb3-6ab0-a261-928c-132e2cffd1e1","Lisleitrim Plant Ltd")</f>
      </c>
      <c r="B3013" s="3" t="s">
        <v>11</v>
      </c>
      <c r="C3013" s="4">
        <v>5</v>
      </c>
    </row>
    <row r="3014">
      <c r="A3014" s="5">
        <f>HYPERLINK("https://app-web.statementrec.com/app#appuploadfiles/3a20f02a-cd73-f7cb-98e5-e5fdbb6c7551","Tricom Engineering Limited")</f>
      </c>
      <c r="B3014" s="3" t="s">
        <v>618</v>
      </c>
      <c r="C3014" s="4">
        <v>4</v>
      </c>
    </row>
    <row r="3015">
      <c r="A3015" s="5">
        <f>HYPERLINK("https://app-web.statementrec.com/app#appuploadfiles/3a20f08a-b98a-733e-86e0-db906a7a8840","Adams of crediton ltd 2025")</f>
      </c>
      <c r="B3015" s="3" t="s">
        <v>52</v>
      </c>
      <c r="C3015" s="4">
        <v>6</v>
      </c>
    </row>
    <row r="3016">
      <c r="A3016" s="5">
        <f>HYPERLINK("https://app-web.statementrec.com/app#appuploadfiles/3a20f1ac-24d8-ae37-9d65-902bb95c714a","Agriovum 2026")</f>
      </c>
      <c r="B3016" s="3" t="s">
        <v>619</v>
      </c>
      <c r="C3016" s="4">
        <v>15</v>
      </c>
    </row>
    <row r="3017">
      <c r="A3017" s="5">
        <f>HYPERLINK("https://app-web.statementrec.com/app#appuploadfiles/3a20f1c8-8a50-358e-7dd1-77ddcd31ccaa","Relentless Ventures")</f>
      </c>
      <c r="B3017" s="3" t="s">
        <v>294</v>
      </c>
      <c r="C3017" s="4">
        <v>7</v>
      </c>
    </row>
    <row r="3018">
      <c r="A3018" s="5">
        <f>HYPERLINK("https://app-web.statementrec.com/app#appuploadfiles/3a20f23e-0205-c1da-fec8-208ea4c504cb","LLoyds CC")</f>
      </c>
      <c r="B3018" s="3" t="s">
        <v>15</v>
      </c>
      <c r="C3018" s="4">
        <v>52</v>
      </c>
    </row>
    <row r="3019">
      <c r="A3019" s="5">
        <f>HYPERLINK("https://app-web.statementrec.com/app#appuploadfiles/3a20f256-5e4e-4cde-4394-6abdb2878930","2025")</f>
      </c>
      <c r="B3019" s="3" t="s">
        <v>16</v>
      </c>
      <c r="C3019" s="4">
        <v>15</v>
      </c>
    </row>
    <row r="3020">
      <c r="A3020" s="5">
        <f>HYPERLINK("https://app-web.statementrec.com/app#appuploadfiles/3a20f434-d209-77ec-001f-0499bddcdf8c","Marshall, Connie")</f>
      </c>
      <c r="B3020" s="3" t="s">
        <v>168</v>
      </c>
      <c r="C3020" s="4">
        <v>59</v>
      </c>
    </row>
    <row r="3021">
      <c r="A3021" s="5">
        <f>HYPERLINK("https://app-web.statementrec.com/app#appuploadfiles/3a20f495-616b-d807-27e9-2cabbcfe80d3","GREATER LONDON CONCRETE LTD")</f>
      </c>
      <c r="B3021" s="3" t="s">
        <v>70</v>
      </c>
      <c r="C3021" s="4">
        <v>36</v>
      </c>
    </row>
    <row r="3022">
      <c r="A3022" s="5">
        <f>HYPERLINK("https://app-web.statementrec.com/app#appuploadfiles/3a20f4d8-639a-8dff-8a29-72a3819e9b01","D W Morgan")</f>
      </c>
      <c r="B3022" s="3" t="s">
        <v>17</v>
      </c>
      <c r="C3022" s="4">
        <v>40</v>
      </c>
    </row>
    <row r="3023">
      <c r="A3023" s="5">
        <f>HYPERLINK("https://app-web.statementrec.com/app#appuploadfiles/3a20f4e2-a905-a226-4302-e1af89f30686","Alpha Pro Partners")</f>
      </c>
      <c r="B3023" s="3" t="s">
        <v>620</v>
      </c>
      <c r="C3023" s="4">
        <v>82</v>
      </c>
    </row>
    <row r="3024">
      <c r="A3024" s="5">
        <f>HYPERLINK("https://app-web.statementrec.com/app#appuploadfiles/3a20f4f7-4681-07db-7c03-c821fbb722ca","William Fields")</f>
      </c>
      <c r="B3024" s="3" t="s">
        <v>26</v>
      </c>
      <c r="C3024" s="4">
        <v>98</v>
      </c>
    </row>
    <row r="3025">
      <c r="A3025" s="5">
        <f>HYPERLINK("https://app-web.statementrec.com/app#appuploadfiles/3a20f4f8-f676-baef-cb9a-0ed4c75e579b","Mary Godding")</f>
      </c>
      <c r="B3025" s="3" t="s">
        <v>621</v>
      </c>
      <c r="C3025" s="4">
        <v>4</v>
      </c>
    </row>
    <row r="3026">
      <c r="A3026" s="5">
        <f>HYPERLINK("https://app-web.statementrec.com/app#appuploadfiles/3a20f50f-214e-63f9-69da-129e889bd909","03-26")</f>
      </c>
      <c r="B3026" s="3" t="s">
        <v>15</v>
      </c>
      <c r="C3026" s="4">
        <v>16</v>
      </c>
    </row>
    <row r="3027">
      <c r="A3027" s="5">
        <f>HYPERLINK("https://app-web.statementrec.com/app#appuploadfiles/3a20f510-3b94-7415-7280-b7cae8acbbde","Lucy Lee - L4093")</f>
      </c>
      <c r="B3027" s="3" t="s">
        <v>36</v>
      </c>
      <c r="C3027" s="4">
        <v>15</v>
      </c>
    </row>
    <row r="3028">
      <c r="A3028" s="5">
        <f>HYPERLINK("https://app-web.statementrec.com/app#appuploadfiles/3a20f510-4051-8ffd-f862-d264777b8144","APS Heating")</f>
      </c>
      <c r="B3028" s="3" t="s">
        <v>116</v>
      </c>
      <c r="C3028" s="4">
        <v>1</v>
      </c>
    </row>
    <row r="3029">
      <c r="A3029" s="5">
        <f>HYPERLINK("https://app-web.statementrec.com/app#appuploadfiles/3a20f510-d90e-bd88-888e-9cd6a83fb498","ye 31-03-26")</f>
      </c>
      <c r="B3029" s="3" t="s">
        <v>265</v>
      </c>
      <c r="C3029" s="4">
        <v>11</v>
      </c>
    </row>
    <row r="3030">
      <c r="A3030" s="5">
        <f>HYPERLINK("https://app-web.statementrec.com/app#appuploadfiles/3a20f51d-9684-0499-d054-dda73b01d958","Blanchards Bailey LLP")</f>
      </c>
      <c r="B3030" s="3" t="s">
        <v>18</v>
      </c>
      <c r="C3030" s="4">
        <v>11</v>
      </c>
    </row>
    <row r="3031">
      <c r="A3031" s="5">
        <f>HYPERLINK("https://app-web.statementrec.com/app#appuploadfiles/3a20f51e-2d40-94b6-03c0-e2c083e4ffae","Speed Ecom LLP")</f>
      </c>
      <c r="B3031" s="3" t="s">
        <v>10</v>
      </c>
      <c r="C3031" s="4">
        <v>11</v>
      </c>
    </row>
    <row r="3032">
      <c r="A3032" s="5">
        <f>HYPERLINK("https://app-web.statementrec.com/app#appuploadfiles/3a20f522-327d-ea35-34cb-0e0c7f9a3d89","April 2026")</f>
      </c>
      <c r="B3032" s="3" t="s">
        <v>15</v>
      </c>
      <c r="C3032" s="4">
        <v>4</v>
      </c>
    </row>
    <row r="3033">
      <c r="A3033" s="5">
        <f>HYPERLINK("https://app-web.statementrec.com/app#appuploadfiles/3a20f522-825e-15fe-8947-b93c4c8cbd0b","October 2025")</f>
      </c>
      <c r="B3033" s="3" t="s">
        <v>81</v>
      </c>
      <c r="C3033" s="4">
        <v>4</v>
      </c>
    </row>
    <row r="3034">
      <c r="A3034" s="5">
        <f>HYPERLINK("https://app-web.statementrec.com/app#appuploadfiles/3a20f532-01a3-6fc7-4aed-8319f3134de0","Virgin Money March 26 Quarter")</f>
      </c>
      <c r="B3034" s="3" t="s">
        <v>29</v>
      </c>
      <c r="C3034" s="4">
        <v>1</v>
      </c>
    </row>
    <row r="3035">
      <c r="A3035" s="5">
        <f>HYPERLINK("https://app-web.statementrec.com/app#appuploadfiles/3a20f543-0b9d-2e75-c416-301dcf233283","Harvest Jacks")</f>
      </c>
      <c r="B3035" s="3" t="s">
        <v>18</v>
      </c>
      <c r="C3035" s="4">
        <v>6</v>
      </c>
    </row>
    <row r="3036">
      <c r="A3036" s="5">
        <f>HYPERLINK("https://app-web.statementrec.com/app#appuploadfiles/3a20f56f-5e7d-88db-c937-2ef6a4033aee","Prism Medical Writing Ltd")</f>
      </c>
      <c r="B3036" s="3" t="s">
        <v>140</v>
      </c>
      <c r="C3036" s="4">
        <v>7</v>
      </c>
    </row>
    <row r="3037">
      <c r="A3037" s="5">
        <f>HYPERLINK("https://app-web.statementrec.com/app#appuploadfiles/3a20f570-77b6-317a-5b49-762b36106c56","Halifax CC")</f>
      </c>
      <c r="B3037" s="3" t="s">
        <v>73</v>
      </c>
      <c r="C3037" s="4">
        <v>24</v>
      </c>
    </row>
    <row r="3038">
      <c r="A3038" s="5">
        <f>HYPERLINK("https://app-web.statementrec.com/app#appuploadfiles/3a20f573-6aa8-7ac6-cc16-c827d7c39d85","SANTA CARE LIMITED")</f>
      </c>
      <c r="B3038" s="3" t="s">
        <v>13</v>
      </c>
      <c r="C3038" s="4">
        <v>93</v>
      </c>
    </row>
    <row r="3039">
      <c r="A3039" s="5">
        <f>HYPERLINK("https://app-web.statementrec.com/app#appuploadfiles/3a20f573-76c4-1482-f218-77bcb3aa81e1","Wings of Daedalus Management Limited")</f>
      </c>
      <c r="B3039" s="3" t="s">
        <v>44</v>
      </c>
      <c r="C3039" s="4">
        <v>17</v>
      </c>
    </row>
    <row r="3040">
      <c r="A3040" s="5">
        <f>HYPERLINK("https://app-web.statementrec.com/app#appuploadfiles/3a20f576-cf28-e5b2-d52f-ff28ca3f1a24","Rebecca Johnston")</f>
      </c>
      <c r="B3040" s="3" t="s">
        <v>19</v>
      </c>
      <c r="C3040" s="4">
        <v>50</v>
      </c>
    </row>
    <row r="3041">
      <c r="A3041" s="5">
        <f>HYPERLINK("https://app-web.statementrec.com/app#appuploadfiles/3a20f579-5744-f0f3-321f-d5eddc9e4e69","03.26")</f>
      </c>
      <c r="B3041" s="3" t="s">
        <v>17</v>
      </c>
      <c r="C3041" s="4">
        <v>9</v>
      </c>
    </row>
    <row r="3042">
      <c r="A3042" s="5">
        <f>HYPERLINK("https://app-web.statementrec.com/app#appuploadfiles/3a20f57a-f9a1-11a5-b167-1a2452eb2341","PAR11(Parkland Parties)")</f>
      </c>
      <c r="B3042" s="3" t="s">
        <v>12</v>
      </c>
      <c r="C3042" s="4">
        <v>60</v>
      </c>
    </row>
    <row r="3043">
      <c r="A3043" s="5">
        <f>HYPERLINK("https://app-web.statementrec.com/app#appuploadfiles/3a20f57c-b580-6b29-e425-1c0b841b77d7","EMMA Global Ltd")</f>
      </c>
      <c r="B3043" s="3" t="s">
        <v>12</v>
      </c>
      <c r="C3043" s="4">
        <v>8</v>
      </c>
    </row>
    <row r="3044">
      <c r="A3044" s="5">
        <f>HYPERLINK("https://app-web.statementrec.com/app#appuploadfiles/3a20f583-04c0-cbde-50e0-a30a144e946a","Chay Comfort")</f>
      </c>
      <c r="B3044" s="3" t="s">
        <v>139</v>
      </c>
      <c r="C3044" s="4">
        <v>26</v>
      </c>
    </row>
    <row r="3045">
      <c r="A3045" s="5">
        <f>HYPERLINK("https://app-web.statementrec.com/app#appuploadfiles/3a20f58e-4e25-527c-3751-40451d51eab6","JURA TRADING LIMITED-2026-05-01 11-51-48")</f>
      </c>
      <c r="B3045" s="3" t="s">
        <v>40</v>
      </c>
      <c r="C3045" s="4">
        <v>27</v>
      </c>
    </row>
    <row r="3046">
      <c r="A3046" s="5">
        <f>HYPERLINK("https://app-web.statementrec.com/app#appuploadfiles/3a20f591-31bb-6a50-d423-690b704eac06","Massage Matters Inc. (Shaun Lambrou)")</f>
      </c>
      <c r="B3046" s="3" t="s">
        <v>590</v>
      </c>
      <c r="C3046" s="4">
        <v>4</v>
      </c>
    </row>
    <row r="3047">
      <c r="A3047" s="5">
        <f>HYPERLINK("https://app-web.statementrec.com/app#appuploadfiles/3a20f5ac-a3f5-0cad-9c05-d0849e382218","Ballyhoo Dance")</f>
      </c>
      <c r="B3047" s="3" t="s">
        <v>17</v>
      </c>
      <c r="C3047" s="4">
        <v>13</v>
      </c>
    </row>
    <row r="3048">
      <c r="A3048" s="5">
        <f>HYPERLINK("https://app-web.statementrec.com/app#appuploadfiles/3a20f5b3-0537-38e1-7b08-192ac97b22a9","West Country Telecommunications Ltd")</f>
      </c>
      <c r="B3048" s="3" t="s">
        <v>13</v>
      </c>
      <c r="C3048" s="4">
        <v>4</v>
      </c>
    </row>
    <row r="3049">
      <c r="A3049" s="5">
        <f>HYPERLINK("https://app-web.statementrec.com/app#appuploadfiles/3a20f5b4-930a-63b6-63f4-b91c311e8a48","apr 26")</f>
      </c>
      <c r="B3049" s="3" t="s">
        <v>3</v>
      </c>
      <c r="C3049" s="4">
        <v>35</v>
      </c>
    </row>
    <row r="3050">
      <c r="A3050" s="5">
        <f>HYPERLINK("https://app-web.statementrec.com/app#appuploadfiles/3a20f5ce-c8d8-ff15-054b-f97ada2c9f5a","Siphephile Haven")</f>
      </c>
      <c r="B3050" s="3" t="s">
        <v>80</v>
      </c>
      <c r="C3050" s="4">
        <v>2</v>
      </c>
    </row>
    <row r="3051">
      <c r="A3051" s="5">
        <f>HYPERLINK("https://app-web.statementrec.com/app#appuploadfiles/3a20f5dd-521b-e6aa-94ba-955b9eb16b84","2025")</f>
      </c>
      <c r="B3051" s="3" t="s">
        <v>26</v>
      </c>
      <c r="C3051" s="4">
        <v>44</v>
      </c>
    </row>
    <row r="3052">
      <c r="A3052" s="5">
        <f>HYPERLINK("https://app-web.statementrec.com/app#appuploadfiles/3a20f5fb-56b6-6d7d-a25e-ca2ade4a606c","Brother Strut Ltd")</f>
      </c>
      <c r="B3052" s="3" t="s">
        <v>18</v>
      </c>
      <c r="C3052" s="4">
        <v>78</v>
      </c>
    </row>
    <row r="3053">
      <c r="A3053" s="5">
        <f>HYPERLINK("https://app-web.statementrec.com/app#appuploadfiles/3a20f602-817b-3e5d-75a6-0e601ce7cce8","ASSADULLAH WAHID")</f>
      </c>
      <c r="B3053" s="3" t="s">
        <v>8</v>
      </c>
      <c r="C3053" s="4">
        <v>9</v>
      </c>
    </row>
    <row r="3054">
      <c r="A3054" s="5">
        <f>HYPERLINK("https://app-web.statementrec.com/app#appuploadfiles/3a20f61b-0af9-fcd5-8d2d-3ac91255a91e","Hal Holmes-Pierce t/a elevate your sole")</f>
      </c>
      <c r="B3054" s="3" t="s">
        <v>22</v>
      </c>
      <c r="C3054" s="4">
        <v>104</v>
      </c>
    </row>
    <row r="3055">
      <c r="A3055" s="5">
        <f>HYPERLINK("https://app-web.statementrec.com/app#appuploadfiles/3a20f622-a30a-7fa0-067b-89097a99c0ca","Mansfield Sales and Lettings Limited")</f>
      </c>
      <c r="B3055" s="3" t="s">
        <v>168</v>
      </c>
      <c r="C3055" s="4">
        <v>15</v>
      </c>
    </row>
    <row r="3056">
      <c r="A3056" s="5">
        <f>HYPERLINK("https://app-web.statementrec.com/app#appuploadfiles/3a20f62c-d665-68b5-d928-c44e9f69cca2","Apr 26 current")</f>
      </c>
      <c r="B3056" s="3" t="s">
        <v>8</v>
      </c>
      <c r="C3056" s="4">
        <v>7</v>
      </c>
    </row>
    <row r="3057">
      <c r="A3057" s="5">
        <f>HYPERLINK("https://app-web.statementrec.com/app#appuploadfiles/3a20f62d-215c-5cff-630d-ab886d99fc6b","Apr 26 savings")</f>
      </c>
      <c r="B3057" s="3" t="s">
        <v>8</v>
      </c>
      <c r="C3057" s="4">
        <v>1</v>
      </c>
    </row>
    <row r="3058">
      <c r="A3058" s="5">
        <f>HYPERLINK("https://app-web.statementrec.com/app#appuploadfiles/3a20f636-12ee-3d89-d93e-fc3986a9c05c","Iveson Insurance Brokerage LLC")</f>
      </c>
      <c r="B3058" s="3" t="s">
        <v>67</v>
      </c>
      <c r="C3058" s="4">
        <v>63</v>
      </c>
    </row>
    <row r="3059">
      <c r="A3059" s="5">
        <f>HYPERLINK("https://app-web.statementrec.com/app#appuploadfiles/3a20f636-9f3c-5d21-ae7c-2216be082a5e","Embrace Care Northwest Limited")</f>
      </c>
      <c r="B3059" s="3" t="s">
        <v>15</v>
      </c>
      <c r="C3059" s="4">
        <v>1</v>
      </c>
    </row>
    <row r="3060">
      <c r="A3060" s="5">
        <f>HYPERLINK("https://app-web.statementrec.com/app#appuploadfiles/3a20f64f-b0ef-f1b4-33da-33e33c6a3577","TORBAY FISH LIMITED")</f>
      </c>
      <c r="B3060" s="3" t="s">
        <v>15</v>
      </c>
      <c r="C3060" s="4">
        <v>8</v>
      </c>
    </row>
    <row r="3061">
      <c r="A3061" s="5">
        <f>HYPERLINK("https://app-web.statementrec.com/app#appuploadfiles/3a20f650-c44c-9e84-90e8-7cd4046b9ce2","Powerhouse Systems")</f>
      </c>
      <c r="B3061" s="3" t="s">
        <v>17</v>
      </c>
      <c r="C3061" s="4">
        <v>12</v>
      </c>
    </row>
    <row r="3062">
      <c r="A3062" s="5">
        <f>HYPERLINK("https://app-web.statementrec.com/app#appuploadfiles/3a20f650-c81c-c0e4-a068-641f37016a14","Emily Delap")</f>
      </c>
      <c r="B3062" s="3" t="s">
        <v>622</v>
      </c>
      <c r="C3062" s="4">
        <v>32</v>
      </c>
    </row>
    <row r="3063">
      <c r="A3063" s="5">
        <f>HYPERLINK("https://app-web.statementrec.com/app#appuploadfiles/3a20f665-dc4d-d793-5c8e-f49970bfc272","Enginuity Workforce Limited")</f>
      </c>
      <c r="B3063" s="3" t="s">
        <v>43</v>
      </c>
      <c r="C3063" s="4">
        <v>10</v>
      </c>
    </row>
    <row r="3064">
      <c r="A3064" s="5">
        <f>HYPERLINK("https://app-web.statementrec.com/app#appuploadfiles/3a20f675-7673-a39d-73d2-593146b94159","10.01.26 - 10.04.26")</f>
      </c>
      <c r="B3064" s="3" t="s">
        <v>12</v>
      </c>
      <c r="C3064" s="4">
        <v>6</v>
      </c>
    </row>
    <row r="3065">
      <c r="A3065" s="5">
        <f>HYPERLINK("https://app-web.statementrec.com/app#appuploadfiles/3a20f694-015a-aac4-4e61-8f11b9596c3f","02604-O'Connor, Jessica &amp; Michael")</f>
      </c>
      <c r="B3065" s="3" t="s">
        <v>59</v>
      </c>
      <c r="C3065" s="4">
        <v>27</v>
      </c>
    </row>
    <row r="3066">
      <c r="A3066" s="5">
        <f>HYPERLINK("https://app-web.statementrec.com/app#appuploadfiles/3a20f6af-c74a-a05c-0a12-2dac69d9cdaa","jan to march 2026")</f>
      </c>
      <c r="B3066" s="3" t="s">
        <v>201</v>
      </c>
      <c r="C3066" s="4">
        <v>8</v>
      </c>
    </row>
    <row r="3067">
      <c r="A3067" s="5">
        <f>HYPERLINK("https://app-web.statementrec.com/app#appuploadfiles/3a20f6e2-d6bb-b286-f580-af69c63fbf49","May 2026")</f>
      </c>
      <c r="B3067" s="3" t="s">
        <v>33</v>
      </c>
      <c r="C3067" s="4">
        <v>8</v>
      </c>
    </row>
    <row r="3068">
      <c r="A3068" s="5">
        <f>HYPERLINK("https://app-web.statementrec.com/app#appuploadfiles/3a20f6f2-bcac-6613-25e1-b4b3745e91a4","Mar 2026")</f>
      </c>
      <c r="B3068" s="3" t="s">
        <v>623</v>
      </c>
      <c r="C3068" s="4">
        <v>8</v>
      </c>
    </row>
    <row r="3069">
      <c r="A3069" s="5">
        <f>HYPERLINK("https://app-web.statementrec.com/app#appuploadfiles/3a20f732-769d-8e30-37ea-ccadfbced0ea","countsy")</f>
      </c>
      <c r="B3069" s="3" t="s">
        <v>16</v>
      </c>
      <c r="C3069" s="4">
        <v>12</v>
      </c>
    </row>
    <row r="3070">
      <c r="A3070" s="5">
        <f>HYPERLINK("https://app-web.statementrec.com/app#appuploadfiles/3a20f73e-8b25-6877-d4e2-9dc28a123ef5","2025 CC BMCF")</f>
      </c>
      <c r="B3070" s="3" t="s">
        <v>146</v>
      </c>
      <c r="C3070" s="4">
        <v>2</v>
      </c>
    </row>
    <row r="3071">
      <c r="A3071" s="5">
        <f>HYPERLINK("https://app-web.statementrec.com/app#appuploadfiles/3a20f786-9403-3c0e-9310-9570268c1a1e","HA April 2026 2362")</f>
      </c>
      <c r="B3071" s="3" t="s">
        <v>624</v>
      </c>
      <c r="C3071" s="4">
        <v>4</v>
      </c>
    </row>
    <row r="3072">
      <c r="A3072" s="5">
        <f>HYPERLINK("https://app-web.statementrec.com/app#appuploadfiles/3a20f78f-ed3c-b6a9-5947-d52bb4f2e757","Balloon Hub 2026 4617")</f>
      </c>
      <c r="B3072" s="3" t="s">
        <v>625</v>
      </c>
      <c r="C3072" s="4">
        <v>4</v>
      </c>
    </row>
    <row r="3073">
      <c r="A3073" s="5">
        <f>HYPERLINK("https://app-web.statementrec.com/app#appuploadfiles/3a20f7e7-c546-938b-a761-1b792ed91eea","Sana Dental Group")</f>
      </c>
      <c r="B3073" s="3" t="s">
        <v>626</v>
      </c>
      <c r="C3073" s="4">
        <v>8</v>
      </c>
    </row>
    <row r="3074">
      <c r="A3074" s="5">
        <f>HYPERLINK("https://app-web.statementrec.com/app#appuploadfiles/3a20f903-d619-a948-6636-6aefaea38406","02527-KelleyAmanda")</f>
      </c>
      <c r="B3074" s="3" t="s">
        <v>627</v>
      </c>
      <c r="C3074" s="4">
        <v>126</v>
      </c>
    </row>
    <row r="3075">
      <c r="A3075" s="5">
        <f>HYPERLINK("https://app-web.statementrec.com/app#appuploadfiles/3a20f9bd-c3e8-36c3-a7ef-2f120053a117","sp bank stmt 20260331")</f>
      </c>
      <c r="B3075" s="3" t="s">
        <v>628</v>
      </c>
      <c r="C3075" s="4">
        <v>5</v>
      </c>
    </row>
    <row r="3076">
      <c r="A3076" s="5">
        <f>HYPERLINK("https://app-web.statementrec.com/app#appuploadfiles/3a20fa45-0c79-6e6b-8cee-73ffe1f02eac","Sunward South Africa")</f>
      </c>
      <c r="B3076" s="3" t="s">
        <v>629</v>
      </c>
      <c r="C3076" s="4">
        <v>2</v>
      </c>
    </row>
    <row r="3077">
      <c r="A3077" s="5">
        <f>HYPERLINK("https://app-web.statementrec.com/app#appuploadfiles/3a20fab7-5832-dcbc-9c37-1fc843e58e41","Mr S Richardson")</f>
      </c>
      <c r="B3077" s="3" t="s">
        <v>19</v>
      </c>
      <c r="C3077" s="4">
        <v>30</v>
      </c>
    </row>
    <row r="3078">
      <c r="A3078" s="5">
        <f>HYPERLINK("https://app-web.statementrec.com/app#appuploadfiles/3a20fab9-458d-1c45-6f35-4f26e9a72cd4","Enf last 3 pages")</f>
      </c>
      <c r="B3078" s="3" t="s">
        <v>3</v>
      </c>
      <c r="C3078" s="4">
        <v>3</v>
      </c>
    </row>
    <row r="3079">
      <c r="A3079" s="5">
        <f>HYPERLINK("https://app-web.statementrec.com/app#appuploadfiles/3a20fab9-a1b9-6dce-2cba-c80c030f2e2e","kil last page")</f>
      </c>
      <c r="B3079" s="3" t="s">
        <v>3</v>
      </c>
      <c r="C3079" s="4">
        <v>1</v>
      </c>
    </row>
    <row r="3080">
      <c r="A3080" s="5">
        <f>HYPERLINK("https://app-web.statementrec.com/app#appuploadfiles/3a20fac2-0bc2-1e8d-eec0-8e09a7e617fa","SUN LEE WINNER LIMITED")</f>
      </c>
      <c r="B3080" s="3" t="s">
        <v>630</v>
      </c>
      <c r="C3080" s="4">
        <v>41</v>
      </c>
    </row>
    <row r="3081">
      <c r="A3081" s="5">
        <f>HYPERLINK("https://app-web.statementrec.com/app#appuploadfiles/3a20face-ba8f-a492-d748-555d35dd1f36","03 AMEX")</f>
      </c>
      <c r="B3081" s="3" t="s">
        <v>16</v>
      </c>
      <c r="C3081" s="4">
        <v>2</v>
      </c>
    </row>
    <row r="3082">
      <c r="A3082" s="5">
        <f>HYPERLINK("https://app-web.statementrec.com/app#appuploadfiles/3a20fb64-addc-3ed6-b82d-46a1923825c2","9015-APRIL26")</f>
      </c>
      <c r="B3082" s="3" t="s">
        <v>146</v>
      </c>
      <c r="C3082" s="4">
        <v>8</v>
      </c>
    </row>
    <row r="3083">
      <c r="A3083" s="5">
        <f>HYPERLINK("https://app-web.statementrec.com/app#appuploadfiles/3a20fbcf-8f6d-cc23-6298-f47985c691ef","MG Consultancy")</f>
      </c>
      <c r="B3083" s="3" t="s">
        <v>43</v>
      </c>
      <c r="C3083" s="4">
        <v>7</v>
      </c>
    </row>
    <row r="3084">
      <c r="A3084" s="5">
        <f>HYPERLINK("https://app-web.statementrec.com/app#appuploadfiles/3a20fbf6-c448-262e-7693-e79300f313bb","2026-Mar")</f>
      </c>
      <c r="B3084" s="3" t="s">
        <v>16</v>
      </c>
      <c r="C3084" s="4">
        <v>6</v>
      </c>
    </row>
    <row r="3085">
      <c r="A3085" s="5">
        <f>HYPERLINK("https://app-web.statementrec.com/app#appuploadfiles/3a20ffab-6437-4adf-89b0-4ab0afd04a19","QE 31.03.2026")</f>
      </c>
      <c r="B3085" s="3" t="s">
        <v>18</v>
      </c>
      <c r="C3085" s="4">
        <v>12</v>
      </c>
    </row>
    <row r="3086">
      <c r="A3086" s="5">
        <f>HYPERLINK("https://app-web.statementrec.com/app#appuploadfiles/3a21002b-3e76-84c6-bff0-1646494373fb","ACRO AGENCY LTD")</f>
      </c>
      <c r="B3086" s="3" t="s">
        <v>84</v>
      </c>
      <c r="C3086" s="4">
        <v>21</v>
      </c>
    </row>
    <row r="3087">
      <c r="A3087" s="5">
        <f>HYPERLINK("https://app-web.statementrec.com/app#appuploadfiles/3a210119-3733-a9e4-ba01-078bae841bbc","Visa Apr 26")</f>
      </c>
      <c r="B3087" s="3" t="s">
        <v>75</v>
      </c>
      <c r="C3087" s="4">
        <v>2</v>
      </c>
    </row>
    <row r="3088">
      <c r="A3088" s="5">
        <f>HYPERLINK("https://app-web.statementrec.com/app#appuploadfiles/3a21011a-3620-b8b7-50bb-3ddb7b249879","PTSB Apr 26")</f>
      </c>
      <c r="B3088" s="3" t="s">
        <v>75</v>
      </c>
      <c r="C3088" s="4">
        <v>10</v>
      </c>
    </row>
    <row r="3089">
      <c r="A3089" s="5">
        <f>HYPERLINK("https://app-web.statementrec.com/app#appuploadfiles/3a21011a-bc80-9279-b524-8ace40b75a11","Cashless Apr 26")</f>
      </c>
      <c r="B3089" s="3" t="s">
        <v>56</v>
      </c>
      <c r="C3089" s="4">
        <v>3</v>
      </c>
    </row>
    <row r="3090">
      <c r="A3090" s="5">
        <f>HYPERLINK("https://app-web.statementrec.com/app#appuploadfiles/3a210143-d30b-324a-c9a2-3ff825225187","Scotia LOC 6849")</f>
      </c>
      <c r="B3090" s="3" t="s">
        <v>181</v>
      </c>
      <c r="C3090" s="4">
        <v>2</v>
      </c>
    </row>
    <row r="3091">
      <c r="A3091" s="5">
        <f>HYPERLINK("https://app-web.statementrec.com/app#appuploadfiles/3a210144-0fde-f576-8be0-3c25974f53f1","Scotia Visa 9536")</f>
      </c>
      <c r="B3091" s="3" t="s">
        <v>181</v>
      </c>
      <c r="C3091" s="4">
        <v>4</v>
      </c>
    </row>
    <row r="3092">
      <c r="A3092" s="5">
        <f>HYPERLINK("https://app-web.statementrec.com/app#appuploadfiles/3a210265-587f-caf1-2ece-b59a0359f955","Club Aquatique Rosemont Petite-Patrie")</f>
      </c>
      <c r="B3092" s="3" t="s">
        <v>631</v>
      </c>
      <c r="C3092" s="4">
        <v>4</v>
      </c>
    </row>
    <row r="3093">
      <c r="A3093" s="5">
        <f>HYPERLINK("https://app-web.statementrec.com/app#appuploadfiles/3a2103ee-0b6f-6ad0-0014-ecb3601de953","FNB - Call acc - Old")</f>
      </c>
      <c r="B3093" s="3" t="s">
        <v>632</v>
      </c>
      <c r="C3093" s="4">
        <v>1</v>
      </c>
    </row>
    <row r="3094">
      <c r="A3094" s="5">
        <f>HYPERLINK("https://app-web.statementrec.com/app#appuploadfiles/3a2103f6-f62e-c627-562c-1116f0a5adf7","CGM Family Trust")</f>
      </c>
      <c r="B3094" s="3" t="s">
        <v>120</v>
      </c>
      <c r="C3094" s="4">
        <v>24</v>
      </c>
    </row>
    <row r="3095">
      <c r="A3095" s="5">
        <f>HYPERLINK("https://app-web.statementrec.com/app#appuploadfiles/3a210406-aa18-ffce-243c-c80fb962bbec","FNB - Revolving Loan acc")</f>
      </c>
      <c r="B3095" s="3" t="s">
        <v>80</v>
      </c>
      <c r="C3095" s="4">
        <v>28</v>
      </c>
    </row>
    <row r="3096">
      <c r="A3096" s="5">
        <f>HYPERLINK("https://app-web.statementrec.com/app#appuploadfiles/3a210444-d9c8-ea06-f0b9-c3fb7a8a672e","FNB - Gold business acc")</f>
      </c>
      <c r="B3096" s="3" t="s">
        <v>632</v>
      </c>
      <c r="C3096" s="4">
        <v>4</v>
      </c>
    </row>
    <row r="3097">
      <c r="A3097" s="5">
        <f>HYPERLINK("https://app-web.statementrec.com/app#appuploadfiles/3a21047c-64fa-35b3-7dc0-891d54e15a8c","Wepener Hardware and Furniture")</f>
      </c>
      <c r="B3097" s="3" t="s">
        <v>632</v>
      </c>
      <c r="C3097" s="4">
        <v>10</v>
      </c>
    </row>
    <row r="3098">
      <c r="A3098" s="5">
        <f>HYPERLINK("https://app-web.statementrec.com/app#appuploadfiles/3a21048d-fe93-4402-630c-a2198a2d8df5","Mzilankatha Zwezwi Trading")</f>
      </c>
      <c r="B3098" s="3" t="s">
        <v>118</v>
      </c>
      <c r="C3098" s="4">
        <v>12</v>
      </c>
    </row>
    <row r="3099">
      <c r="A3099" s="5">
        <f>HYPERLINK("https://app-web.statementrec.com/app#appuploadfiles/3a2104c0-ab1b-6929-8984-c8eff9ff5b64","DL Sure ABSA Credit Card")</f>
      </c>
      <c r="B3099" s="3" t="s">
        <v>38</v>
      </c>
      <c r="C3099" s="4">
        <v>2</v>
      </c>
    </row>
    <row r="3100">
      <c r="A3100" s="5">
        <f>HYPERLINK("https://app-web.statementrec.com/app#appuploadfiles/3a2104e8-5eb8-92f0-6549-a638eecb5767","All From Zero Construct")</f>
      </c>
      <c r="B3100" s="3" t="s">
        <v>314</v>
      </c>
      <c r="C3100" s="4">
        <v>18</v>
      </c>
    </row>
    <row r="3101">
      <c r="A3101" s="5">
        <f>HYPERLINK("https://app-web.statementrec.com/app#appuploadfiles/3a2104f2-b551-800f-0622-9e063c6524b8","PHOLOGA MANAGEMENT SERVICES CC")</f>
      </c>
      <c r="B3101" s="3" t="s">
        <v>95</v>
      </c>
      <c r="C3101" s="4">
        <v>112</v>
      </c>
    </row>
    <row r="3102">
      <c r="A3102" s="5">
        <f>HYPERLINK("https://app-web.statementrec.com/app#appuploadfiles/3a210508-e6f1-8c36-085e-6a8e604d7a1e","9532-2186 Québec Inc.")</f>
      </c>
      <c r="B3102" s="3" t="s">
        <v>185</v>
      </c>
      <c r="C3102" s="4">
        <v>4</v>
      </c>
    </row>
    <row r="3103">
      <c r="A3103" s="5">
        <f>HYPERLINK("https://app-web.statementrec.com/app#appuploadfiles/3a21051a-9902-3f8b-f7fd-9d24fad533ad","CMA FINANCE IMMO CONSEILS")</f>
      </c>
      <c r="B3103" s="3" t="s">
        <v>56</v>
      </c>
      <c r="C3103" s="4">
        <v>30</v>
      </c>
    </row>
    <row r="3104">
      <c r="A3104" s="5">
        <f>HYPERLINK("https://app-web.statementrec.com/app#appuploadfiles/3a210569-7482-4e8e-5630-8c20f0e12e0a","Visa 2025")</f>
      </c>
      <c r="B3104" s="3" t="s">
        <v>158</v>
      </c>
      <c r="C3104" s="4">
        <v>78</v>
      </c>
    </row>
    <row r="3105">
      <c r="A3105" s="5">
        <f>HYPERLINK("https://app-web.statementrec.com/app#appuploadfiles/3a210578-2f67-3d00-036b-086100e59019","LAMPYRIS IMMO")</f>
      </c>
      <c r="B3105" s="3" t="s">
        <v>633</v>
      </c>
      <c r="C3105" s="4">
        <v>17</v>
      </c>
    </row>
    <row r="3106">
      <c r="A3106" s="5">
        <f>HYPERLINK("https://app-web.statementrec.com/app#appuploadfiles/3a21058d-3bf3-00cd-0ede-92e88f50395a","KTX Warehousing &amp; Logistics")</f>
      </c>
      <c r="B3106" s="3" t="s">
        <v>58</v>
      </c>
      <c r="C3106" s="4">
        <v>8</v>
      </c>
    </row>
    <row r="3107">
      <c r="A3107" s="5">
        <f>HYPERLINK("https://app-web.statementrec.com/app#appuploadfiles/3a210593-1588-1ca8-e710-e9f984a3d02d","March 2026")</f>
      </c>
      <c r="B3107" s="3" t="s">
        <v>613</v>
      </c>
      <c r="C3107" s="4">
        <v>2</v>
      </c>
    </row>
    <row r="3108">
      <c r="A3108" s="5">
        <f>HYPERLINK("https://app-web.statementrec.com/app#appuploadfiles/3a210595-42b7-b0e3-e89d-44381bcc94e9","Saorsa Solutions Inc")</f>
      </c>
      <c r="B3108" s="3" t="s">
        <v>158</v>
      </c>
      <c r="C3108" s="4">
        <v>12</v>
      </c>
    </row>
    <row r="3109">
      <c r="A3109" s="5">
        <f>HYPERLINK("https://app-web.statementrec.com/app#appuploadfiles/3a2105a0-2e64-b991-fb71-26dbf84c1b38","ACK Maintenance and Construction")</f>
      </c>
      <c r="B3109" s="3" t="s">
        <v>158</v>
      </c>
      <c r="C3109" s="4">
        <v>44</v>
      </c>
    </row>
    <row r="3110">
      <c r="A3110" s="5">
        <f>HYPERLINK("https://app-web.statementrec.com/app#appuploadfiles/3a2105a1-57f4-be70-7613-b6b10fe1e2eb","février à avril 2026")</f>
      </c>
      <c r="B3110" s="3" t="s">
        <v>590</v>
      </c>
      <c r="C3110" s="4">
        <v>8</v>
      </c>
    </row>
    <row r="3111">
      <c r="A3111" s="5">
        <f>HYPERLINK("https://app-web.statementrec.com/app#appuploadfiles/3a2105ca-cbdf-4346-235e-e28d942eaabe","April 2026")</f>
      </c>
      <c r="B3111" s="3" t="s">
        <v>634</v>
      </c>
      <c r="C3111" s="4">
        <v>11</v>
      </c>
    </row>
    <row r="3112">
      <c r="A3112" s="5">
        <f>HYPERLINK("https://app-web.statementrec.com/app#appuploadfiles/3a2105cd-65ca-d4b7-f55d-b62d27be5831","2025 Financials")</f>
      </c>
      <c r="B3112" s="3" t="s">
        <v>635</v>
      </c>
      <c r="C3112" s="4">
        <v>125</v>
      </c>
    </row>
    <row r="3113">
      <c r="A3113" s="5">
        <f>HYPERLINK("https://app-web.statementrec.com/app#appuploadfiles/3a2105cd-b0d8-fb5c-4eb8-3ed7c98fea73","2025 Financials x7553")</f>
      </c>
      <c r="B3113" s="3" t="s">
        <v>16</v>
      </c>
      <c r="C3113" s="4">
        <v>46</v>
      </c>
    </row>
    <row r="3114">
      <c r="A3114" s="5">
        <f>HYPERLINK("https://app-web.statementrec.com/app#appuploadfiles/3a2105cd-eef7-577d-d58e-ed2665327f31","April 26")</f>
      </c>
      <c r="B3114" s="3" t="s">
        <v>56</v>
      </c>
      <c r="C3114" s="4">
        <v>79</v>
      </c>
    </row>
    <row r="3115">
      <c r="A3115" s="5">
        <f>HYPERLINK("https://app-web.statementrec.com/app#appuploadfiles/3a2105ce-f054-e46e-3261-f8e47a1dc14b","Mini Melts of Canada")</f>
      </c>
      <c r="B3115" s="3" t="s">
        <v>636</v>
      </c>
      <c r="C3115" s="4">
        <v>68</v>
      </c>
    </row>
    <row r="3116">
      <c r="A3116" s="5">
        <f>HYPERLINK("https://app-web.statementrec.com/app#appuploadfiles/3a2105cf-a3e5-fb25-c781-3883ec10f104","2025 Financials")</f>
      </c>
      <c r="B3116" s="3" t="s">
        <v>637</v>
      </c>
      <c r="C3116" s="4">
        <v>270</v>
      </c>
    </row>
    <row r="3117">
      <c r="A3117" s="5">
        <f>HYPERLINK("https://app-web.statementrec.com/app#appuploadfiles/3a2105d3-2d96-9ae9-2c79-a035c3d2afe6","Apr 26")</f>
      </c>
      <c r="B3117" s="3" t="s">
        <v>638</v>
      </c>
      <c r="C3117" s="4">
        <v>22</v>
      </c>
    </row>
    <row r="3118">
      <c r="A3118" s="5">
        <f>HYPERLINK("https://app-web.statementrec.com/app#appuploadfiles/3a2105f5-a4d8-5f45-1adc-eaada1ed1385","Avo 01-26")</f>
      </c>
      <c r="B3118" s="3" t="s">
        <v>40</v>
      </c>
      <c r="C3118" s="4">
        <v>12</v>
      </c>
    </row>
    <row r="3119">
      <c r="A3119" s="5">
        <f>HYPERLINK("https://app-web.statementrec.com/app#appuploadfiles/3a2105f6-2873-a50f-5e10-c187bb96bfd0","Avo 02-26")</f>
      </c>
      <c r="B3119" s="3" t="s">
        <v>86</v>
      </c>
      <c r="C3119" s="4">
        <v>12</v>
      </c>
    </row>
    <row r="3120">
      <c r="A3120" s="5">
        <f>HYPERLINK("https://app-web.statementrec.com/app#appuploadfiles/3a2105f6-7936-e837-cf99-13e9de8805a5","Avo 03-26")</f>
      </c>
      <c r="B3120" s="3" t="s">
        <v>56</v>
      </c>
      <c r="C3120" s="4">
        <v>13</v>
      </c>
    </row>
    <row r="3121">
      <c r="A3121" s="5">
        <f>HYPERLINK("https://app-web.statementrec.com/app#appuploadfiles/3a2105f6-e814-eef5-0a9e-953baba4fe0e","Avo 04-26")</f>
      </c>
      <c r="B3121" s="3" t="s">
        <v>47</v>
      </c>
      <c r="C3121" s="4">
        <v>12</v>
      </c>
    </row>
    <row r="3122">
      <c r="A3122" s="5">
        <f>HYPERLINK("https://app-web.statementrec.com/app#appuploadfiles/3a2105f7-6f90-fea4-4d57-ab53a8551a53","Tempe 01-26")</f>
      </c>
      <c r="B3122" s="3" t="s">
        <v>30</v>
      </c>
      <c r="C3122" s="4">
        <v>13</v>
      </c>
    </row>
    <row r="3123">
      <c r="A3123" s="5">
        <f>HYPERLINK("https://app-web.statementrec.com/app#appuploadfiles/3a2105f7-be48-d3d6-4696-2ca183284927","Tempe 02-26")</f>
      </c>
      <c r="B3123" s="3" t="s">
        <v>56</v>
      </c>
      <c r="C3123" s="4">
        <v>12</v>
      </c>
    </row>
    <row r="3124">
      <c r="A3124" s="5">
        <f>HYPERLINK("https://app-web.statementrec.com/app#appuploadfiles/3a2105f8-20cb-762b-d96d-a0132e70d7c3","Tempe 03-26")</f>
      </c>
      <c r="B3124" s="3" t="s">
        <v>56</v>
      </c>
      <c r="C3124" s="4">
        <v>14</v>
      </c>
    </row>
    <row r="3125">
      <c r="A3125" s="5">
        <f>HYPERLINK("https://app-web.statementrec.com/app#appuploadfiles/3a2105f8-78fa-bdac-e101-bedc2ed85895","Tempe 04-26")</f>
      </c>
      <c r="B3125" s="3" t="s">
        <v>86</v>
      </c>
      <c r="C3125" s="4">
        <v>13</v>
      </c>
    </row>
    <row r="3126">
      <c r="A3126" s="5">
        <f>HYPERLINK("https://app-web.statementrec.com/app#appuploadfiles/3a2105ff-e13a-3ad0-10fe-4f79e5f7c761","Brum Home Services Inc.")</f>
      </c>
      <c r="B3126" s="3" t="s">
        <v>154</v>
      </c>
      <c r="C3126" s="4">
        <v>22</v>
      </c>
    </row>
    <row r="3127">
      <c r="A3127" s="5">
        <f>HYPERLINK("https://app-web.statementrec.com/app#appuploadfiles/3a21061c-74bc-ddf6-31f7-324f1480924a","Apr 2026")</f>
      </c>
      <c r="B3127" s="3" t="s">
        <v>639</v>
      </c>
      <c r="C3127" s="4">
        <v>3</v>
      </c>
    </row>
    <row r="3128">
      <c r="A3128" s="5">
        <f>HYPERLINK("https://app-web.statementrec.com/app#appuploadfiles/3a210628-9a48-7098-c3dd-65c0b111695d","HJDACStmtApril26")</f>
      </c>
      <c r="B3128" s="3" t="s">
        <v>3</v>
      </c>
      <c r="C3128" s="4">
        <v>1</v>
      </c>
    </row>
    <row r="3129">
      <c r="A3129" s="5">
        <f>HYPERLINK("https://app-web.statementrec.com/app#appuploadfiles/3a210639-b6d5-dd4d-ffc2-7c469e8a61e6","SC Mar 2026")</f>
      </c>
      <c r="B3129" s="3" t="s">
        <v>181</v>
      </c>
      <c r="C3129" s="4">
        <v>8</v>
      </c>
    </row>
    <row r="3130">
      <c r="A3130" s="5">
        <f>HYPERLINK("https://app-web.statementrec.com/app#appuploadfiles/3a210656-cc14-c2fa-1921-f784cf8724e9","260430 PNC #6448")</f>
      </c>
      <c r="B3130" s="3" t="s">
        <v>124</v>
      </c>
      <c r="C3130" s="4">
        <v>5</v>
      </c>
    </row>
    <row r="3131">
      <c r="A3131" s="5">
        <f>HYPERLINK("https://app-web.statementrec.com/app#appuploadfiles/3a2106a1-eff1-7fda-bc3c-6d7d8a6dc02e","GENUINE-APRIL26")</f>
      </c>
      <c r="B3131" s="3" t="s">
        <v>146</v>
      </c>
      <c r="C3131" s="4">
        <v>8</v>
      </c>
    </row>
    <row r="3132">
      <c r="A3132" s="5">
        <f>HYPERLINK("https://app-web.statementrec.com/app#appuploadfiles/3a2106b3-7f33-3ad3-fd64-6de3c9833610","Ann de John Lewis April 2026")</f>
      </c>
      <c r="B3132" s="3" t="s">
        <v>56</v>
      </c>
      <c r="C3132" s="4">
        <v>1</v>
      </c>
    </row>
    <row r="3133">
      <c r="A3133" s="5">
        <f>HYPERLINK("https://app-web.statementrec.com/app#appuploadfiles/3a2106b9-81c0-2029-5b6d-d76f8ba46a84","Monika Krolivova")</f>
      </c>
      <c r="B3133" s="3" t="s">
        <v>640</v>
      </c>
      <c r="C3133" s="4">
        <v>79</v>
      </c>
    </row>
    <row r="3134">
      <c r="A3134" s="5">
        <f>HYPERLINK("https://app-web.statementrec.com/app#appuploadfiles/3a210745-1b9b-20c1-57f7-09484e7dd632","Daixy")</f>
      </c>
      <c r="B3134" s="3" t="s">
        <v>641</v>
      </c>
      <c r="C3134" s="4">
        <v>34</v>
      </c>
    </row>
    <row r="3135">
      <c r="A3135" s="5">
        <f>HYPERLINK("https://app-web.statementrec.com/app#appuploadfiles/3a210756-997e-45ab-5066-c122a7c70279","02702-OsunaCarlos")</f>
      </c>
      <c r="B3135" s="3" t="s">
        <v>641</v>
      </c>
      <c r="C3135" s="4">
        <v>121</v>
      </c>
    </row>
    <row r="3136">
      <c r="A3136" s="5">
        <f>HYPERLINK("https://app-web.statementrec.com/app#appuploadfiles/3a2107df-d8b8-9e3a-f58d-b707b228859a","Sekgutlong Primary School")</f>
      </c>
      <c r="B3136" s="3" t="s">
        <v>642</v>
      </c>
      <c r="C3136" s="4">
        <v>8</v>
      </c>
    </row>
    <row r="3137">
      <c r="A3137" s="5">
        <f>HYPERLINK("https://app-web.statementrec.com/app#appuploadfiles/3a2107e5-cdfe-f252-163c-372c5d959f53","V")</f>
      </c>
      <c r="B3137" s="3" t="s">
        <v>80</v>
      </c>
      <c r="C3137" s="4">
        <v>3</v>
      </c>
    </row>
    <row r="3138">
      <c r="A3138" s="5">
        <f>HYPERLINK("https://app-web.statementrec.com/app#appuploadfiles/3a2108d3-b87c-3b62-306c-ba10e3e12e52","LJ NEL")</f>
      </c>
      <c r="B3138" s="3" t="s">
        <v>643</v>
      </c>
      <c r="C3138" s="4">
        <v>11</v>
      </c>
    </row>
    <row r="3139">
      <c r="A3139" s="5">
        <f>HYPERLINK("https://app-web.statementrec.com/app#appuploadfiles/3a2108d4-427f-45ad-d157-50bcef33a24f","Chase Ink 2025")</f>
      </c>
      <c r="B3139" s="3" t="s">
        <v>58</v>
      </c>
      <c r="C3139" s="4">
        <v>4</v>
      </c>
    </row>
    <row r="3140">
      <c r="A3140" s="5">
        <f>HYPERLINK("https://app-web.statementrec.com/app#appuploadfiles/3a21091e-f108-028e-677f-aadbbaa05080","Mr G Darlow t/a Darlow Construction")</f>
      </c>
      <c r="B3140" s="3" t="s">
        <v>15</v>
      </c>
      <c r="C3140" s="4">
        <v>9</v>
      </c>
    </row>
    <row r="3141">
      <c r="A3141" s="5">
        <f>HYPERLINK("https://app-web.statementrec.com/app#appuploadfiles/3a21091f-03c6-0ab5-da39-0d1d2d86c95e","Wijbren Nell")</f>
      </c>
      <c r="B3141" s="3" t="s">
        <v>80</v>
      </c>
      <c r="C3141" s="4">
        <v>54</v>
      </c>
    </row>
    <row r="3142">
      <c r="A3142" s="5">
        <f>HYPERLINK("https://app-web.statementrec.com/app#appuploadfiles/3a210943-42a4-d42a-d417-be627a530aa8","Skin Sculpt Limited")</f>
      </c>
      <c r="B3142" s="3" t="s">
        <v>168</v>
      </c>
      <c r="C3142" s="4">
        <v>56</v>
      </c>
    </row>
    <row r="3143">
      <c r="A3143" s="5">
        <f>HYPERLINK("https://app-web.statementrec.com/app#appuploadfiles/3a210947-7c1a-33c3-5516-6b08eca3cf7c","THE PROMOTIONS GROUP LTD.")</f>
      </c>
      <c r="B3143" s="3" t="s">
        <v>17</v>
      </c>
      <c r="C3143" s="4">
        <v>24</v>
      </c>
    </row>
    <row r="3144">
      <c r="A3144" s="5">
        <f>HYPERLINK("https://app-web.statementrec.com/app#appuploadfiles/3a21094b-7709-3080-be77-5563be80506f","MJ Donovan")</f>
      </c>
      <c r="B3144" s="3" t="s">
        <v>3</v>
      </c>
      <c r="C3144" s="4">
        <v>68</v>
      </c>
    </row>
    <row r="3145">
      <c r="A3145" s="5">
        <f>HYPERLINK("https://app-web.statementrec.com/app#appuploadfiles/3a210956-ffee-830d-1ab0-51a208dcec28","Elite2026")</f>
      </c>
      <c r="B3145" s="3" t="s">
        <v>17</v>
      </c>
      <c r="C3145" s="4">
        <v>21</v>
      </c>
    </row>
    <row r="3146">
      <c r="A3146" s="5">
        <f>HYPERLINK("https://app-web.statementrec.com/app#appuploadfiles/3a21095e-7483-34ba-b81f-e04d37f4804a","2026 Finjaar")</f>
      </c>
      <c r="B3146" s="3" t="s">
        <v>118</v>
      </c>
      <c r="C3146" s="4">
        <v>1</v>
      </c>
    </row>
    <row r="3147">
      <c r="A3147" s="5">
        <f>HYPERLINK("https://app-web.statementrec.com/app#appuploadfiles/3a21095f-86ff-3ee0-3406-5d41c8a3eb56","66760-MA26")</f>
      </c>
      <c r="B3147" s="3" t="s">
        <v>387</v>
      </c>
      <c r="C3147" s="4">
        <v>11</v>
      </c>
    </row>
    <row r="3148">
      <c r="A3148" s="5">
        <f>HYPERLINK("https://app-web.statementrec.com/app#appuploadfiles/3a210968-4450-538b-c65c-417a38faf9e5","Maintenance Matters (Coventry) Ltd")</f>
      </c>
      <c r="B3148" s="3" t="s">
        <v>15</v>
      </c>
      <c r="C3148" s="4">
        <v>63</v>
      </c>
    </row>
    <row r="3149">
      <c r="A3149" s="5">
        <f>HYPERLINK("https://app-web.statementrec.com/app#appuploadfiles/3a21097b-d058-7238-452e-d905d1806b30","Treeline Limited")</f>
      </c>
      <c r="B3149" s="3" t="s">
        <v>120</v>
      </c>
      <c r="C3149" s="4">
        <v>14</v>
      </c>
    </row>
    <row r="3150">
      <c r="A3150" s="5">
        <f>HYPERLINK("https://app-web.statementrec.com/app#appuploadfiles/3a210981-d08c-a235-07e1-16f7ca22c9d9","Aqua Marketing")</f>
      </c>
      <c r="B3150" s="3" t="s">
        <v>98</v>
      </c>
      <c r="C3150" s="4">
        <v>11</v>
      </c>
    </row>
    <row r="3151">
      <c r="A3151" s="5">
        <f>HYPERLINK("https://app-web.statementrec.com/app#appuploadfiles/3a210989-0ed3-df42-427c-16672f5abae7","Array")</f>
      </c>
      <c r="B3151" s="3" t="s">
        <v>242</v>
      </c>
      <c r="C3151" s="4">
        <v>1</v>
      </c>
    </row>
    <row r="3152">
      <c r="A3152" s="5">
        <f>HYPERLINK("https://app-web.statementrec.com/app#appuploadfiles/3a21098e-1e4a-a4c4-5084-260daff56161","Cameron Properties Limited")</f>
      </c>
      <c r="B3152" s="3" t="s">
        <v>17</v>
      </c>
      <c r="C3152" s="4">
        <v>33</v>
      </c>
    </row>
    <row r="3153">
      <c r="A3153" s="5">
        <f>HYPERLINK("https://app-web.statementrec.com/app#appuploadfiles/3a2109a8-7656-2de2-28b2-f44ed24d5b40","MPB Designs Ltd")</f>
      </c>
      <c r="B3153" s="3" t="s">
        <v>17</v>
      </c>
      <c r="C3153" s="4">
        <v>17</v>
      </c>
    </row>
    <row r="3154">
      <c r="A3154" s="5">
        <f>HYPERLINK("https://app-web.statementrec.com/app#appuploadfiles/3a2109a8-c706-a979-d15d-1cca49f6d9db","Barksdale Property Investments Ltd")</f>
      </c>
      <c r="B3154" s="3" t="s">
        <v>17</v>
      </c>
      <c r="C3154" s="4">
        <v>7</v>
      </c>
    </row>
    <row r="3155">
      <c r="A3155" s="5">
        <f>HYPERLINK("https://app-web.statementrec.com/app#appuploadfiles/3a2109ac-5ab1-a968-a475-3254228e6838","7084973 BOI CC Acc 7200")</f>
      </c>
      <c r="B3155" s="3" t="s">
        <v>3</v>
      </c>
      <c r="C3155" s="4">
        <v>2</v>
      </c>
    </row>
    <row r="3156">
      <c r="A3156" s="5">
        <f>HYPERLINK("https://app-web.statementrec.com/app#appuploadfiles/3a2109ae-5207-2971-8308-d84d4e318ce3","Dean Stevenson")</f>
      </c>
      <c r="B3156" s="3" t="s">
        <v>19</v>
      </c>
      <c r="C3156" s="4">
        <v>4</v>
      </c>
    </row>
    <row r="3157">
      <c r="A3157" s="5">
        <f>HYPERLINK("https://app-web.statementrec.com/app#appuploadfiles/3a2109b2-1d5b-c4db-8f75-69219abfb17c","2025")</f>
      </c>
      <c r="B3157" s="3" t="s">
        <v>15</v>
      </c>
      <c r="C3157" s="4">
        <v>3</v>
      </c>
    </row>
    <row r="3158">
      <c r="A3158" s="5">
        <f>HYPERLINK("https://app-web.statementrec.com/app#appuploadfiles/3a2109b4-1628-dc6f-ff4c-af7d67d6888b","18.12.25 - 02.04.26")</f>
      </c>
      <c r="B3158" s="3" t="s">
        <v>17</v>
      </c>
      <c r="C3158" s="4">
        <v>24</v>
      </c>
    </row>
    <row r="3159">
      <c r="A3159" s="5">
        <f>HYPERLINK("https://app-web.statementrec.com/app#appuploadfiles/3a2109b9-bde4-3e50-8a7a-f2ac09c09d0f","Mr Charles Marshall")</f>
      </c>
      <c r="B3159" s="3" t="s">
        <v>13</v>
      </c>
      <c r="C3159" s="4">
        <v>13</v>
      </c>
    </row>
    <row r="3160">
      <c r="A3160" s="5">
        <f>HYPERLINK("https://app-web.statementrec.com/app#appuploadfiles/3a2109c4-1ce0-cbbb-a2a2-9ecf902100e4","year end 31st august 2025")</f>
      </c>
      <c r="B3160" s="3" t="s">
        <v>53</v>
      </c>
      <c r="C3160" s="4">
        <v>82</v>
      </c>
    </row>
    <row r="3161">
      <c r="A3161" s="5">
        <f>HYPERLINK("https://app-web.statementrec.com/app#appuploadfiles/3a2109c5-9e14-5611-1e1b-4622a66a6364","Apr 26")</f>
      </c>
      <c r="B3161" s="3" t="s">
        <v>30</v>
      </c>
      <c r="C3161" s="4">
        <v>14</v>
      </c>
    </row>
    <row r="3162">
      <c r="A3162" s="5">
        <f>HYPERLINK("https://app-web.statementrec.com/app#appuploadfiles/3a2109ca-02bb-9fc7-113e-804e6bb4dfad","Apr/May 26 - AMEX, COT &amp; Revolut")</f>
      </c>
      <c r="B3162" s="3" t="s">
        <v>26</v>
      </c>
      <c r="C3162" s="4">
        <v>2</v>
      </c>
    </row>
    <row r="3163">
      <c r="A3163" s="5">
        <f>HYPERLINK("https://app-web.statementrec.com/app#appuploadfiles/3a2109cd-7e14-6c34-61da-90c1bed48fe8","Civils Plus Plant &amp; Utilities Ltd")</f>
      </c>
      <c r="B3163" s="3" t="s">
        <v>17</v>
      </c>
      <c r="C3163" s="4">
        <v>6</v>
      </c>
    </row>
    <row r="3164">
      <c r="A3164" s="5">
        <f>HYPERLINK("https://app-web.statementrec.com/app#appuploadfiles/3a2109d8-8d10-f365-40c9-9b64e037e5c2","Spectrum Property Holdings")</f>
      </c>
      <c r="B3164" s="3" t="s">
        <v>644</v>
      </c>
      <c r="C3164" s="4">
        <v>63</v>
      </c>
    </row>
    <row r="3165">
      <c r="A3165" s="5">
        <f>HYPERLINK("https://app-web.statementrec.com/app#appuploadfiles/3a2109da-a77a-5d3e-b99a-11331489019f","Victoria Evans")</f>
      </c>
      <c r="B3165" s="3" t="s">
        <v>84</v>
      </c>
      <c r="C3165" s="4">
        <v>25</v>
      </c>
    </row>
    <row r="3166">
      <c r="A3166" s="5">
        <f>HYPERLINK("https://app-web.statementrec.com/app#appuploadfiles/3a2109db-a503-8101-79d7-a4e9681f2570","La Rocca April 2026")</f>
      </c>
      <c r="B3166" s="3" t="s">
        <v>144</v>
      </c>
      <c r="C3166" s="4">
        <v>3</v>
      </c>
    </row>
    <row r="3167">
      <c r="A3167" s="5">
        <f>HYPERLINK("https://app-web.statementrec.com/app#appuploadfiles/3a2109df-8370-be52-7080-68e0ea210c00","GEA692 - Earl Lewis Ltd")</f>
      </c>
      <c r="B3167" s="3" t="s">
        <v>10</v>
      </c>
      <c r="C3167" s="4">
        <v>19</v>
      </c>
    </row>
    <row r="3168">
      <c r="A3168" s="5">
        <f>HYPERLINK("https://app-web.statementrec.com/app#appuploadfiles/3a2109e2-0ffc-6890-f58b-cd97fbeb8ada","Ricker Ridge")</f>
      </c>
      <c r="B3168" s="3" t="s">
        <v>11</v>
      </c>
      <c r="C3168" s="4">
        <v>42</v>
      </c>
    </row>
    <row r="3169">
      <c r="A3169" s="5">
        <f>HYPERLINK("https://app-web.statementrec.com/app#appuploadfiles/3a210a0b-d559-0eb7-52de-efdfe777726a","40306-25")</f>
      </c>
      <c r="B3169" s="3" t="s">
        <v>645</v>
      </c>
      <c r="C3169" s="4">
        <v>53</v>
      </c>
    </row>
    <row r="3170">
      <c r="A3170" s="5">
        <f>HYPERLINK("https://app-web.statementrec.com/app#appuploadfiles/3a210a13-5cf4-cb7d-ed84-aa82f24915f1","Mark Buckley")</f>
      </c>
      <c r="B3170" s="3" t="s">
        <v>15</v>
      </c>
      <c r="C3170" s="4">
        <v>12</v>
      </c>
    </row>
    <row r="3171">
      <c r="A3171" s="5">
        <f>HYPERLINK("https://app-web.statementrec.com/app#appuploadfiles/3a210a15-6f27-000a-d468-1deb6f227e8a","FOUR OAKS PROJECTS LIMITED")</f>
      </c>
      <c r="B3171" s="3" t="s">
        <v>17</v>
      </c>
      <c r="C3171" s="4">
        <v>36</v>
      </c>
    </row>
    <row r="3172">
      <c r="A3172" s="5">
        <f>HYPERLINK("https://app-web.statementrec.com/app#appuploadfiles/3a210a17-8a97-0cba-46e8-2aeb184511be","statement April")</f>
      </c>
      <c r="B3172" s="3" t="s">
        <v>646</v>
      </c>
      <c r="C3172" s="4">
        <v>5</v>
      </c>
    </row>
    <row r="3173">
      <c r="A3173" s="5">
        <f>HYPERLINK("https://app-web.statementrec.com/app#appuploadfiles/3a210a1b-b4dd-c1ec-204c-716f6f546d2e","INTELLIGENT BUSINESS WATER LTD")</f>
      </c>
      <c r="B3173" s="3" t="s">
        <v>12</v>
      </c>
      <c r="C3173" s="4">
        <v>11</v>
      </c>
    </row>
    <row r="3174">
      <c r="A3174" s="5">
        <f>HYPERLINK("https://app-web.statementrec.com/app#appuploadfiles/3a210a2d-9d15-10df-fb0b-07c06c95870a","Ben Gerrard")</f>
      </c>
      <c r="B3174" s="3" t="s">
        <v>26</v>
      </c>
      <c r="C3174" s="4">
        <v>6</v>
      </c>
    </row>
    <row r="3175">
      <c r="A3175" s="5">
        <f>HYPERLINK("https://app-web.statementrec.com/app#appuploadfiles/3a210a46-c713-8af7-962a-e37d41b3447e","Ragazzi April 2026")</f>
      </c>
      <c r="B3175" s="3" t="s">
        <v>190</v>
      </c>
      <c r="C3175" s="4">
        <v>8</v>
      </c>
    </row>
    <row r="3176">
      <c r="A3176" s="5">
        <f>HYPERLINK("https://app-web.statementrec.com/app#appuploadfiles/3a210a46-cc12-c476-14e3-82600c34852e","B Gravett 05.04.2026")</f>
      </c>
      <c r="B3176" s="3" t="s">
        <v>130</v>
      </c>
      <c r="C3176" s="4">
        <v>2</v>
      </c>
    </row>
    <row r="3177">
      <c r="A3177" s="5">
        <f>HYPERLINK("https://app-web.statementrec.com/app#appuploadfiles/3a210a50-2fc3-94a4-0326-d97c83e55f91","H0673 - Jaydal Heenan")</f>
      </c>
      <c r="B3177" s="3" t="s">
        <v>567</v>
      </c>
      <c r="C3177" s="4">
        <v>22</v>
      </c>
    </row>
    <row r="3178">
      <c r="A3178" s="5">
        <f>HYPERLINK("https://app-web.statementrec.com/app#appuploadfiles/3a210a59-e612-df2e-09b9-224545fadf3d","98918 -Sheryl Reid Personal Rents")</f>
      </c>
      <c r="B3178" s="3" t="s">
        <v>26</v>
      </c>
      <c r="C3178" s="4">
        <v>173</v>
      </c>
    </row>
    <row r="3179">
      <c r="A3179" s="5">
        <f>HYPERLINK("https://app-web.statementrec.com/app#appuploadfiles/3a210a5e-c38b-e02b-7a90-af3ca77def75","BASP102407-Springfield Family Investment")</f>
      </c>
      <c r="B3179" s="3" t="s">
        <v>86</v>
      </c>
      <c r="C3179" s="4">
        <v>4</v>
      </c>
    </row>
    <row r="3180">
      <c r="A3180" s="5">
        <f>HYPERLINK("https://app-web.statementrec.com/app#appuploadfiles/3a210a68-d4d3-c829-2e2d-d205bf4a79c8","hjc elektries")</f>
      </c>
      <c r="B3180" s="3" t="s">
        <v>264</v>
      </c>
      <c r="C3180" s="4">
        <v>3</v>
      </c>
    </row>
    <row r="3181">
      <c r="A3181" s="5">
        <f>HYPERLINK("https://app-web.statementrec.com/app#appuploadfiles/3a210a6f-8e92-794a-14a4-50a72928504c","Chef Debbie Thorpe")</f>
      </c>
      <c r="B3181" s="3" t="s">
        <v>19</v>
      </c>
      <c r="C3181" s="4">
        <v>4</v>
      </c>
    </row>
    <row r="3182">
      <c r="A3182" s="5">
        <f>HYPERLINK("https://app-web.statementrec.com/app#appuploadfiles/3a210a71-42de-6722-5293-71c1cd94bb25","Ian Haig")</f>
      </c>
      <c r="B3182" s="3" t="s">
        <v>373</v>
      </c>
      <c r="C3182" s="4">
        <v>146</v>
      </c>
    </row>
    <row r="3183">
      <c r="A3183" s="5">
        <f>HYPERLINK("https://app-web.statementrec.com/app#appuploadfiles/3a210a83-b1ce-b4e1-61d4-1a0738dc4746","Lisanne Otten")</f>
      </c>
      <c r="B3183" s="3" t="s">
        <v>17</v>
      </c>
      <c r="C3183" s="4">
        <v>15</v>
      </c>
    </row>
    <row r="3184">
      <c r="A3184" s="5">
        <f>HYPERLINK("https://app-web.statementrec.com/app#appuploadfiles/3a210a84-5c42-0b86-cc3c-7bc8f5d2a9c1","Lisanne Otten CC")</f>
      </c>
      <c r="B3184" s="3" t="s">
        <v>17</v>
      </c>
      <c r="C3184" s="4">
        <v>4</v>
      </c>
    </row>
    <row r="3185">
      <c r="A3185" s="5">
        <f>HYPERLINK("https://app-web.statementrec.com/app#appuploadfiles/3a210a89-4c88-ea12-c480-4068bc4147a6","WAKY")</f>
      </c>
      <c r="B3185" s="3" t="s">
        <v>582</v>
      </c>
      <c r="C3185" s="4">
        <v>7</v>
      </c>
    </row>
    <row r="3186">
      <c r="A3186" s="5">
        <f>HYPERLINK("https://app-web.statementrec.com/app#appuploadfiles/3a210a8c-aba9-e4e4-934d-2091367a7fb2","25-26 personal bank statements")</f>
      </c>
      <c r="B3186" s="3" t="s">
        <v>13</v>
      </c>
      <c r="C3186" s="4">
        <v>15</v>
      </c>
    </row>
    <row r="3187">
      <c r="A3187" s="5">
        <f>HYPERLINK("https://app-web.statementrec.com/app#appuploadfiles/3a210a93-08c9-4e50-6d15-baa62c1a9528","Pep")</f>
      </c>
      <c r="B3187" s="3" t="s">
        <v>12</v>
      </c>
      <c r="C3187" s="4">
        <v>33</v>
      </c>
    </row>
    <row r="3188">
      <c r="A3188" s="5">
        <f>HYPERLINK("https://app-web.statementrec.com/app#appuploadfiles/3a210a97-495b-bbb1-8a8d-12e75175f961","danske 131")</f>
      </c>
      <c r="B3188" s="3" t="s">
        <v>21</v>
      </c>
      <c r="C3188" s="4">
        <v>7</v>
      </c>
    </row>
    <row r="3189">
      <c r="A3189" s="5">
        <f>HYPERLINK("https://app-web.statementrec.com/app#appuploadfiles/3a210a97-937b-79dc-b694-fae6f3110fe1","danske 257")</f>
      </c>
      <c r="B3189" s="3" t="s">
        <v>21</v>
      </c>
      <c r="C3189" s="4">
        <v>6</v>
      </c>
    </row>
    <row r="3190">
      <c r="A3190" s="5">
        <f>HYPERLINK("https://app-web.statementrec.com/app#appuploadfiles/3a210a98-c904-11e0-3dff-7df41486dbc8","april 26")</f>
      </c>
      <c r="B3190" s="3" t="s">
        <v>647</v>
      </c>
      <c r="C3190" s="4">
        <v>14</v>
      </c>
    </row>
    <row r="3191">
      <c r="A3191" s="5">
        <f>HYPERLINK("https://app-web.statementrec.com/app#appuploadfiles/3a210aa5-54e4-bea1-433d-a85c54b24cd3","Goodbasicsclub Limited")</f>
      </c>
      <c r="B3191" s="3" t="s">
        <v>347</v>
      </c>
      <c r="C3191" s="4">
        <v>2</v>
      </c>
    </row>
    <row r="3192">
      <c r="A3192" s="5">
        <f>HYPERLINK("https://app-web.statementrec.com/app#appuploadfiles/3a210aae-1ad5-a0aa-9d90-58b8505d7ca1","CLEB Limited")</f>
      </c>
      <c r="B3192" s="3" t="s">
        <v>648</v>
      </c>
      <c r="C3192" s="4">
        <v>12</v>
      </c>
    </row>
    <row r="3193">
      <c r="A3193" s="5">
        <f>HYPERLINK("https://app-web.statementrec.com/app#appuploadfiles/3a210ab5-5519-1891-e7ef-aa876bffeb0a","Matsediso Primary School")</f>
      </c>
      <c r="B3193" s="3" t="s">
        <v>16</v>
      </c>
      <c r="C3193" s="4">
        <v>20</v>
      </c>
    </row>
    <row r="3194">
      <c r="A3194" s="5">
        <f>HYPERLINK("https://app-web.statementrec.com/app#appuploadfiles/3a210abb-a0b2-9557-10c5-032c2ff617b7","B Gravett 05.04.26")</f>
      </c>
      <c r="B3194" s="3" t="s">
        <v>139</v>
      </c>
      <c r="C3194" s="4">
        <v>25</v>
      </c>
    </row>
    <row r="3195">
      <c r="A3195" s="5">
        <f>HYPERLINK("https://app-web.statementrec.com/app#appuploadfiles/3a210ac0-33ca-d0ac-ae2a-26cffa0c2117","WAT FACILITIES LTD")</f>
      </c>
      <c r="B3195" s="3" t="s">
        <v>12</v>
      </c>
      <c r="C3195" s="4">
        <v>10</v>
      </c>
    </row>
    <row r="3196">
      <c r="A3196" s="5">
        <f>HYPERLINK("https://app-web.statementrec.com/app#appuploadfiles/3a210ac3-3737-3ee0-baf1-b15cb10ff0e1","04-2026")</f>
      </c>
      <c r="B3196" s="3" t="s">
        <v>158</v>
      </c>
      <c r="C3196" s="4">
        <v>4</v>
      </c>
    </row>
    <row r="3197">
      <c r="A3197" s="5">
        <f>HYPERLINK("https://app-web.statementrec.com/app#appuploadfiles/3a210ad5-a615-3bf9-20af-773f5c471cb2","HARRY ALEXANDER CLASSIC CARS LIMITED")</f>
      </c>
      <c r="B3197" s="3" t="s">
        <v>43</v>
      </c>
      <c r="C3197" s="4">
        <v>13</v>
      </c>
    </row>
    <row r="3198">
      <c r="A3198" s="5">
        <f>HYPERLINK("https://app-web.statementrec.com/app#appuploadfiles/3a210ad7-ac85-42d1-4260-b4aa5e5150c1","Amrak management services")</f>
      </c>
      <c r="B3198" s="3" t="s">
        <v>13</v>
      </c>
      <c r="C3198" s="4">
        <v>5</v>
      </c>
    </row>
    <row r="3199">
      <c r="A3199" s="5">
        <f>HYPERLINK("https://app-web.statementrec.com/app#appuploadfiles/3a210ad8-ded8-adcc-4b38-08a55d6661bf","FJ, P and AF Waring")</f>
      </c>
      <c r="B3199" s="3" t="s">
        <v>17</v>
      </c>
      <c r="C3199" s="4">
        <v>38</v>
      </c>
    </row>
    <row r="3200">
      <c r="A3200" s="5">
        <f>HYPERLINK("https://app-web.statementrec.com/app#appuploadfiles/3a210ae9-8c50-2d60-8402-b87e3344150b","THE SILVER LION TRADING COMPANY LIMITED")</f>
      </c>
      <c r="B3200" s="3" t="s">
        <v>17</v>
      </c>
      <c r="C3200" s="4">
        <v>10</v>
      </c>
    </row>
    <row r="3201">
      <c r="A3201" s="5">
        <f>HYPERLINK("https://app-web.statementrec.com/app#appuploadfiles/3a210af6-2b9a-4b2b-2072-d39eab67ff35","Ignite Plumbing")</f>
      </c>
      <c r="B3201" s="3" t="s">
        <v>11</v>
      </c>
      <c r="C3201" s="4">
        <v>26</v>
      </c>
    </row>
    <row r="3202">
      <c r="A3202" s="5">
        <f>HYPERLINK("https://app-web.statementrec.com/app#appuploadfiles/3a210aff-cd72-6426-be6c-6b63d49e79e4","QS Land limited")</f>
      </c>
      <c r="B3202" s="3" t="s">
        <v>12</v>
      </c>
      <c r="C3202" s="4">
        <v>1</v>
      </c>
    </row>
    <row r="3203">
      <c r="A3203" s="5">
        <f>HYPERLINK("https://app-web.statementrec.com/app#appuploadfiles/3a210b01-da9e-d5ef-a848-9c4652452002","Patrick Byrne (Glynn)")</f>
      </c>
      <c r="B3203" s="3" t="s">
        <v>3</v>
      </c>
      <c r="C3203" s="4">
        <v>4</v>
      </c>
    </row>
    <row r="3204">
      <c r="A3204" s="5">
        <f>HYPERLINK("https://app-web.statementrec.com/app#appuploadfiles/3a210b05-23d2-322a-a1da-f3390e7a8cdb","St Pauls GFC")</f>
      </c>
      <c r="B3204" s="3" t="s">
        <v>21</v>
      </c>
      <c r="C3204" s="4">
        <v>3</v>
      </c>
    </row>
    <row r="3205">
      <c r="A3205" s="5">
        <f>HYPERLINK("https://app-web.statementrec.com/app#appuploadfiles/3a210b10-bab0-0fb1-6e12-0bb396bcf3c4","3 AGAVES MOORESVILLE")</f>
      </c>
      <c r="B3205" s="3" t="s">
        <v>124</v>
      </c>
      <c r="C3205" s="4">
        <v>38</v>
      </c>
    </row>
    <row r="3206">
      <c r="A3206" s="5">
        <f>HYPERLINK("https://app-web.statementrec.com/app#appuploadfiles/3a210b26-6c8c-7d9a-0474-0ddc74037c55","REALPS")</f>
      </c>
      <c r="B3206" s="3" t="s">
        <v>47</v>
      </c>
      <c r="C3206" s="4">
        <v>75</v>
      </c>
    </row>
    <row r="3207">
      <c r="A3207" s="5">
        <f>HYPERLINK("https://app-web.statementrec.com/app#appuploadfiles/3a210b2a-b22b-84e8-ed99-3b74a5591e81","Apr Chk Svg FIFCU")</f>
      </c>
      <c r="B3207" s="3" t="s">
        <v>649</v>
      </c>
      <c r="C3207" s="4">
        <v>2</v>
      </c>
    </row>
    <row r="3208">
      <c r="A3208" s="5">
        <f>HYPERLINK("https://app-web.statementrec.com/app#appuploadfiles/3a210b32-c361-421b-00a8-7c56540aa1ad","2025JimmyODonoghue")</f>
      </c>
      <c r="B3208" s="3" t="s">
        <v>10</v>
      </c>
      <c r="C3208" s="4">
        <v>82</v>
      </c>
    </row>
    <row r="3209">
      <c r="A3209" s="5">
        <f>HYPERLINK("https://app-web.statementrec.com/app#appuploadfiles/3a210b46-4b6e-2efc-da57-4b4e19931f1a","QE Apr '26")</f>
      </c>
      <c r="B3209" s="3" t="s">
        <v>12</v>
      </c>
      <c r="C3209" s="4">
        <v>4</v>
      </c>
    </row>
    <row r="3210">
      <c r="A3210" s="5">
        <f>HYPERLINK("https://app-web.statementrec.com/app#appuploadfiles/3a210b4e-7590-a3cb-d196-c78442a6f619","2026")</f>
      </c>
      <c r="B3210" s="3" t="s">
        <v>10</v>
      </c>
      <c r="C3210" s="4">
        <v>15</v>
      </c>
    </row>
    <row r="3211">
      <c r="A3211" s="5">
        <f>HYPERLINK("https://app-web.statementrec.com/app#appuploadfiles/3a210b5a-8942-7647-b8f4-5f44e42dddb5","RTPK Enterprise Ltd.")</f>
      </c>
      <c r="B3211" s="3" t="s">
        <v>15</v>
      </c>
      <c r="C3211" s="4">
        <v>40</v>
      </c>
    </row>
    <row r="3212">
      <c r="A3212" s="5">
        <f>HYPERLINK("https://app-web.statementrec.com/app#appuploadfiles/3a210b65-c59f-d5f1-c8d7-5554a0a69e37","ZACHARY W. AUGUST 2025 CHASE ACCT 2897")</f>
      </c>
      <c r="B3212" s="3" t="s">
        <v>332</v>
      </c>
      <c r="C3212" s="4">
        <v>6</v>
      </c>
    </row>
    <row r="3213">
      <c r="A3213" s="5">
        <f>HYPERLINK("https://app-web.statementrec.com/app#appuploadfiles/3a210b67-36fc-9e69-3ad9-794bf7e49581","ZACHARY W. FEBRUARY 2025 CHASE ACCT 2897")</f>
      </c>
      <c r="B3213" s="3" t="s">
        <v>332</v>
      </c>
      <c r="C3213" s="4">
        <v>6</v>
      </c>
    </row>
    <row r="3214">
      <c r="A3214" s="5">
        <f>HYPERLINK("https://app-web.statementrec.com/app#appuploadfiles/3a210b68-548d-bd2f-31fd-64e96d13d209","ZACHARY W. JANUARY 2025 CHASE ACCT 2897")</f>
      </c>
      <c r="B3214" s="3" t="s">
        <v>58</v>
      </c>
      <c r="C3214" s="4">
        <v>6</v>
      </c>
    </row>
    <row r="3215">
      <c r="A3215" s="5">
        <f>HYPERLINK("https://app-web.statementrec.com/app#appuploadfiles/3a210b98-e920-2658-5d2c-1d40805b979b","Double Z Farms &amp; Meats")</f>
      </c>
      <c r="B3215" s="3" t="s">
        <v>47</v>
      </c>
      <c r="C3215" s="4">
        <v>24</v>
      </c>
    </row>
    <row r="3216">
      <c r="A3216" s="5">
        <f>HYPERLINK("https://app-web.statementrec.com/app#appuploadfiles/3a210ba4-8415-7ec4-00b9-d07741e6fb33","December 2025 - March 2026")</f>
      </c>
      <c r="B3216" s="3" t="s">
        <v>80</v>
      </c>
      <c r="C3216" s="4">
        <v>2</v>
      </c>
    </row>
    <row r="3217">
      <c r="A3217" s="5">
        <f>HYPERLINK("https://app-web.statementrec.com/app#appuploadfiles/3a210bbe-7697-48a8-d6db-0ff0388e8dfd","Day's Sand &amp; Gravel ltd.")</f>
      </c>
      <c r="B3217" s="3" t="s">
        <v>154</v>
      </c>
      <c r="C3217" s="4">
        <v>6</v>
      </c>
    </row>
    <row r="3218">
      <c r="A3218" s="5">
        <f>HYPERLINK("https://app-web.statementrec.com/app#appuploadfiles/3a210bc8-1833-c731-4e01-ed6e953d6f90","BUSATO MILLWORK INC")</f>
      </c>
      <c r="B3218" s="3" t="s">
        <v>13</v>
      </c>
      <c r="C3218" s="4">
        <v>5</v>
      </c>
    </row>
    <row r="3219">
      <c r="A3219" s="5">
        <f>HYPERLINK("https://app-web.statementrec.com/app#appuploadfiles/3a210bc9-28ef-4f31-475b-001a7d029536","Laurel Oaks")</f>
      </c>
      <c r="B3219" s="3" t="s">
        <v>428</v>
      </c>
      <c r="C3219" s="4">
        <v>20</v>
      </c>
    </row>
    <row r="3220">
      <c r="A3220" s="5">
        <f>HYPERLINK("https://app-web.statementrec.com/app#appuploadfiles/3a210bcb-4af9-e9bc-efef-711ce146ab54","2026-02-03_")</f>
      </c>
      <c r="B3220" s="3" t="s">
        <v>47</v>
      </c>
      <c r="C3220" s="4">
        <v>12</v>
      </c>
    </row>
    <row r="3221">
      <c r="A3221" s="5">
        <f>HYPERLINK("https://app-web.statementrec.com/app#appuploadfiles/3a210bf4-110c-c5b6-900a-ca71bc477c64","MCMA 8559 - April")</f>
      </c>
      <c r="B3221" s="3" t="s">
        <v>650</v>
      </c>
      <c r="C3221" s="4">
        <v>6</v>
      </c>
    </row>
    <row r="3222">
      <c r="A3222" s="5">
        <f>HYPERLINK("https://app-web.statementrec.com/app#appuploadfiles/3a210c04-6ae0-e210-3022-1169b2598d8b","Moses Maren Mission Technical High Sch")</f>
      </c>
      <c r="B3222" s="3" t="s">
        <v>118</v>
      </c>
      <c r="C3222" s="4">
        <v>61</v>
      </c>
    </row>
    <row r="3223">
      <c r="A3223" s="5">
        <f>HYPERLINK("https://app-web.statementrec.com/app#appuploadfiles/3a210c06-46b6-c72f-478f-e83b9a4b0632","Craig McMullan")</f>
      </c>
      <c r="B3223" s="3" t="s">
        <v>21</v>
      </c>
      <c r="C3223" s="4">
        <v>34</v>
      </c>
    </row>
    <row r="3224">
      <c r="A3224" s="5">
        <f>HYPERLINK("https://app-web.statementrec.com/app#appuploadfiles/3a210c56-56bf-1ff3-07ac-151dc605b377","4. APRIL 2026")</f>
      </c>
      <c r="B3224" s="3" t="s">
        <v>40</v>
      </c>
      <c r="C3224" s="4">
        <v>7</v>
      </c>
    </row>
    <row r="3225">
      <c r="A3225" s="5">
        <f>HYPERLINK("https://app-web.statementrec.com/app#appuploadfiles/3a210c57-4370-4223-2d91-42ecf192d7c9","Double Z Farms")</f>
      </c>
      <c r="B3225" s="3" t="s">
        <v>47</v>
      </c>
      <c r="C3225" s="4">
        <v>15</v>
      </c>
    </row>
    <row r="3226">
      <c r="A3226" s="5">
        <f>HYPERLINK("https://app-web.statementrec.com/app#appuploadfiles/3a210c77-51cb-b17a-0005-c28812311750","Laser March 26")</f>
      </c>
      <c r="B3226" s="3" t="s">
        <v>40</v>
      </c>
      <c r="C3226" s="4">
        <v>5</v>
      </c>
    </row>
    <row r="3227">
      <c r="A3227" s="5">
        <f>HYPERLINK("https://app-web.statementrec.com/app#appuploadfiles/3a210cbf-f4aa-d887-b85a-38640e10fb12","Life is good")</f>
      </c>
      <c r="B3227" s="3" t="s">
        <v>651</v>
      </c>
      <c r="C3227" s="4">
        <v>208</v>
      </c>
    </row>
    <row r="3228">
      <c r="A3228" s="5">
        <f>HYPERLINK("https://app-web.statementrec.com/app#appuploadfiles/3a210cdb-1f79-4e45-971a-cbd6e34a37ff","Madhura Investments Pty Ltd")</f>
      </c>
      <c r="B3228" s="3" t="s">
        <v>214</v>
      </c>
      <c r="C3228" s="4">
        <v>12</v>
      </c>
    </row>
    <row r="3229">
      <c r="A3229" s="5">
        <f>HYPERLINK("https://app-web.statementrec.com/app#appuploadfiles/3a210cf3-e069-f58f-c2c3-b41540622675","02642-MobasserianAzadeh")</f>
      </c>
      <c r="B3229" s="3" t="s">
        <v>59</v>
      </c>
      <c r="C3229" s="4">
        <v>135</v>
      </c>
    </row>
    <row r="3230">
      <c r="A3230" s="5">
        <f>HYPERLINK("https://app-web.statementrec.com/app#appuploadfiles/3a210d32-4ebd-b929-4fef-c0315f70e71c","Alina Apr Bank Statement")</f>
      </c>
      <c r="B3230" s="3" t="s">
        <v>10</v>
      </c>
      <c r="C3230" s="4">
        <v>2</v>
      </c>
    </row>
    <row r="3231">
      <c r="A3231" s="5">
        <f>HYPERLINK("https://app-web.statementrec.com/app#appuploadfiles/3a210d34-5b09-16cc-e484-b42603380762","SIX15sant")</f>
      </c>
      <c r="B3231" s="3" t="s">
        <v>19</v>
      </c>
      <c r="C3231" s="4">
        <v>24</v>
      </c>
    </row>
    <row r="3232">
      <c r="A3232" s="5">
        <f>HYPERLINK("https://app-web.statementrec.com/app#appuploadfiles/3a210db0-3775-ad6b-45e2-e9d5be6b58cf","Rubyvale Post Office")</f>
      </c>
      <c r="B3232" s="3" t="s">
        <v>652</v>
      </c>
      <c r="C3232" s="4">
        <v>49</v>
      </c>
    </row>
    <row r="3233">
      <c r="A3233" s="5">
        <f>HYPERLINK("https://app-web.statementrec.com/app#appuploadfiles/3a210dec-5448-f605-77db-24a9757b87d5","31/12/2023")</f>
      </c>
      <c r="B3233" s="3" t="s">
        <v>17</v>
      </c>
      <c r="C3233" s="4">
        <v>75</v>
      </c>
    </row>
    <row r="3234">
      <c r="A3234" s="5">
        <f>HYPERLINK("https://app-web.statementrec.com/app#appuploadfiles/3a210e24-5140-9529-5d30-369071296750","202604")</f>
      </c>
      <c r="B3234" s="3" t="s">
        <v>264</v>
      </c>
      <c r="C3234" s="4">
        <v>8</v>
      </c>
    </row>
    <row r="3235">
      <c r="A3235" s="5">
        <f>HYPERLINK("https://app-web.statementrec.com/app#appuploadfiles/3a210e29-d7da-36b8-9c4e-e1980b3d9cb8","Petra Kriek")</f>
      </c>
      <c r="B3235" s="3" t="s">
        <v>120</v>
      </c>
      <c r="C3235" s="4">
        <v>7</v>
      </c>
    </row>
    <row r="3236">
      <c r="A3236" s="5">
        <f>HYPERLINK("https://app-web.statementrec.com/app#appuploadfiles/3a210e42-c91b-21e2-ed7b-1e3e3f195527","Cups and cones")</f>
      </c>
      <c r="B3236" s="3" t="s">
        <v>80</v>
      </c>
      <c r="C3236" s="4">
        <v>97</v>
      </c>
    </row>
    <row r="3237">
      <c r="A3237" s="5">
        <f>HYPERLINK("https://app-web.statementrec.com/app#appuploadfiles/3a210e45-31db-917c-de80-650d0a9098c5","Pnayiotakis - March26")</f>
      </c>
      <c r="B3237" s="3" t="s">
        <v>56</v>
      </c>
      <c r="C3237" s="4">
        <v>2</v>
      </c>
    </row>
    <row r="3238">
      <c r="A3238" s="5">
        <f>HYPERLINK("https://app-web.statementrec.com/app#appuploadfiles/3a210e4a-b180-b1df-25e8-a8821005134a","RW003 Q/E Mar26")</f>
      </c>
      <c r="B3238" s="3" t="s">
        <v>43</v>
      </c>
      <c r="C3238" s="4">
        <v>7</v>
      </c>
    </row>
    <row r="3239">
      <c r="A3239" s="5">
        <f>HYPERLINK("https://app-web.statementrec.com/app#appuploadfiles/3a210e55-c35e-4c2b-62ca-1da5ac188394","31.3.2026")</f>
      </c>
      <c r="B3239" s="3" t="s">
        <v>17</v>
      </c>
      <c r="C3239" s="4">
        <v>4</v>
      </c>
    </row>
    <row r="3240">
      <c r="A3240" s="5">
        <f>HYPERLINK("https://app-web.statementrec.com/app#appuploadfiles/3a210e71-4638-bd6b-bc52-b5710c50bc04","26-03")</f>
      </c>
      <c r="B3240" s="3" t="s">
        <v>56</v>
      </c>
      <c r="C3240" s="4">
        <v>1</v>
      </c>
    </row>
    <row r="3241">
      <c r="A3241" s="5">
        <f>HYPERLINK("https://app-web.statementrec.com/app#appuploadfiles/3a210e72-5cda-5d6d-0ba1-16ce70351fbe","26-03")</f>
      </c>
      <c r="B3241" s="3" t="s">
        <v>40</v>
      </c>
      <c r="C3241" s="4">
        <v>1</v>
      </c>
    </row>
    <row r="3242">
      <c r="A3242" s="5">
        <f>HYPERLINK("https://app-web.statementrec.com/app#appuploadfiles/3a210e74-d0c8-a2eb-13aa-0a251e7e0d22","Roger Gooch")</f>
      </c>
      <c r="B3242" s="3" t="s">
        <v>8</v>
      </c>
      <c r="C3242" s="4">
        <v>24</v>
      </c>
    </row>
    <row r="3243">
      <c r="A3243" s="5">
        <f>HYPERLINK("https://app-web.statementrec.com/app#appuploadfiles/3a210e7c-9cc9-35b1-e8ba-23b074b5493f","LIFESAVER POWER LTD-2026-05-06 08-02-59")</f>
      </c>
      <c r="B3243" s="3" t="s">
        <v>17</v>
      </c>
      <c r="C3243" s="4">
        <v>8</v>
      </c>
    </row>
    <row r="3244">
      <c r="A3244" s="5">
        <f>HYPERLINK("https://app-web.statementrec.com/app#appuploadfiles/3a210e87-b177-d3f2-5b3a-bcb4684dee5a","Apple Orchard Construction")</f>
      </c>
      <c r="B3244" s="3" t="s">
        <v>36</v>
      </c>
      <c r="C3244" s="4">
        <v>111</v>
      </c>
    </row>
    <row r="3245">
      <c r="A3245" s="5">
        <f>HYPERLINK("https://app-web.statementrec.com/app#appuploadfiles/3a210e88-f56a-2c0b-921b-6fc4e98caca4","AC ELECTRONICS LTD")</f>
      </c>
      <c r="B3245" s="3" t="s">
        <v>19</v>
      </c>
      <c r="C3245" s="4">
        <v>4</v>
      </c>
    </row>
    <row r="3246">
      <c r="A3246" s="5">
        <f>HYPERLINK("https://app-web.statementrec.com/app#appuploadfiles/3a210e8c-bcb8-dc7d-2702-9e5eb88b0a9c","Paul Sinnott")</f>
      </c>
      <c r="B3246" s="3" t="s">
        <v>75</v>
      </c>
      <c r="C3246" s="4">
        <v>17</v>
      </c>
    </row>
    <row r="3247">
      <c r="A3247" s="5">
        <f>HYPERLINK("https://app-web.statementrec.com/app#appuploadfiles/3a210e93-2c29-b201-e6f2-9a4ccf40f528","MR K J PEERLESS")</f>
      </c>
      <c r="B3247" s="3" t="s">
        <v>18</v>
      </c>
      <c r="C3247" s="4">
        <v>3</v>
      </c>
    </row>
    <row r="3248">
      <c r="A3248" s="5">
        <f>HYPERLINK("https://app-web.statementrec.com/app#appuploadfiles/3a210e9e-62b6-0b9f-d181-38fb208f86fd","QE 04.26")</f>
      </c>
      <c r="B3248" s="3" t="s">
        <v>81</v>
      </c>
      <c r="C3248" s="4">
        <v>2</v>
      </c>
    </row>
    <row r="3249">
      <c r="A3249" s="5">
        <f>HYPERLINK("https://app-web.statementrec.com/app#appuploadfiles/3a210e9e-aa7c-81bd-245e-fbed27aef609","JURA FOODS LTD")</f>
      </c>
      <c r="B3249" s="3" t="s">
        <v>17</v>
      </c>
      <c r="C3249" s="4">
        <v>4</v>
      </c>
    </row>
    <row r="3250">
      <c r="A3250" s="5">
        <f>HYPERLINK("https://app-web.statementrec.com/app#appuploadfiles/3a210ea1-f396-7846-6541-8c22002efe24","G145 - GUN-ANSH LIMITED")</f>
      </c>
      <c r="B3250" s="3" t="s">
        <v>12</v>
      </c>
      <c r="C3250" s="4">
        <v>100</v>
      </c>
    </row>
    <row r="3251">
      <c r="A3251" s="5">
        <f>HYPERLINK("https://app-web.statementrec.com/app#appuploadfiles/3a210ea2-43a5-f969-68f0-61d530ed4458","TAY174 BANK JAN to MAR")</f>
      </c>
      <c r="B3251" s="3" t="s">
        <v>15</v>
      </c>
      <c r="C3251" s="4">
        <v>3</v>
      </c>
    </row>
    <row r="3252">
      <c r="A3252" s="5">
        <f>HYPERLINK("https://app-web.statementrec.com/app#appuploadfiles/3a210ea3-7b01-1763-7ece-cabe59c7010c","Hollyoak (Jersey) Limited")</f>
      </c>
      <c r="B3252" s="3" t="s">
        <v>17</v>
      </c>
      <c r="C3252" s="4">
        <v>7</v>
      </c>
    </row>
    <row r="3253">
      <c r="A3253" s="5">
        <f>HYPERLINK("https://app-web.statementrec.com/app#appuploadfiles/3a210ea3-880b-aae6-cde4-09dec33577fd","april 2026")</f>
      </c>
      <c r="B3253" s="3" t="s">
        <v>80</v>
      </c>
      <c r="C3253" s="4">
        <v>4</v>
      </c>
    </row>
    <row r="3254">
      <c r="A3254" s="5">
        <f>HYPERLINK("https://app-web.statementrec.com/app#appuploadfiles/3a210ea3-e7eb-857a-8c66-6786ef0bee33","Wade To Thrive Media Limited")</f>
      </c>
      <c r="B3254" s="3" t="s">
        <v>12</v>
      </c>
      <c r="C3254" s="4">
        <v>1</v>
      </c>
    </row>
    <row r="3255">
      <c r="A3255" s="5">
        <f>HYPERLINK("https://app-web.statementrec.com/app#appuploadfiles/3a210ea4-7932-434a-08ec-83a0600fa402","Jerome Rosin")</f>
      </c>
      <c r="B3255" s="3" t="s">
        <v>29</v>
      </c>
      <c r="C3255" s="4">
        <v>4</v>
      </c>
    </row>
    <row r="3256">
      <c r="A3256" s="5">
        <f>HYPERLINK("https://app-web.statementrec.com/app#appuploadfiles/3a210eb3-09a9-b36c-8f9b-9a83c36d5bd6","DRAINFORCE LIMITED-2026-05-06 09-02-26")</f>
      </c>
      <c r="B3256" s="3" t="s">
        <v>17</v>
      </c>
      <c r="C3256" s="4">
        <v>150</v>
      </c>
    </row>
    <row r="3257">
      <c r="A3257" s="5">
        <f>HYPERLINK("https://app-web.statementrec.com/app#appuploadfiles/3a210ebf-5bc9-0bb1-48cc-a6d549c10370","Invicta Chem")</f>
      </c>
      <c r="B3257" s="3" t="s">
        <v>118</v>
      </c>
      <c r="C3257" s="4">
        <v>15</v>
      </c>
    </row>
    <row r="3258">
      <c r="A3258" s="5">
        <f>HYPERLINK("https://app-web.statementrec.com/app#appuploadfiles/3a210ec0-27f7-8dce-eb4e-66ad2b7c95fa","NCTB LTD")</f>
      </c>
      <c r="B3258" s="3" t="s">
        <v>70</v>
      </c>
      <c r="C3258" s="4">
        <v>5</v>
      </c>
    </row>
    <row r="3259">
      <c r="A3259" s="5">
        <f>HYPERLINK("https://app-web.statementrec.com/app#appuploadfiles/3a210ec1-f004-cf58-9512-39e14663446b","VR Old Heath Ltd")</f>
      </c>
      <c r="B3259" s="3" t="s">
        <v>17</v>
      </c>
      <c r="C3259" s="4">
        <v>3</v>
      </c>
    </row>
    <row r="3260">
      <c r="A3260" s="5">
        <f>HYPERLINK("https://app-web.statementrec.com/app#appuploadfiles/3a210ed4-a4ce-3b41-7c60-ab68c9112391","BV Client")</f>
      </c>
      <c r="B3260" s="3" t="s">
        <v>19</v>
      </c>
      <c r="C3260" s="4">
        <v>20</v>
      </c>
    </row>
    <row r="3261">
      <c r="A3261" s="5">
        <f>HYPERLINK("https://app-web.statementrec.com/app#appuploadfiles/3a210edf-2981-de98-61a4-9f535eedf5ed","Greenways Holdings Ltd - QE 31 May 2026")</f>
      </c>
      <c r="B3261" s="3" t="s">
        <v>86</v>
      </c>
      <c r="C3261" s="4">
        <v>1</v>
      </c>
    </row>
    <row r="3262">
      <c r="A3262" s="5">
        <f>HYPERLINK("https://app-web.statementrec.com/app#appuploadfiles/3a210ee6-a6a3-3679-21c3-beb598250b1f","ye 2025")</f>
      </c>
      <c r="B3262" s="3" t="s">
        <v>17</v>
      </c>
      <c r="C3262" s="4">
        <v>29</v>
      </c>
    </row>
    <row r="3263">
      <c r="A3263" s="5">
        <f>HYPERLINK("https://app-web.statementrec.com/app#appuploadfiles/3a210eef-fdc8-929b-3451-f053177a185b","FG Creations Ltd")</f>
      </c>
      <c r="B3263" s="3" t="s">
        <v>11</v>
      </c>
      <c r="C3263" s="4">
        <v>16</v>
      </c>
    </row>
    <row r="3264">
      <c r="A3264" s="5">
        <f>HYPERLINK("https://app-web.statementrec.com/app#appuploadfiles/3a210f08-5f3d-dba6-5c2a-debf126ef676","Swanley Produce &amp; Wine Store")</f>
      </c>
      <c r="B3264" s="3" t="s">
        <v>17</v>
      </c>
      <c r="C3264" s="4">
        <v>8</v>
      </c>
    </row>
    <row r="3265">
      <c r="A3265" s="5">
        <f>HYPERLINK("https://app-web.statementrec.com/app#appuploadfiles/3a210f0a-186d-0f59-e59c-2c937c91113f","Colin Tyrell")</f>
      </c>
      <c r="B3265" s="3" t="s">
        <v>12</v>
      </c>
      <c r="C3265" s="4">
        <v>42</v>
      </c>
    </row>
    <row r="3266">
      <c r="A3266" s="5">
        <f>HYPERLINK("https://app-web.statementrec.com/app#appuploadfiles/3a210f14-1534-7eeb-15bc-d538ca13b37a","05.03.26 to 02.4.26")</f>
      </c>
      <c r="B3266" s="3" t="s">
        <v>81</v>
      </c>
      <c r="C3266" s="4">
        <v>4</v>
      </c>
    </row>
    <row r="3267">
      <c r="A3267" s="5">
        <f>HYPERLINK("https://app-web.statementrec.com/app#appuploadfiles/3a210f17-bc69-b381-ce00-345860d14bd8","TREPANOWSKI Krzysztof")</f>
      </c>
      <c r="B3267" s="3" t="s">
        <v>18</v>
      </c>
      <c r="C3267" s="4">
        <v>12</v>
      </c>
    </row>
    <row r="3268">
      <c r="A3268" s="5">
        <f>HYPERLINK("https://app-web.statementrec.com/app#appuploadfiles/3a210f1a-3266-768f-31dd-52e4870a08ec","Nationwide 28588671 - ST")</f>
      </c>
      <c r="B3268" s="3" t="s">
        <v>12</v>
      </c>
      <c r="C3268" s="4">
        <v>13</v>
      </c>
    </row>
    <row r="3269">
      <c r="A3269" s="5">
        <f>HYPERLINK("https://app-web.statementrec.com/app#appuploadfiles/3a210f1a-835c-d7e8-3092-5578f0995546","Amex 26 Apr 2026")</f>
      </c>
      <c r="B3269" s="3" t="s">
        <v>190</v>
      </c>
      <c r="C3269" s="4">
        <v>14</v>
      </c>
    </row>
    <row r="3270">
      <c r="A3270" s="5">
        <f>HYPERLINK("https://app-web.statementrec.com/app#appuploadfiles/3a210f1a-eb89-0869-fb8f-14575c9724c6","ASk MAr 26")</f>
      </c>
      <c r="B3270" s="3" t="s">
        <v>11</v>
      </c>
      <c r="C3270" s="4">
        <v>11</v>
      </c>
    </row>
    <row r="3271">
      <c r="A3271" s="5">
        <f>HYPERLINK("https://app-web.statementrec.com/app#appuploadfiles/3a210f1c-025b-f93b-bee1-4b5fa9c0477a","Rory O'Connor - Farm")</f>
      </c>
      <c r="B3271" s="3" t="s">
        <v>12</v>
      </c>
      <c r="C3271" s="4">
        <v>33</v>
      </c>
    </row>
    <row r="3272">
      <c r="A3272" s="5">
        <f>HYPERLINK("https://app-web.statementrec.com/app#appuploadfiles/3a210f32-4e15-bd1e-8409-36f8e91745d0","Mully Financial Services")</f>
      </c>
      <c r="B3272" s="3" t="s">
        <v>120</v>
      </c>
      <c r="C3272" s="4">
        <v>41</v>
      </c>
    </row>
    <row r="3273">
      <c r="A3273" s="5">
        <f>HYPERLINK("https://app-web.statementrec.com/app#appuploadfiles/3a210f3b-5c6e-9d47-0a87-3e65397d78ee","SAVEING Jan to Mar 2026")</f>
      </c>
      <c r="B3273" s="3" t="s">
        <v>11</v>
      </c>
      <c r="C3273" s="4">
        <v>4</v>
      </c>
    </row>
    <row r="3274">
      <c r="A3274" s="5">
        <f>HYPERLINK("https://app-web.statementrec.com/app#appuploadfiles/3a210f47-ac4b-908b-0732-08ffe03adf6d","Narau")</f>
      </c>
      <c r="B3274" s="3" t="s">
        <v>653</v>
      </c>
      <c r="C3274" s="4">
        <v>4</v>
      </c>
    </row>
    <row r="3275">
      <c r="A3275" s="5">
        <f>HYPERLINK("https://app-web.statementrec.com/app#appuploadfiles/3a210f4e-f58f-6a40-18d4-6065bd77c589","May 6 2026")</f>
      </c>
      <c r="B3275" s="3" t="s">
        <v>81</v>
      </c>
      <c r="C3275" s="4">
        <v>1</v>
      </c>
    </row>
    <row r="3276">
      <c r="A3276" s="5">
        <f>HYPERLINK("https://app-web.statementrec.com/app#appuploadfiles/3a210f4f-9d35-97a6-57b2-0858a48ae6e3","06 May 2026")</f>
      </c>
      <c r="B3276" s="3" t="s">
        <v>81</v>
      </c>
      <c r="C3276" s="4">
        <v>3</v>
      </c>
    </row>
    <row r="3277">
      <c r="A3277" s="5">
        <f>HYPERLINK("https://app-web.statementrec.com/app#appuploadfiles/3a210f54-0381-7ad7-5e66-03b253b574dc","AIR MARKETING GROUP LIMITED")</f>
      </c>
      <c r="B3277" s="3" t="s">
        <v>17</v>
      </c>
      <c r="C3277" s="4">
        <v>46</v>
      </c>
    </row>
    <row r="3278">
      <c r="A3278" s="5">
        <f>HYPERLINK("https://app-web.statementrec.com/app#appuploadfiles/3a210f58-0d2d-3d04-8904-d9e5346a7d22","Music Connection Limited")</f>
      </c>
      <c r="B3278" s="3" t="s">
        <v>40</v>
      </c>
      <c r="C3278" s="4">
        <v>1</v>
      </c>
    </row>
    <row r="3279">
      <c r="A3279" s="5">
        <f>HYPERLINK("https://app-web.statementrec.com/app#appuploadfiles/3a210f58-e31d-ac82-6a05-bbd5f4b9121a","Lloyds Bank 2024-25")</f>
      </c>
      <c r="B3279" s="3" t="s">
        <v>15</v>
      </c>
      <c r="C3279" s="4">
        <v>24</v>
      </c>
    </row>
    <row r="3280">
      <c r="A3280" s="5">
        <f>HYPERLINK("https://app-web.statementrec.com/app#appuploadfiles/3a210f5e-2281-a893-974e-fa3c138a3875","IDL Yorkshire April 26")</f>
      </c>
      <c r="B3280" s="3" t="s">
        <v>81</v>
      </c>
      <c r="C3280" s="4">
        <v>1</v>
      </c>
    </row>
    <row r="3281">
      <c r="A3281" s="5">
        <f>HYPERLINK("https://app-web.statementrec.com/app#appuploadfiles/3a210f5e-9b6e-a291-9982-0aeb2c041cc4","Inspired Design Apr 26")</f>
      </c>
      <c r="B3281" s="3" t="s">
        <v>18</v>
      </c>
      <c r="C3281" s="4">
        <v>5</v>
      </c>
    </row>
    <row r="3282">
      <c r="A3282" s="5">
        <f>HYPERLINK("https://app-web.statementrec.com/app#appuploadfiles/3a210f66-f9d0-cab9-912a-a5b3e91a8829","credit card 24-25")</f>
      </c>
      <c r="B3282" s="3" t="s">
        <v>13</v>
      </c>
      <c r="C3282" s="4">
        <v>56</v>
      </c>
    </row>
    <row r="3283">
      <c r="A3283" s="5">
        <f>HYPERLINK("https://app-web.statementrec.com/app#appuploadfiles/3a210f72-c9a7-b870-71ee-0e3032230e50","Février, mars, avril 2026")</f>
      </c>
      <c r="B3283" s="3" t="s">
        <v>158</v>
      </c>
      <c r="C3283" s="4">
        <v>3</v>
      </c>
    </row>
    <row r="3284">
      <c r="A3284" s="5">
        <f>HYPERLINK("https://app-web.statementrec.com/app#appuploadfiles/3a210f75-9758-5920-374c-131271c81c17","March 2026")</f>
      </c>
      <c r="B3284" s="3" t="s">
        <v>17</v>
      </c>
      <c r="C3284" s="4">
        <v>16</v>
      </c>
    </row>
    <row r="3285">
      <c r="A3285" s="5">
        <f>HYPERLINK("https://app-web.statementrec.com/app#appuploadfiles/3a210f88-c6d9-1de0-0988-59963c19953d","rising sun-27-5885")</f>
      </c>
      <c r="B3285" s="3" t="s">
        <v>13</v>
      </c>
      <c r="C3285" s="4">
        <v>32</v>
      </c>
    </row>
    <row r="3286">
      <c r="A3286" s="5">
        <f>HYPERLINK("https://app-web.statementrec.com/app#appuploadfiles/3a210f94-a4e8-9b99-3d7e-2db5ccbf3a9a","SJFH Consultants")</f>
      </c>
      <c r="B3286" s="3" t="s">
        <v>18</v>
      </c>
      <c r="C3286" s="4">
        <v>4</v>
      </c>
    </row>
    <row r="3287">
      <c r="A3287" s="5">
        <f>HYPERLINK("https://app-web.statementrec.com/app#appuploadfiles/3a210f97-78ec-a0dc-f890-2d8d10a24276","Opal Recruitment Consultants Ltd")</f>
      </c>
      <c r="B3287" s="3" t="s">
        <v>29</v>
      </c>
      <c r="C3287" s="4">
        <v>7</v>
      </c>
    </row>
    <row r="3288">
      <c r="A3288" s="5">
        <f>HYPERLINK("https://app-web.statementrec.com/app#appuploadfiles/3a210fa1-1d0f-32f0-61d1-1c0d4884e8f9","ST mar-apr26")</f>
      </c>
      <c r="B3288" s="3" t="s">
        <v>11</v>
      </c>
      <c r="C3288" s="4">
        <v>6</v>
      </c>
    </row>
    <row r="3289">
      <c r="A3289" s="5">
        <f>HYPERLINK("https://app-web.statementrec.com/app#appuploadfiles/3a210fa2-1d0a-c3f6-f6c5-1f75c5c0b929","GBP April 26")</f>
      </c>
      <c r="B3289" s="3" t="s">
        <v>18</v>
      </c>
      <c r="C3289" s="4">
        <v>3</v>
      </c>
    </row>
    <row r="3290">
      <c r="A3290" s="5">
        <f>HYPERLINK("https://app-web.statementrec.com/app#appuploadfiles/3a210fa3-2387-48c0-d164-63c28b51fb14","05.02.26 to 04.03.26")</f>
      </c>
      <c r="B3290" s="3" t="s">
        <v>81</v>
      </c>
      <c r="C3290" s="4">
        <v>4</v>
      </c>
    </row>
    <row r="3291">
      <c r="A3291" s="5">
        <f>HYPERLINK("https://app-web.statementrec.com/app#appuploadfiles/3a210fa4-0259-3806-36af-f507c7ecf6dc","EUR April 25")</f>
      </c>
      <c r="B3291" s="3" t="s">
        <v>13</v>
      </c>
      <c r="C3291" s="4">
        <v>2</v>
      </c>
    </row>
    <row r="3292">
      <c r="A3292" s="5">
        <f>HYPERLINK("https://app-web.statementrec.com/app#appuploadfiles/3a210fa4-45f9-ee44-a801-b069ffcb108d","Sean Lynch")</f>
      </c>
      <c r="B3292" s="3" t="s">
        <v>36</v>
      </c>
      <c r="C3292" s="4">
        <v>20</v>
      </c>
    </row>
    <row r="3293">
      <c r="A3293" s="5">
        <f>HYPERLINK("https://app-web.statementrec.com/app#appuploadfiles/3a210fa4-9e45-25a6-0f48-5f0799cc953a","B0054 BCW Solutions")</f>
      </c>
      <c r="B3293" s="3" t="s">
        <v>116</v>
      </c>
      <c r="C3293" s="4">
        <v>1</v>
      </c>
    </row>
    <row r="3294">
      <c r="A3294" s="5">
        <f>HYPERLINK("https://app-web.statementrec.com/app#appuploadfiles/3a210fa7-9f3a-4df2-1274-aa1f82a7d28c","African End Tourism")</f>
      </c>
      <c r="B3294" s="3" t="s">
        <v>654</v>
      </c>
      <c r="C3294" s="4">
        <v>32</v>
      </c>
    </row>
    <row r="3295">
      <c r="A3295" s="5">
        <f>HYPERLINK("https://app-web.statementrec.com/app#appuploadfiles/3a210fb1-969c-afe8-caf8-341c49e7d4f5","3rd Jan -1st April 2026")</f>
      </c>
      <c r="B3295" s="3" t="s">
        <v>19</v>
      </c>
      <c r="C3295" s="4">
        <v>7</v>
      </c>
    </row>
    <row r="3296">
      <c r="A3296" s="5">
        <f>HYPERLINK("https://app-web.statementrec.com/app#appuploadfiles/3a210fbe-8d5f-c554-bcd8-d3ea20b1bff2","3 Agaves The Best Mexican Restaurant")</f>
      </c>
      <c r="B3296" s="3" t="s">
        <v>124</v>
      </c>
      <c r="C3296" s="4">
        <v>21</v>
      </c>
    </row>
    <row r="3297">
      <c r="A3297" s="5">
        <f>HYPERLINK("https://app-web.statementrec.com/app#appuploadfiles/3a210fc0-4483-981c-e785-be7f8bb4ee1c","Michelle Williams")</f>
      </c>
      <c r="B3297" s="3" t="s">
        <v>17</v>
      </c>
      <c r="C3297" s="4">
        <v>8</v>
      </c>
    </row>
    <row r="3298">
      <c r="A3298" s="5">
        <f>HYPERLINK("https://app-web.statementrec.com/app#appuploadfiles/3a210fc1-f378-1bfe-c1bc-d39cc2f0442c","06.05.26")</f>
      </c>
      <c r="B3298" s="3" t="s">
        <v>12</v>
      </c>
      <c r="C3298" s="4">
        <v>46</v>
      </c>
    </row>
    <row r="3299">
      <c r="A3299" s="5">
        <f>HYPERLINK("https://app-web.statementrec.com/app#appuploadfiles/3a210fc9-495b-2a95-0233-40c01644643f","William Rains Stevens")</f>
      </c>
      <c r="B3299" s="3" t="s">
        <v>17</v>
      </c>
      <c r="C3299" s="4">
        <v>8</v>
      </c>
    </row>
    <row r="3300">
      <c r="A3300" s="5">
        <f>HYPERLINK("https://app-web.statementrec.com/app#appuploadfiles/3a210fd3-792a-edd4-3ad5-7fc1026f10b2","Jan- March 26")</f>
      </c>
      <c r="B3300" s="3" t="s">
        <v>655</v>
      </c>
      <c r="C3300" s="4">
        <v>26</v>
      </c>
    </row>
    <row r="3301">
      <c r="A3301" s="5">
        <f>HYPERLINK("https://app-web.statementrec.com/app#appuploadfiles/3a210fef-b148-bd0b-ca1d-37f3632ae06c","Thornhill Home LLC")</f>
      </c>
      <c r="B3301" s="3" t="s">
        <v>56</v>
      </c>
      <c r="C3301" s="4">
        <v>59</v>
      </c>
    </row>
    <row r="3302">
      <c r="A3302" s="5">
        <f>HYPERLINK("https://app-web.statementrec.com/app#appuploadfiles/3a210ff4-23a9-71b1-475e-6e67ea3664fe","Frasco")</f>
      </c>
      <c r="B3302" s="3" t="s">
        <v>17</v>
      </c>
      <c r="C3302" s="4">
        <v>1</v>
      </c>
    </row>
    <row r="3303">
      <c r="A3303" s="5">
        <f>HYPERLINK("https://app-web.statementrec.com/app#appuploadfiles/3a21100d-374b-6959-0977-97d4be13096f","Eden Construction")</f>
      </c>
      <c r="B3303" s="3" t="s">
        <v>194</v>
      </c>
      <c r="C3303" s="4">
        <v>23</v>
      </c>
    </row>
    <row r="3304">
      <c r="A3304" s="5">
        <f>HYPERLINK("https://app-web.statementrec.com/app#appuploadfiles/3a21101d-357c-7444-c16e-7a6ec41079d8","")</f>
      </c>
      <c r="B3304" s="3" t="s">
        <v>17</v>
      </c>
      <c r="C3304" s="4">
        <v>47</v>
      </c>
    </row>
    <row r="3305">
      <c r="A3305" s="5">
        <f>HYPERLINK("https://app-web.statementrec.com/app#appuploadfiles/3a211022-f4ff-bc47-5943-a4aaf98fad5d","CLCU April 2026")</f>
      </c>
      <c r="B3305" s="3" t="s">
        <v>33</v>
      </c>
      <c r="C3305" s="4">
        <v>8</v>
      </c>
    </row>
    <row r="3306">
      <c r="A3306" s="5">
        <f>HYPERLINK("https://app-web.statementrec.com/app#appuploadfiles/3a21102a-6df5-a202-4000-f44a38bc01c0","77812_25")</f>
      </c>
      <c r="B3306" s="3" t="s">
        <v>11</v>
      </c>
      <c r="C3306" s="4">
        <v>76</v>
      </c>
    </row>
    <row r="3307">
      <c r="A3307" s="5">
        <f>HYPERLINK("https://app-web.statementrec.com/app#appuploadfiles/3a211038-2286-5eb2-b12e-63199fdcfb57","Guy Barker")</f>
      </c>
      <c r="B3307" s="3" t="s">
        <v>18</v>
      </c>
      <c r="C3307" s="4">
        <v>4</v>
      </c>
    </row>
    <row r="3308">
      <c r="A3308" s="5">
        <f>HYPERLINK("https://app-web.statementrec.com/app#appuploadfiles/3a21103f-0369-d750-9292-70af31718507","GSK Stockmann GmbH statements")</f>
      </c>
      <c r="B3308" s="3" t="s">
        <v>18</v>
      </c>
      <c r="C3308" s="4">
        <v>8</v>
      </c>
    </row>
    <row r="3309">
      <c r="A3309" s="5">
        <f>HYPERLINK("https://app-web.statementrec.com/app#appuploadfiles/3a21103f-738b-0931-b7da-6908627e19b8","Maple Well Operations LTD")</f>
      </c>
      <c r="B3309" s="3" t="s">
        <v>17</v>
      </c>
      <c r="C3309" s="4">
        <v>3</v>
      </c>
    </row>
    <row r="3310">
      <c r="A3310" s="5">
        <f>HYPERLINK("https://app-web.statementrec.com/app#appuploadfiles/3a21104a-1b69-71c1-08ad-e06d79f871c0","Taggart Homes Limavady Ltd")</f>
      </c>
      <c r="B3310" s="3" t="s">
        <v>47</v>
      </c>
      <c r="C3310" s="4">
        <v>269</v>
      </c>
    </row>
    <row r="3311">
      <c r="A3311" s="5">
        <f>HYPERLINK("https://app-web.statementrec.com/app#appuploadfiles/3a211060-ad76-1c47-b82d-854b3a4ac9dc","Concept Design Construction MTB Inc.")</f>
      </c>
      <c r="B3311" s="3" t="s">
        <v>656</v>
      </c>
      <c r="C3311" s="4">
        <v>12</v>
      </c>
    </row>
    <row r="3312">
      <c r="A3312" s="5">
        <f>HYPERLINK("https://app-web.statementrec.com/app#appuploadfiles/3a211072-617b-0d62-2a3b-86147e2250f8","Semenduev Group Ltd.")</f>
      </c>
      <c r="B3312" s="3" t="s">
        <v>657</v>
      </c>
      <c r="C3312" s="4">
        <v>21</v>
      </c>
    </row>
    <row r="3313">
      <c r="A3313" s="5">
        <f>HYPERLINK("https://app-web.statementrec.com/app#appuploadfiles/3a21108c-ecf7-87c7-08b4-83ade898fd55","IHK ENTERPRISE LTD")</f>
      </c>
      <c r="B3313" s="3" t="s">
        <v>17</v>
      </c>
      <c r="C3313" s="4">
        <v>5</v>
      </c>
    </row>
    <row r="3314">
      <c r="A3314" s="5">
        <f>HYPERLINK("https://app-web.statementrec.com/app#appuploadfiles/3a2110a6-435d-8f42-2754-2c5b509e2473","CN UNLIMITED MEDIA")</f>
      </c>
      <c r="B3314" s="3" t="s">
        <v>658</v>
      </c>
      <c r="C3314" s="4">
        <v>33</v>
      </c>
    </row>
    <row r="3315">
      <c r="A3315" s="5">
        <f>HYPERLINK("https://app-web.statementrec.com/app#appuploadfiles/3a2110d0-b448-99db-1e0e-94eab4a175b5","Bank 2025")</f>
      </c>
      <c r="B3315" s="3" t="s">
        <v>201</v>
      </c>
      <c r="C3315" s="4">
        <v>30</v>
      </c>
    </row>
    <row r="3316">
      <c r="A3316" s="5">
        <f>HYPERLINK("https://app-web.statementrec.com/app#appuploadfiles/3a2110d1-300c-f814-9e8b-d38589972c01","MC 2025")</f>
      </c>
      <c r="B3316" s="3" t="s">
        <v>659</v>
      </c>
      <c r="C3316" s="4">
        <v>38</v>
      </c>
    </row>
    <row r="3317">
      <c r="A3317" s="5">
        <f>HYPERLINK("https://app-web.statementrec.com/app#appuploadfiles/3a2110d8-8e0e-f940-f7c3-ea337433516d","Avril 2026")</f>
      </c>
      <c r="B3317" s="3" t="s">
        <v>158</v>
      </c>
      <c r="C3317" s="4">
        <v>3</v>
      </c>
    </row>
    <row r="3318">
      <c r="A3318" s="5">
        <f>HYPERLINK("https://app-web.statementrec.com/app#appuploadfiles/3a2110ec-1c85-a129-8d62-9b68ff606ceb","CHASE ACCOUNT")</f>
      </c>
      <c r="B3318" s="3" t="s">
        <v>58</v>
      </c>
      <c r="C3318" s="4">
        <v>5</v>
      </c>
    </row>
    <row r="3319">
      <c r="A3319" s="5">
        <f>HYPERLINK("https://app-web.statementrec.com/app#appuploadfiles/3a211110-d066-e5c5-f212-cbd296efb4f1","DLAM Construction")</f>
      </c>
      <c r="B3319" s="3" t="s">
        <v>40</v>
      </c>
      <c r="C3319" s="4">
        <v>14</v>
      </c>
    </row>
    <row r="3320">
      <c r="A3320" s="5">
        <f>HYPERLINK("https://app-web.statementrec.com/app#appuploadfiles/3a21112b-72df-ae35-4272-97c6f0965db0","M.C.C. Sanitation")</f>
      </c>
      <c r="B3320" s="3" t="s">
        <v>16</v>
      </c>
      <c r="C3320" s="4">
        <v>4</v>
      </c>
    </row>
    <row r="3321">
      <c r="A3321" s="5">
        <f>HYPERLINK("https://app-web.statementrec.com/app#appuploadfiles/3a211137-3b17-7dd5-bb0c-2f6c7a73ba5b","02656-KelsonMonique")</f>
      </c>
      <c r="B3321" s="3" t="s">
        <v>660</v>
      </c>
      <c r="C3321" s="4">
        <v>822</v>
      </c>
    </row>
    <row r="3322">
      <c r="A3322" s="5">
        <f>HYPERLINK("https://app-web.statementrec.com/app#appuploadfiles/3a21113b-54de-2bc5-c3ee-cf4f1f395c9d","MAINTENANCE BENJI (Benoit Goyer)")</f>
      </c>
      <c r="B3322" s="3" t="s">
        <v>661</v>
      </c>
      <c r="C3322" s="4">
        <v>72</v>
      </c>
    </row>
    <row r="3323">
      <c r="A3323" s="5">
        <f>HYPERLINK("https://app-web.statementrec.com/app#appuploadfiles/3a21113b-f9a4-3710-aa75-d68941478169","Choresmith")</f>
      </c>
      <c r="B3323" s="3" t="s">
        <v>662</v>
      </c>
      <c r="C3323" s="4">
        <v>39</v>
      </c>
    </row>
    <row r="3324">
      <c r="A3324" s="5">
        <f>HYPERLINK("https://app-web.statementrec.com/app#appuploadfiles/3a211141-e38a-a19b-84cb-c384263ed60f","MAY 2026 STATEMENT")</f>
      </c>
      <c r="B3324" s="3" t="s">
        <v>663</v>
      </c>
      <c r="C3324" s="4">
        <v>10</v>
      </c>
    </row>
    <row r="3325">
      <c r="A3325" s="5">
        <f>HYPERLINK("https://app-web.statementrec.com/app#appuploadfiles/3a211143-8471-053b-78d8-9cfea386d0ce","Alan Stephen Armstrong")</f>
      </c>
      <c r="B3325" s="3" t="s">
        <v>19</v>
      </c>
      <c r="C3325" s="4">
        <v>37</v>
      </c>
    </row>
    <row r="3326">
      <c r="A3326" s="5">
        <f>HYPERLINK("https://app-web.statementrec.com/app#appuploadfiles/3a211149-9836-6821-b53b-4019b1b5213c","02738-ForsytheMark")</f>
      </c>
      <c r="B3326" s="3" t="s">
        <v>10</v>
      </c>
      <c r="C3326" s="4">
        <v>635</v>
      </c>
    </row>
    <row r="3327">
      <c r="A3327" s="5">
        <f>HYPERLINK("https://app-web.statementrec.com/app#appuploadfiles/3a2111c1-1634-83a7-51b4-959e289a0f32","wise April")</f>
      </c>
      <c r="B3327" s="3" t="s">
        <v>43</v>
      </c>
      <c r="C3327" s="4">
        <v>1</v>
      </c>
    </row>
    <row r="3328">
      <c r="A3328" s="5">
        <f>HYPERLINK("https://app-web.statementrec.com/app#appuploadfiles/3a2111d7-ddba-6b7f-f636-0f650786642e","KCM Logistics Inc")</f>
      </c>
      <c r="B3328" s="3" t="s">
        <v>40</v>
      </c>
      <c r="C3328" s="4">
        <v>6</v>
      </c>
    </row>
    <row r="3329">
      <c r="A3329" s="5">
        <f>HYPERLINK("https://app-web.statementrec.com/app#appuploadfiles/3a2111fc-e833-122d-bf2b-5f1493faf057","Daren Borthwick")</f>
      </c>
      <c r="B3329" s="3" t="s">
        <v>214</v>
      </c>
      <c r="C3329" s="4">
        <v>30</v>
      </c>
    </row>
    <row r="3330">
      <c r="A3330" s="5">
        <f>HYPERLINK("https://app-web.statementrec.com/app#appuploadfiles/3a211201-0fbd-3128-2dcf-e8928e99a14c","MILTON")</f>
      </c>
      <c r="B3330" s="3" t="s">
        <v>214</v>
      </c>
      <c r="C3330" s="4">
        <v>4</v>
      </c>
    </row>
    <row r="3331">
      <c r="A3331" s="5">
        <f>HYPERLINK("https://app-web.statementrec.com/app#appuploadfiles/3a21123a-e887-3d66-74b0-1d6043896e16","April 4 to May 3, 2026")</f>
      </c>
      <c r="B3331" s="3" t="s">
        <v>56</v>
      </c>
      <c r="C3331" s="4">
        <v>3</v>
      </c>
    </row>
    <row r="3332">
      <c r="A3332" s="5">
        <f>HYPERLINK("https://app-web.statementrec.com/app#appuploadfiles/3a21125c-bde5-a906-1b5c-21166f0e0616","PGA 2025 DOCUMENTS")</f>
      </c>
      <c r="B3332" s="3" t="s">
        <v>274</v>
      </c>
      <c r="C3332" s="4">
        <v>5</v>
      </c>
    </row>
    <row r="3333">
      <c r="A3333" s="5">
        <f>HYPERLINK("https://app-web.statementrec.com/app#appuploadfiles/3a21126c-3280-41f8-0fd6-45a129da2358","FNB loan facility")</f>
      </c>
      <c r="B3333" s="3" t="s">
        <v>80</v>
      </c>
      <c r="C3333" s="4">
        <v>2</v>
      </c>
    </row>
    <row r="3334">
      <c r="A3334" s="5">
        <f>HYPERLINK("https://app-web.statementrec.com/app#appuploadfiles/3a211295-578c-544e-4751-ffe5089144ff","MyAdon Business Services LLC")</f>
      </c>
      <c r="B3334" s="3" t="s">
        <v>58</v>
      </c>
      <c r="C3334" s="4">
        <v>4</v>
      </c>
    </row>
    <row r="3335">
      <c r="A3335" s="5">
        <f>HYPERLINK("https://app-web.statementrec.com/app#appuploadfiles/3a211295-9353-db54-fd6c-f2140f63a52e","Jody Dotson")</f>
      </c>
      <c r="B3335" s="3" t="s">
        <v>58</v>
      </c>
      <c r="C3335" s="4">
        <v>4</v>
      </c>
    </row>
    <row r="3336">
      <c r="A3336" s="5">
        <f>HYPERLINK("https://app-web.statementrec.com/app#appuploadfiles/3a211302-5903-b0a9-457c-b5c722a0645c","Avtar Shoker")</f>
      </c>
      <c r="B3336" s="3" t="s">
        <v>185</v>
      </c>
      <c r="C3336" s="4">
        <v>3</v>
      </c>
    </row>
    <row r="3337">
      <c r="A3337" s="5">
        <f>HYPERLINK("https://app-web.statementrec.com/app#appuploadfiles/3a211311-756b-a383-4830-43cf770197b7","TOTAL THERAPY KDM LTD")</f>
      </c>
      <c r="B3337" s="3" t="s">
        <v>70</v>
      </c>
      <c r="C3337" s="4">
        <v>8</v>
      </c>
    </row>
    <row r="3338">
      <c r="A3338" s="5">
        <f>HYPERLINK("https://app-web.statementrec.com/app#appuploadfiles/3a21136f-269d-20ee-2385-5c3317324579","DESIGNING SOL LTD")</f>
      </c>
      <c r="B3338" s="3" t="s">
        <v>11</v>
      </c>
      <c r="C3338" s="4">
        <v>3</v>
      </c>
    </row>
    <row r="3339">
      <c r="A3339" s="5">
        <f>HYPERLINK("https://app-web.statementrec.com/app#appuploadfiles/3a211388-f6cc-1e39-694d-a6fc8f150040","P M Parry &amp; P'ners")</f>
      </c>
      <c r="B3339" s="3" t="s">
        <v>18</v>
      </c>
      <c r="C3339" s="4">
        <v>19</v>
      </c>
    </row>
    <row r="3340">
      <c r="A3340" s="5">
        <f>HYPERLINK("https://app-web.statementrec.com/app#appuploadfiles/3a211399-cb2c-8905-c37b-1b927a684f32","CJ Rodrigues Joinery Ltd")</f>
      </c>
      <c r="B3340" s="3" t="s">
        <v>17</v>
      </c>
      <c r="C3340" s="4">
        <v>4</v>
      </c>
    </row>
    <row r="3341">
      <c r="A3341" s="5">
        <f>HYPERLINK("https://app-web.statementrec.com/app#appuploadfiles/3a2113a7-fdef-c357-31cd-568370df0871","SP Powerworld Ltd")</f>
      </c>
      <c r="B3341" s="3" t="s">
        <v>13</v>
      </c>
      <c r="C3341" s="4">
        <v>6</v>
      </c>
    </row>
    <row r="3342">
      <c r="A3342" s="5">
        <f>HYPERLINK("https://app-web.statementrec.com/app#appuploadfiles/3a2113b8-95ff-8e89-5139-0dcc14599060","Longley April 2026")</f>
      </c>
      <c r="B3342" s="3" t="s">
        <v>123</v>
      </c>
      <c r="C3342" s="4">
        <v>11</v>
      </c>
    </row>
    <row r="3343">
      <c r="A3343" s="5">
        <f>HYPERLINK("https://app-web.statementrec.com/app#appuploadfiles/3a2113bd-762b-3807-555c-96a16405a2da","miranda taylor")</f>
      </c>
      <c r="B3343" s="3" t="s">
        <v>17</v>
      </c>
      <c r="C3343" s="4">
        <v>77</v>
      </c>
    </row>
    <row r="3344">
      <c r="A3344" s="5">
        <f>HYPERLINK("https://app-web.statementrec.com/app#appuploadfiles/3a2113c0-9a36-a3e4-b24c-cbfca4d8963c","Business Accounts 2026")</f>
      </c>
      <c r="B3344" s="3" t="s">
        <v>15</v>
      </c>
      <c r="C3344" s="4">
        <v>31</v>
      </c>
    </row>
    <row r="3345">
      <c r="A3345" s="5">
        <f>HYPERLINK("https://app-web.statementrec.com/app#appuploadfiles/3a2113c0-ba0d-432b-b292-abda91c36f60","Living Waters AOG t/a Thrive Church")</f>
      </c>
      <c r="B3345" s="3" t="s">
        <v>38</v>
      </c>
      <c r="C3345" s="4">
        <v>20</v>
      </c>
    </row>
    <row r="3346">
      <c r="A3346" s="5">
        <f>HYPERLINK("https://app-web.statementrec.com/app#appuploadfiles/3a2113c4-1bea-8ed3-207d-2d2d0b011ec3","Dina Visser")</f>
      </c>
      <c r="B3346" s="3" t="s">
        <v>80</v>
      </c>
      <c r="C3346" s="4">
        <v>102</v>
      </c>
    </row>
    <row r="3347">
      <c r="A3347" s="5">
        <f>HYPERLINK("https://app-web.statementrec.com/app#appuploadfiles/3a2113cf-335d-ef35-349e-119f7cb3ad78","CT Plastering Limited")</f>
      </c>
      <c r="B3347" s="3" t="s">
        <v>3</v>
      </c>
      <c r="C3347" s="4">
        <v>2</v>
      </c>
    </row>
    <row r="3348">
      <c r="A3348" s="5">
        <f>HYPERLINK("https://app-web.statementrec.com/app#appuploadfiles/3a2113d3-bf8f-6c5d-dac9-2cd1d32a59cd","Matolengwe Business Solutions")</f>
      </c>
      <c r="B3348" s="3" t="s">
        <v>118</v>
      </c>
      <c r="C3348" s="4">
        <v>53</v>
      </c>
    </row>
    <row r="3349">
      <c r="A3349" s="5">
        <f>HYPERLINK("https://app-web.statementrec.com/app#appuploadfiles/3a2113d5-ac4f-024f-75ca-b0f48b2de2ed","LPD Management Ltd")</f>
      </c>
      <c r="B3349" s="3" t="s">
        <v>10</v>
      </c>
      <c r="C3349" s="4">
        <v>10</v>
      </c>
    </row>
    <row r="3350">
      <c r="A3350" s="5">
        <f>HYPERLINK("https://app-web.statementrec.com/app#appuploadfiles/3a2113f0-7881-21b3-831f-92674297a543","Choice Entertainment")</f>
      </c>
      <c r="B3350" s="3" t="s">
        <v>3</v>
      </c>
      <c r="C3350" s="4">
        <v>67</v>
      </c>
    </row>
    <row r="3351">
      <c r="A3351" s="5">
        <f>HYPERLINK("https://app-web.statementrec.com/app#appuploadfiles/3a2113f7-9f49-3932-d129-6a5d26a0a430","Credit card stmnts")</f>
      </c>
      <c r="B3351" s="3" t="s">
        <v>12</v>
      </c>
      <c r="C3351" s="4">
        <v>4</v>
      </c>
    </row>
    <row r="3352">
      <c r="A3352" s="5">
        <f>HYPERLINK("https://app-web.statementrec.com/app#appuploadfiles/3a2113fa-a34f-dce5-b0b0-d01a5f47d285","HCMS Bar Limited")</f>
      </c>
      <c r="B3352" s="3" t="s">
        <v>664</v>
      </c>
      <c r="C3352" s="4">
        <v>4</v>
      </c>
    </row>
    <row r="3353">
      <c r="A3353" s="5">
        <f>HYPERLINK("https://app-web.statementrec.com/app#appuploadfiles/3a2113fa-a595-7260-d5dc-2f3a717650bc","Yorkshire Plant &amp; Gardens CC")</f>
      </c>
      <c r="B3353" s="3" t="s">
        <v>40</v>
      </c>
      <c r="C3353" s="4">
        <v>4</v>
      </c>
    </row>
    <row r="3354">
      <c r="A3354" s="5">
        <f>HYPERLINK("https://app-web.statementrec.com/app#appuploadfiles/3a211402-b4a7-6ed9-4bfc-7948cdea1d1b","Suzanne Khouri S0005F")</f>
      </c>
      <c r="B3354" s="3" t="s">
        <v>56</v>
      </c>
      <c r="C3354" s="4">
        <v>521</v>
      </c>
    </row>
    <row r="3355">
      <c r="A3355" s="5">
        <f>HYPERLINK("https://app-web.statementrec.com/app#appuploadfiles/3a211405-4c5b-59d9-36f5-c56ddc26fb96","JS Sydney")</f>
      </c>
      <c r="B3355" s="3" t="s">
        <v>214</v>
      </c>
      <c r="C3355" s="4">
        <v>6</v>
      </c>
    </row>
    <row r="3356">
      <c r="A3356" s="5">
        <f>HYPERLINK("https://app-web.statementrec.com/app#appuploadfiles/3a21140e-298a-a6cd-0140-0868ca95f60c","Samat Wiboonchart")</f>
      </c>
      <c r="B3356" s="3" t="s">
        <v>84</v>
      </c>
      <c r="C3356" s="4">
        <v>43</v>
      </c>
    </row>
    <row r="3357">
      <c r="A3357" s="5">
        <f>HYPERLINK("https://app-web.statementrec.com/app#appuploadfiles/3a211418-f705-8251-309a-a1d49097bed1","Supplican Group Ltd")</f>
      </c>
      <c r="B3357" s="3" t="s">
        <v>12</v>
      </c>
      <c r="C3357" s="4">
        <v>82</v>
      </c>
    </row>
    <row r="3358">
      <c r="A3358" s="5">
        <f>HYPERLINK("https://app-web.statementrec.com/app#appuploadfiles/3a211426-add3-97d5-2e1e-dceb8b30ac36","April 2026")</f>
      </c>
      <c r="B3358" s="3" t="s">
        <v>40</v>
      </c>
      <c r="C3358" s="4">
        <v>8</v>
      </c>
    </row>
    <row r="3359">
      <c r="A3359" s="5">
        <f>HYPERLINK("https://app-web.statementrec.com/app#appuploadfiles/3a211426-b27f-a9f2-6209-dd3405fef606","Jeffery Williams")</f>
      </c>
      <c r="B3359" s="3" t="s">
        <v>19</v>
      </c>
      <c r="C3359" s="4">
        <v>4</v>
      </c>
    </row>
    <row r="3360">
      <c r="A3360" s="5">
        <f>HYPERLINK("https://app-web.statementrec.com/app#appuploadfiles/3a211433-c562-9da4-3bab-4e662bee533e","Vulco Spring &amp; Presswork Company Ltd")</f>
      </c>
      <c r="B3360" s="3" t="s">
        <v>17</v>
      </c>
      <c r="C3360" s="4">
        <v>31</v>
      </c>
    </row>
    <row r="3361">
      <c r="A3361" s="5">
        <f>HYPERLINK("https://app-web.statementrec.com/app#appuploadfiles/3a211437-0040-712a-0bee-8d0754ace677","Ndrog")</f>
      </c>
      <c r="B3361" s="3" t="s">
        <v>15</v>
      </c>
      <c r="C3361" s="4">
        <v>14</v>
      </c>
    </row>
    <row r="3362">
      <c r="A3362" s="5">
        <f>HYPERLINK("https://app-web.statementrec.com/app#appuploadfiles/3a211439-8692-d37c-50f7-3884e672d955","Always Ready Trading")</f>
      </c>
      <c r="B3362" s="3" t="s">
        <v>53</v>
      </c>
      <c r="C3362" s="4">
        <v>4</v>
      </c>
    </row>
    <row r="3363">
      <c r="A3363" s="5">
        <f>HYPERLINK("https://app-web.statementrec.com/app#appuploadfiles/3a21143a-981c-9d30-007d-3083deec78a5","Carole Gowling")</f>
      </c>
      <c r="B3363" s="3" t="s">
        <v>18</v>
      </c>
      <c r="C3363" s="4">
        <v>21</v>
      </c>
    </row>
    <row r="3364">
      <c r="A3364" s="5">
        <f>HYPERLINK("https://app-web.statementrec.com/app#appuploadfiles/3a21143e-46b0-6568-4934-2d4484a26dc3","mccreesh accountants")</f>
      </c>
      <c r="B3364" s="3" t="s">
        <v>17</v>
      </c>
      <c r="C3364" s="4">
        <v>102</v>
      </c>
    </row>
    <row r="3365">
      <c r="A3365" s="5">
        <f>HYPERLINK("https://app-web.statementrec.com/app#appuploadfiles/3a211440-2827-711f-3204-570b619c5699","d quinn")</f>
      </c>
      <c r="B3365" s="3" t="s">
        <v>36</v>
      </c>
      <c r="C3365" s="4">
        <v>1</v>
      </c>
    </row>
    <row r="3366">
      <c r="A3366" s="5">
        <f>HYPERLINK("https://app-web.statementrec.com/app#appuploadfiles/3a211441-7ae7-8335-0704-e18a956775ab","COACHBUILT GB LTD")</f>
      </c>
      <c r="B3366" s="3" t="s">
        <v>17</v>
      </c>
      <c r="C3366" s="4">
        <v>85</v>
      </c>
    </row>
    <row r="3367">
      <c r="A3367" s="5">
        <f>HYPERLINK("https://app-web.statementrec.com/app#appuploadfiles/3a211457-7852-2b10-c0bf-84b7f6dad172","PINNTEC LIMITED")</f>
      </c>
      <c r="B3367" s="3" t="s">
        <v>17</v>
      </c>
      <c r="C3367" s="4">
        <v>56</v>
      </c>
    </row>
    <row r="3368">
      <c r="A3368" s="5">
        <f>HYPERLINK("https://app-web.statementrec.com/app#appuploadfiles/3a211467-00be-969f-895b-aac3c62b628d","13-U09 Everfine")</f>
      </c>
      <c r="B3368" s="3" t="s">
        <v>12</v>
      </c>
      <c r="C3368" s="4">
        <v>21</v>
      </c>
    </row>
    <row r="3369">
      <c r="A3369" s="5">
        <f>HYPERLINK("https://app-web.statementrec.com/app#appuploadfiles/3a21146c-1990-62b2-4fc1-91b708d53ece","24.01.26 to 23.04.26")</f>
      </c>
      <c r="B3369" s="3" t="s">
        <v>17</v>
      </c>
      <c r="C3369" s="4">
        <v>9</v>
      </c>
    </row>
    <row r="3370">
      <c r="A3370" s="5">
        <f>HYPERLINK("https://app-web.statementrec.com/app#appuploadfiles/3a21146e-0f24-4dcd-4bfe-dfefbcc2b83a","B &amp; R CARTER BRICKWORK LIMITED")</f>
      </c>
      <c r="B3370" s="3" t="s">
        <v>12</v>
      </c>
      <c r="C3370" s="4">
        <v>10</v>
      </c>
    </row>
    <row r="3371">
      <c r="A3371" s="5">
        <f>HYPERLINK("https://app-web.statementrec.com/app#appuploadfiles/3a211471-25cd-1142-84f6-9a15137dbd26","13507-26")</f>
      </c>
      <c r="B3371" s="3" t="s">
        <v>3</v>
      </c>
      <c r="C3371" s="4">
        <v>6</v>
      </c>
    </row>
    <row r="3372">
      <c r="A3372" s="5">
        <f>HYPERLINK("https://app-web.statementrec.com/app#appuploadfiles/3a211472-fd28-333d-441c-3bd3feeb996d","Luke Billingham")</f>
      </c>
      <c r="B3372" s="3" t="s">
        <v>665</v>
      </c>
      <c r="C3372" s="4">
        <v>94</v>
      </c>
    </row>
    <row r="3373">
      <c r="A3373" s="5">
        <f>HYPERLINK("https://app-web.statementrec.com/app#appuploadfiles/3a211474-1715-9fd9-b6d1-cb4eacf1e419","28 Feb 26 - 27 April 26")</f>
      </c>
      <c r="B3373" s="3" t="s">
        <v>18</v>
      </c>
      <c r="C3373" s="4">
        <v>4</v>
      </c>
    </row>
    <row r="3374">
      <c r="A3374" s="5">
        <f>HYPERLINK("https://app-web.statementrec.com/app#appuploadfiles/3a21149a-ed20-bd17-48ae-1cc74d53b1e9","QRE")</f>
      </c>
      <c r="B3374" s="3" t="s">
        <v>10</v>
      </c>
      <c r="C3374" s="4">
        <v>3</v>
      </c>
    </row>
    <row r="3375">
      <c r="A3375" s="5">
        <f>HYPERLINK("https://app-web.statementrec.com/app#appuploadfiles/3a2114be-ea93-de77-4a20-b69dd0153176","TPD VAT")</f>
      </c>
      <c r="B3375" s="3" t="s">
        <v>190</v>
      </c>
      <c r="C3375" s="4">
        <v>10</v>
      </c>
    </row>
    <row r="3376">
      <c r="A3376" s="5">
        <f>HYPERLINK("https://app-web.statementrec.com/app#appuploadfiles/3a2114c1-bcb9-58f1-fda1-b6eb243f4863","Février, mars, avril 2026")</f>
      </c>
      <c r="B3376" s="3" t="s">
        <v>666</v>
      </c>
      <c r="C3376" s="4">
        <v>19</v>
      </c>
    </row>
    <row r="3377">
      <c r="A3377" s="5">
        <f>HYPERLINK("https://app-web.statementrec.com/app#appuploadfiles/3a2114c4-b195-d894-699a-cddbb2465211","HCK INC")</f>
      </c>
      <c r="B3377" s="3" t="s">
        <v>185</v>
      </c>
      <c r="C3377" s="4">
        <v>44</v>
      </c>
    </row>
    <row r="3378">
      <c r="A3378" s="5">
        <f>HYPERLINK("https://app-web.statementrec.com/app#appuploadfiles/3a2114ca-6028-3cea-f48e-42b2ef46593a","TRITEK CONSULTING LIMITED!!")</f>
      </c>
      <c r="B3378" s="3" t="s">
        <v>17</v>
      </c>
      <c r="C3378" s="4">
        <v>35</v>
      </c>
    </row>
    <row r="3379">
      <c r="A3379" s="5">
        <f>HYPERLINK("https://app-web.statementrec.com/app#appuploadfiles/3a2114cc-f307-1f1a-2f05-670c3e3fb151","April 26")</f>
      </c>
      <c r="B3379" s="3" t="s">
        <v>13</v>
      </c>
      <c r="C3379" s="4">
        <v>4</v>
      </c>
    </row>
    <row r="3380">
      <c r="A3380" s="5">
        <f>HYPERLINK("https://app-web.statementrec.com/app#appuploadfiles/3a2114df-8824-3942-e74f-3f467b38b633","40489-25")</f>
      </c>
      <c r="B3380" s="3" t="s">
        <v>75</v>
      </c>
      <c r="C3380" s="4">
        <v>64</v>
      </c>
    </row>
    <row r="3381">
      <c r="A3381" s="5">
        <f>HYPERLINK("https://app-web.statementrec.com/app#appuploadfiles/3a2114e1-9461-2b09-8d87-0f438081435b","3 Agaves Crawfordsville")</f>
      </c>
      <c r="B3381" s="3" t="s">
        <v>667</v>
      </c>
      <c r="C3381" s="4">
        <v>34</v>
      </c>
    </row>
    <row r="3382">
      <c r="A3382" s="5">
        <f>HYPERLINK("https://app-web.statementrec.com/app#appuploadfiles/3a2114f6-7906-9411-681d-5ca4149c943d","Feb 2026")</f>
      </c>
      <c r="B3382" s="3" t="s">
        <v>668</v>
      </c>
      <c r="C3382" s="4">
        <v>3</v>
      </c>
    </row>
    <row r="3383">
      <c r="A3383" s="5">
        <f>HYPERLINK("https://app-web.statementrec.com/app#appuploadfiles/3a2114f8-5e00-7dfb-834e-8dbb2513fd94","Tara Walsh")</f>
      </c>
      <c r="B3383" s="3" t="s">
        <v>40</v>
      </c>
      <c r="C3383" s="4">
        <v>14</v>
      </c>
    </row>
    <row r="3384">
      <c r="A3384" s="5">
        <f>HYPERLINK("https://app-web.statementrec.com/app#appuploadfiles/3a2114f8-9844-9f4f-0eb3-996ec80b0bf7","VENTILATION &amp; MAINTENANCE SOLUTIONS LTD")</f>
      </c>
      <c r="B3384" s="3" t="s">
        <v>17</v>
      </c>
      <c r="C3384" s="4">
        <v>58</v>
      </c>
    </row>
    <row r="3385">
      <c r="A3385" s="5">
        <f>HYPERLINK("https://app-web.statementrec.com/app#appuploadfiles/3a2114fb-7076-b1b8-923c-a24b5d10fc1f","Daley Toms")</f>
      </c>
      <c r="B3385" s="3" t="s">
        <v>669</v>
      </c>
      <c r="C3385" s="4">
        <v>22</v>
      </c>
    </row>
    <row r="3386">
      <c r="A3386" s="5">
        <f>HYPERLINK("https://app-web.statementrec.com/app#appuploadfiles/3a211501-ac7f-1036-da89-10e7818ecae7","sarl anatolia")</f>
      </c>
      <c r="B3386" s="3" t="s">
        <v>56</v>
      </c>
      <c r="C3386" s="4">
        <v>21</v>
      </c>
    </row>
    <row r="3387">
      <c r="A3387" s="5">
        <f>HYPERLINK("https://app-web.statementrec.com/app#appuploadfiles/3a21150d-54f9-a116-a29b-45bb26a3c72d","KUDAMJOE CONSTRUCTION LIMITED")</f>
      </c>
      <c r="B3387" s="3" t="s">
        <v>164</v>
      </c>
      <c r="C3387" s="4">
        <v>20</v>
      </c>
    </row>
    <row r="3388">
      <c r="A3388" s="5">
        <f>HYPERLINK("https://app-web.statementrec.com/app#appuploadfiles/3a211516-957d-3f7d-7fdc-894fa7558641","31 March 2026")</f>
      </c>
      <c r="B3388" s="3" t="s">
        <v>13</v>
      </c>
      <c r="C3388" s="4">
        <v>72</v>
      </c>
    </row>
    <row r="3389">
      <c r="A3389" s="5">
        <f>HYPERLINK("https://app-web.statementrec.com/app#appuploadfiles/3a21151c-6097-c939-5290-b362985f7f2f","Restaurante y Bar Skullys-German T")</f>
      </c>
      <c r="B3389" s="3" t="s">
        <v>670</v>
      </c>
      <c r="C3389" s="4">
        <v>4</v>
      </c>
    </row>
    <row r="3390">
      <c r="A3390" s="5">
        <f>HYPERLINK("https://app-web.statementrec.com/app#appuploadfiles/3a21151c-a77b-2f8f-48d3-7f8039ff3021","August24")</f>
      </c>
      <c r="B3390" s="3" t="s">
        <v>56</v>
      </c>
      <c r="C3390" s="4">
        <v>7</v>
      </c>
    </row>
    <row r="3391">
      <c r="A3391" s="5">
        <f>HYPERLINK("https://app-web.statementrec.com/app#appuploadfiles/3a211520-1f43-d707-5f70-987da098e81f","Pro - source Sept")</f>
      </c>
      <c r="B3391" s="3" t="s">
        <v>671</v>
      </c>
      <c r="C3391" s="4">
        <v>2</v>
      </c>
    </row>
    <row r="3392">
      <c r="A3392" s="5">
        <f>HYPERLINK("https://app-web.statementrec.com/app#appuploadfiles/3a211522-77c5-ed85-96a7-b4d6638b93ec","Kilbree Diagnostic Limited")</f>
      </c>
      <c r="B3392" s="3" t="s">
        <v>3</v>
      </c>
      <c r="C3392" s="4">
        <v>2</v>
      </c>
    </row>
    <row r="3393">
      <c r="A3393" s="5">
        <f>HYPERLINK("https://app-web.statementrec.com/app#appuploadfiles/3a211526-39b4-93a6-fb89-52a923ffdd76","sept24")</f>
      </c>
      <c r="B3393" s="3" t="s">
        <v>672</v>
      </c>
      <c r="C3393" s="4">
        <v>7</v>
      </c>
    </row>
    <row r="3394">
      <c r="A3394" s="5">
        <f>HYPERLINK("https://app-web.statementrec.com/app#appuploadfiles/3a211532-94a3-84ea-64d7-1b0352198870","oct24")</f>
      </c>
      <c r="B3394" s="3" t="s">
        <v>673</v>
      </c>
      <c r="C3394" s="4">
        <v>7</v>
      </c>
    </row>
    <row r="3395">
      <c r="A3395" s="5">
        <f>HYPERLINK("https://app-web.statementrec.com/app#appuploadfiles/3a21153a-2fed-6b6c-b072-2b786a18c08c","nov24")</f>
      </c>
      <c r="B3395" s="3" t="s">
        <v>40</v>
      </c>
      <c r="C3395" s="4">
        <v>6</v>
      </c>
    </row>
    <row r="3396">
      <c r="A3396" s="5">
        <f>HYPERLINK("https://app-web.statementrec.com/app#appuploadfiles/3a211542-20bd-7550-11bc-0ffe023fdb8f","dec24")</f>
      </c>
      <c r="B3396" s="3" t="s">
        <v>40</v>
      </c>
      <c r="C3396" s="4">
        <v>6</v>
      </c>
    </row>
    <row r="3397">
      <c r="A3397" s="5">
        <f>HYPERLINK("https://app-web.statementrec.com/app#appuploadfiles/3a21154c-4164-5f96-6a63-c3d6a2cada26","Scott Worrall Design &amp; Decor")</f>
      </c>
      <c r="B3397" s="3" t="s">
        <v>29</v>
      </c>
      <c r="C3397" s="4">
        <v>2</v>
      </c>
    </row>
    <row r="3398">
      <c r="A3398" s="5">
        <f>HYPERLINK("https://app-web.statementrec.com/app#appuploadfiles/3a21154f-8f61-a8d8-ba2d-67bab7176cd5","Jan25")</f>
      </c>
      <c r="B3398" s="3" t="s">
        <v>674</v>
      </c>
      <c r="C3398" s="4">
        <v>7</v>
      </c>
    </row>
    <row r="3399">
      <c r="A3399" s="5">
        <f>HYPERLINK("https://app-web.statementrec.com/app#appuploadfiles/3a211556-c817-2d0e-84b5-c1ad64fdf2cf","Sirius Car Design")</f>
      </c>
      <c r="B3399" s="3" t="s">
        <v>43</v>
      </c>
      <c r="C3399" s="4">
        <v>5</v>
      </c>
    </row>
    <row r="3400">
      <c r="A3400" s="5">
        <f>HYPERLINK("https://app-web.statementrec.com/app#appuploadfiles/3a211558-227d-a193-fdbc-05fad7901dd6","Feb25")</f>
      </c>
      <c r="B3400" s="3" t="s">
        <v>674</v>
      </c>
      <c r="C3400" s="4">
        <v>6</v>
      </c>
    </row>
    <row r="3401">
      <c r="A3401" s="5">
        <f>HYPERLINK("https://app-web.statementrec.com/app#appuploadfiles/3a211561-822a-4ecb-7b65-add68adb26f2","march25")</f>
      </c>
      <c r="B3401" s="3" t="s">
        <v>12</v>
      </c>
      <c r="C3401" s="4">
        <v>5</v>
      </c>
    </row>
    <row r="3402">
      <c r="A3402" s="5">
        <f>HYPERLINK("https://app-web.statementrec.com/app#appuploadfiles/3a211565-c455-ccab-0d66-038ed6168575","B447AB - Mr S J Bonny")</f>
      </c>
      <c r="B3402" s="3" t="s">
        <v>665</v>
      </c>
      <c r="C3402" s="4">
        <v>96</v>
      </c>
    </row>
    <row r="3403">
      <c r="A3403" s="5">
        <f>HYPERLINK("https://app-web.statementrec.com/app#appuploadfiles/3a21156c-6530-ede9-da5d-4839da296307","April25")</f>
      </c>
      <c r="B3403" s="3" t="s">
        <v>672</v>
      </c>
      <c r="C3403" s="4">
        <v>6</v>
      </c>
    </row>
    <row r="3404">
      <c r="A3404" s="5">
        <f>HYPERLINK("https://app-web.statementrec.com/app#appuploadfiles/3a211575-661c-b394-30de-b46756e85d11","May25")</f>
      </c>
      <c r="B3404" s="3" t="s">
        <v>672</v>
      </c>
      <c r="C3404" s="4">
        <v>6</v>
      </c>
    </row>
    <row r="3405">
      <c r="A3405" s="5">
        <f>HYPERLINK("https://app-web.statementrec.com/app#appuploadfiles/3a21157d-66fe-3b44-878b-0ef48d0d112c","2026 apr bank statement")</f>
      </c>
      <c r="B3405" s="3" t="s">
        <v>675</v>
      </c>
      <c r="C3405" s="4">
        <v>3</v>
      </c>
    </row>
    <row r="3406">
      <c r="A3406" s="5">
        <f>HYPERLINK("https://app-web.statementrec.com/app#appuploadfiles/3a2115ad-3143-677e-2a97-815bdd44782c","June25")</f>
      </c>
      <c r="B3406" s="3" t="s">
        <v>47</v>
      </c>
      <c r="C3406" s="4">
        <v>5</v>
      </c>
    </row>
    <row r="3407">
      <c r="A3407" s="5">
        <f>HYPERLINK("https://app-web.statementrec.com/app#appuploadfiles/3a2115ae-1a14-41a7-f7ad-80d74b4e54da","Worthworks")</f>
      </c>
      <c r="B3407" s="3" t="s">
        <v>43</v>
      </c>
      <c r="C3407" s="4">
        <v>15</v>
      </c>
    </row>
    <row r="3408">
      <c r="A3408" s="5">
        <f>HYPERLINK("https://app-web.statementrec.com/app#appuploadfiles/3a2115b0-f46e-f501-6561-a9c091140f55","Avril 2025 à Mars 2026")</f>
      </c>
      <c r="B3408" s="3" t="s">
        <v>47</v>
      </c>
      <c r="C3408" s="4">
        <v>12</v>
      </c>
    </row>
    <row r="3409">
      <c r="A3409" s="5">
        <f>HYPERLINK("https://app-web.statementrec.com/app#appuploadfiles/3a2115d6-168e-4a1b-d6c2-4d218a01d2bd","A&amp;O General  Maintenance")</f>
      </c>
      <c r="B3409" s="3" t="s">
        <v>503</v>
      </c>
      <c r="C3409" s="4">
        <v>8</v>
      </c>
    </row>
    <row r="3410">
      <c r="A3410" s="5">
        <f>HYPERLINK("https://app-web.statementrec.com/app#appuploadfiles/3a2115de-c719-ac58-a4a1-37c8f743f06a","Chris allison heating services")</f>
      </c>
      <c r="B3410" s="3" t="s">
        <v>46</v>
      </c>
      <c r="C3410" s="4">
        <v>1</v>
      </c>
    </row>
    <row r="3411">
      <c r="A3411" s="5">
        <f>HYPERLINK("https://app-web.statementrec.com/app#appuploadfiles/3a21161e-a1f3-c5a0-de73-9138e08aaa61","Anna May Floristry Limited")</f>
      </c>
      <c r="B3411" s="3" t="s">
        <v>26</v>
      </c>
      <c r="C3411" s="4">
        <v>34</v>
      </c>
    </row>
    <row r="3412">
      <c r="A3412" s="5">
        <f>HYPERLINK("https://app-web.statementrec.com/app#appuploadfiles/3a211624-db7e-970b-1c62-c744d1aa848c","CTS Electric")</f>
      </c>
      <c r="B3412" s="3" t="s">
        <v>537</v>
      </c>
      <c r="C3412" s="4">
        <v>64</v>
      </c>
    </row>
    <row r="3413">
      <c r="A3413" s="5">
        <f>HYPERLINK("https://app-web.statementrec.com/app#appuploadfiles/3a211632-f71e-a48e-1f1e-30d50f1ebc9b","RPB Consulting")</f>
      </c>
      <c r="B3413" s="3" t="s">
        <v>676</v>
      </c>
      <c r="C3413" s="4">
        <v>17</v>
      </c>
    </row>
    <row r="3414">
      <c r="A3414" s="5">
        <f>HYPERLINK("https://app-web.statementrec.com/app#appuploadfiles/3a211645-fea2-6776-5cc5-2651e749d78d","30DayNoticeAc Apr25-Mar26")</f>
      </c>
      <c r="B3414" s="3" t="s">
        <v>15</v>
      </c>
      <c r="C3414" s="4">
        <v>2</v>
      </c>
    </row>
    <row r="3415">
      <c r="A3415" s="5">
        <f>HYPERLINK("https://app-web.statementrec.com/app#appuploadfiles/3a211664-0d73-6e41-359a-1989dfffcc16","")</f>
      </c>
      <c r="B3415" s="3" t="s">
        <v>677</v>
      </c>
      <c r="C3415" s="4">
        <v>52</v>
      </c>
    </row>
    <row r="3416">
      <c r="A3416" s="5">
        <f>HYPERLINK("https://app-web.statementrec.com/app#appuploadfiles/3a21166f-bad1-dec5-1a2c-31bb3e3c63f0","td bank stmt 20260130")</f>
      </c>
      <c r="B3416" s="3" t="s">
        <v>185</v>
      </c>
      <c r="C3416" s="4">
        <v>2</v>
      </c>
    </row>
    <row r="3417">
      <c r="A3417" s="5">
        <f>HYPERLINK("https://app-web.statementrec.com/app#appuploadfiles/3a211670-707d-e6f4-eba7-72a8b1c927ff","td bank stmt 20260227")</f>
      </c>
      <c r="B3417" s="3" t="s">
        <v>185</v>
      </c>
      <c r="C3417" s="4">
        <v>2</v>
      </c>
    </row>
    <row r="3418">
      <c r="A3418" s="5">
        <f>HYPERLINK("https://app-web.statementrec.com/app#appuploadfiles/3a211672-11f0-9457-896c-7b42a9a88143","td bank stmt 20260331")</f>
      </c>
      <c r="B3418" s="3" t="s">
        <v>80</v>
      </c>
      <c r="C3418" s="4">
        <v>2</v>
      </c>
    </row>
    <row r="3419">
      <c r="A3419" s="5">
        <f>HYPERLINK("https://app-web.statementrec.com/app#appuploadfiles/3a211675-6f54-794d-a1e9-07d624e5bef8","1441653 B.C. LTD.")</f>
      </c>
      <c r="B3419" s="3" t="s">
        <v>47</v>
      </c>
      <c r="C3419" s="4">
        <v>52</v>
      </c>
    </row>
    <row r="3420">
      <c r="A3420" s="5">
        <f>HYPERLINK("https://app-web.statementrec.com/app#appuploadfiles/3a211695-05a1-c614-307e-26ec6e106010","Arken Inc")</f>
      </c>
      <c r="B3420" s="3" t="s">
        <v>16</v>
      </c>
      <c r="C3420" s="4">
        <v>11</v>
      </c>
    </row>
    <row r="3421">
      <c r="A3421" s="5">
        <f>HYPERLINK("https://app-web.statementrec.com/app#appuploadfiles/3a2116b2-cef3-49e4-5bb6-ed22d4649cba","4. APRIL CC 2026")</f>
      </c>
      <c r="B3421" s="3" t="s">
        <v>16</v>
      </c>
      <c r="C3421" s="4">
        <v>8</v>
      </c>
    </row>
    <row r="3422">
      <c r="A3422" s="5">
        <f>HYPERLINK("https://app-web.statementrec.com/app#appuploadfiles/3a211703-614c-34cf-6ae9-8841f36f2694","CHK 1420")</f>
      </c>
      <c r="B3422" s="3" t="s">
        <v>146</v>
      </c>
      <c r="C3422" s="4">
        <v>35</v>
      </c>
    </row>
    <row r="3423">
      <c r="A3423" s="5">
        <f>HYPERLINK("https://app-web.statementrec.com/app#appuploadfiles/3a211727-6c4f-1db7-f609-7803fd72b0c9","Pyramide April 2026")</f>
      </c>
      <c r="B3423" s="3" t="s">
        <v>47</v>
      </c>
      <c r="C3423" s="4">
        <v>2</v>
      </c>
    </row>
    <row r="3424">
      <c r="A3424" s="5">
        <f>HYPERLINK("https://app-web.statementrec.com/app#appuploadfiles/3a211746-53dc-74b6-45a1-6ca7003fb748","04 Pro-Source")</f>
      </c>
      <c r="B3424" s="3" t="s">
        <v>678</v>
      </c>
      <c r="C3424" s="4">
        <v>30</v>
      </c>
    </row>
    <row r="3425">
      <c r="A3425" s="5">
        <f>HYPERLINK("https://app-web.statementrec.com/app#appuploadfiles/3a211781-c83b-d913-c765-79012d087da4","APEX-APRIL26")</f>
      </c>
      <c r="B3425" s="3" t="s">
        <v>146</v>
      </c>
      <c r="C3425" s="4">
        <v>8</v>
      </c>
    </row>
    <row r="3426">
      <c r="A3426" s="5">
        <f>HYPERLINK("https://app-web.statementrec.com/app#appuploadfiles/3a211782-ebf1-46c3-d6e8-e2f26bc82351","09.2025 Sep")</f>
      </c>
      <c r="B3426" s="3" t="s">
        <v>679</v>
      </c>
      <c r="C3426" s="4">
        <v>2</v>
      </c>
    </row>
    <row r="3427">
      <c r="A3427" s="5">
        <f>HYPERLINK("https://app-web.statementrec.com/app#appuploadfiles/3a211786-1112-9ab0-c0b5-c073c0e70f15","Revive April 2026")</f>
      </c>
      <c r="B3427" s="3" t="s">
        <v>680</v>
      </c>
      <c r="C3427" s="4">
        <v>4</v>
      </c>
    </row>
    <row r="3428">
      <c r="A3428" s="5">
        <f>HYPERLINK("https://app-web.statementrec.com/app#appuploadfiles/3a2117b5-0532-3c73-1be9-ca6e140fecbb","scotiabnak statemnt for aPIRL 2026")</f>
      </c>
      <c r="B3428" s="3" t="s">
        <v>181</v>
      </c>
      <c r="C3428" s="4">
        <v>6</v>
      </c>
    </row>
    <row r="3429">
      <c r="A3429" s="5">
        <f>HYPERLINK("https://app-web.statementrec.com/app#appuploadfiles/3a2117f3-d36b-0421-7eb1-3531126cfdf3","LEONES CONCRETE FORMING LTD")</f>
      </c>
      <c r="B3429" s="3" t="s">
        <v>158</v>
      </c>
      <c r="C3429" s="4">
        <v>2</v>
      </c>
    </row>
    <row r="3430">
      <c r="A3430" s="5">
        <f>HYPERLINK("https://app-web.statementrec.com/app#appuploadfiles/3a211807-5e41-f1d2-3b75-3f97a63155c7","Relay Bank 1391")</f>
      </c>
      <c r="B3430" s="3" t="s">
        <v>681</v>
      </c>
      <c r="C3430" s="4">
        <v>20</v>
      </c>
    </row>
    <row r="3431">
      <c r="A3431" s="5">
        <f>HYPERLINK("https://app-web.statementrec.com/app#appuploadfiles/3a21180c-5067-414f-024f-d6f781d3da8f","Relay 1593")</f>
      </c>
      <c r="B3431" s="3" t="s">
        <v>682</v>
      </c>
      <c r="C3431" s="4">
        <v>20</v>
      </c>
    </row>
    <row r="3432">
      <c r="A3432" s="5">
        <f>HYPERLINK("https://app-web.statementrec.com/app#appuploadfiles/3a211817-ada7-17cd-29b6-caff92d396ec","ST Kustoms")</f>
      </c>
      <c r="B3432" s="3" t="s">
        <v>264</v>
      </c>
      <c r="C3432" s="4">
        <v>11</v>
      </c>
    </row>
    <row r="3433">
      <c r="A3433" s="5">
        <f>HYPERLINK("https://app-web.statementrec.com/app#appuploadfiles/3a211824-d370-b119-8f6c-d09bea71d57f","1404853 B.C. LTD (HARVINDER POONI)")</f>
      </c>
      <c r="B3433" s="3" t="s">
        <v>185</v>
      </c>
      <c r="C3433" s="4">
        <v>1</v>
      </c>
    </row>
    <row r="3434">
      <c r="A3434" s="5">
        <f>HYPERLINK("https://app-web.statementrec.com/app#appuploadfiles/3a211856-1e17-3f3a-3ca2-41b53563d4b2","Kailash Group Limited")</f>
      </c>
      <c r="B3434" s="3" t="s">
        <v>53</v>
      </c>
      <c r="C3434" s="4">
        <v>12</v>
      </c>
    </row>
    <row r="3435">
      <c r="A3435" s="5">
        <f>HYPERLINK("https://app-web.statementrec.com/app#appuploadfiles/3a21185c-4b74-c187-b507-0ee3842c84d5","08MAY2026_NODOLO_VAT ARP2026_BANK STATEMENTS")</f>
      </c>
      <c r="B3435" s="3" t="s">
        <v>118</v>
      </c>
      <c r="C3435" s="4">
        <v>24</v>
      </c>
    </row>
    <row r="3436">
      <c r="A3436" s="5">
        <f>HYPERLINK("https://app-web.statementrec.com/app#appuploadfiles/3a211885-d001-561c-b5e5-05d39e16463e","Madden")</f>
      </c>
      <c r="B3436" s="3" t="s">
        <v>15</v>
      </c>
      <c r="C3436" s="4">
        <v>97</v>
      </c>
    </row>
    <row r="3437">
      <c r="A3437" s="5">
        <f>HYPERLINK("https://app-web.statementrec.com/app#appuploadfiles/3a211898-49a0-73f6-d287-1b228f618fb2","Studio Perry green")</f>
      </c>
      <c r="B3437" s="3" t="s">
        <v>17</v>
      </c>
      <c r="C3437" s="4">
        <v>3</v>
      </c>
    </row>
    <row r="3438">
      <c r="A3438" s="5">
        <f>HYPERLINK("https://app-web.statementrec.com/app#appuploadfiles/3a2118ba-ffb4-794a-c2f1-b083dd368bc0","DUKATHOLE FARM")</f>
      </c>
      <c r="B3438" s="3" t="s">
        <v>120</v>
      </c>
      <c r="C3438" s="4">
        <v>4</v>
      </c>
    </row>
    <row r="3439">
      <c r="A3439" s="5">
        <f>HYPERLINK("https://app-web.statementrec.com/app#appuploadfiles/3a2118be-7be2-a112-3011-e6fc9f3dbd91","Annalee April Bank Statement")</f>
      </c>
      <c r="B3439" s="3" t="s">
        <v>75</v>
      </c>
      <c r="C3439" s="4">
        <v>9</v>
      </c>
    </row>
    <row r="3440">
      <c r="A3440" s="5">
        <f>HYPERLINK("https://app-web.statementrec.com/app#appuploadfiles/3a2118d4-c602-5f15-01d2-8486e178f827","Hoolihome Limited")</f>
      </c>
      <c r="B3440" s="3" t="s">
        <v>18</v>
      </c>
      <c r="C3440" s="4">
        <v>24</v>
      </c>
    </row>
    <row r="3441">
      <c r="A3441" s="5">
        <f>HYPERLINK("https://app-web.statementrec.com/app#appuploadfiles/3a2118e8-4e03-ffae-3781-e5837bb55ff8","Hair Atelier Ltd")</f>
      </c>
      <c r="B3441" s="3" t="s">
        <v>683</v>
      </c>
      <c r="C3441" s="4">
        <v>58</v>
      </c>
    </row>
    <row r="3442">
      <c r="A3442" s="5">
        <f>HYPERLINK("https://app-web.statementrec.com/app#appuploadfiles/3a2118f8-d0a8-5649-50f4-318ee864b959","BLACKSMITH LINKS LTD")</f>
      </c>
      <c r="B3442" s="3" t="s">
        <v>15</v>
      </c>
      <c r="C3442" s="4">
        <v>11</v>
      </c>
    </row>
    <row r="3443">
      <c r="A3443" s="5">
        <f>HYPERLINK("https://app-web.statementrec.com/app#appuploadfiles/3a211923-6933-dc03-b352-1d47bedf78dc","4-14-26")</f>
      </c>
      <c r="B3443" s="3" t="s">
        <v>12</v>
      </c>
      <c r="C3443" s="4">
        <v>8</v>
      </c>
    </row>
    <row r="3444">
      <c r="A3444" s="5">
        <f>HYPERLINK("https://app-web.statementrec.com/app#appuploadfiles/3a211925-a2f6-bc0f-d44e-d6457d199057","Marvelle Ltd")</f>
      </c>
      <c r="B3444" s="3" t="s">
        <v>18</v>
      </c>
      <c r="C3444" s="4">
        <v>2</v>
      </c>
    </row>
    <row r="3445">
      <c r="A3445" s="5">
        <f>HYPERLINK("https://app-web.statementrec.com/app#appuploadfiles/3a21193a-95d4-feb2-2fd7-c893363de4ab","86 Degrees Coffee Ltd")</f>
      </c>
      <c r="B3445" s="3" t="s">
        <v>15</v>
      </c>
      <c r="C3445" s="4">
        <v>40</v>
      </c>
    </row>
    <row r="3446">
      <c r="A3446" s="5">
        <f>HYPERLINK("https://app-web.statementrec.com/app#appuploadfiles/3a211942-e7f0-4271-e041-0ad9d7251512","Cottingham Solutions Ltd")</f>
      </c>
      <c r="B3446" s="3" t="s">
        <v>43</v>
      </c>
      <c r="C3446" s="4">
        <v>5</v>
      </c>
    </row>
    <row r="3447">
      <c r="A3447" s="5">
        <f>HYPERLINK("https://app-web.statementrec.com/app#appuploadfiles/3a211950-d43d-83dd-a7d7-8cfebe9f29f4","Greenscene Limited")</f>
      </c>
      <c r="B3447" s="3" t="s">
        <v>12</v>
      </c>
      <c r="C3447" s="4">
        <v>22</v>
      </c>
    </row>
    <row r="3448">
      <c r="A3448" s="5">
        <f>HYPERLINK("https://app-web.statementrec.com/app#appuploadfiles/3a211960-9250-18df-36fa-141f798d2491","DSPR London LTD")</f>
      </c>
      <c r="B3448" s="3" t="s">
        <v>26</v>
      </c>
      <c r="C3448" s="4">
        <v>1</v>
      </c>
    </row>
    <row r="3449">
      <c r="A3449" s="5">
        <f>HYPERLINK("https://app-web.statementrec.com/app#appuploadfiles/3a211989-42c1-17b0-6199-07388f48f168","March 2026")</f>
      </c>
      <c r="B3449" s="3" t="s">
        <v>21</v>
      </c>
      <c r="C3449" s="4">
        <v>72</v>
      </c>
    </row>
    <row r="3450">
      <c r="A3450" s="5">
        <f>HYPERLINK("https://app-web.statementrec.com/app#appuploadfiles/3a21198a-97c2-ea1f-7962-e1391feae93f","VAT Monitoring")</f>
      </c>
      <c r="B3450" s="3" t="s">
        <v>84</v>
      </c>
      <c r="C3450" s="4">
        <v>24</v>
      </c>
    </row>
    <row r="3451">
      <c r="A3451" s="5">
        <f>HYPERLINK("https://app-web.statementrec.com/app#appuploadfiles/3a211990-5e36-c0a5-2bf8-a778321842bd","May 2026")</f>
      </c>
      <c r="B3451" s="3" t="s">
        <v>684</v>
      </c>
      <c r="C3451" s="4">
        <v>33</v>
      </c>
    </row>
    <row r="3452">
      <c r="A3452" s="5">
        <f>HYPERLINK("https://app-web.statementrec.com/app#appuploadfiles/3a211992-7647-43d2-56c1-214de6c1c77b","JAMYL RESTAURANT")</f>
      </c>
      <c r="B3452" s="3" t="s">
        <v>685</v>
      </c>
      <c r="C3452" s="4">
        <v>11</v>
      </c>
    </row>
    <row r="3453">
      <c r="A3453" s="5">
        <f>HYPERLINK("https://app-web.statementrec.com/app#appuploadfiles/3a211999-3c6b-9606-36c4-95120cb0b6ff","JUNIPER CONSTRUCTION &amp; GROUNDWORK'S LIMITED")</f>
      </c>
      <c r="B3453" s="3" t="s">
        <v>84</v>
      </c>
      <c r="C3453" s="4">
        <v>20</v>
      </c>
    </row>
    <row r="3454">
      <c r="A3454" s="5">
        <f>HYPERLINK("https://app-web.statementrec.com/app#appuploadfiles/3a2119bc-0ccb-6f5c-7f9c-8b2bfecfc155","Wyche Free Church")</f>
      </c>
      <c r="B3454" s="3" t="s">
        <v>19</v>
      </c>
      <c r="C3454" s="4">
        <v>77</v>
      </c>
    </row>
    <row r="3455">
      <c r="A3455" s="5">
        <f>HYPERLINK("https://app-web.statementrec.com/app#appuploadfiles/3a2119c6-a39a-718d-cb0c-38f383951855","Towngate Tech Limited")</f>
      </c>
      <c r="B3455" s="3" t="s">
        <v>84</v>
      </c>
      <c r="C3455" s="4">
        <v>1</v>
      </c>
    </row>
    <row r="3456">
      <c r="A3456" s="5">
        <f>HYPERLINK("https://app-web.statementrec.com/app#appuploadfiles/3a2119d6-7ba4-d6a4-be6a-4539061b26fc","Bill Property Investments Ltd")</f>
      </c>
      <c r="B3456" s="3" t="s">
        <v>70</v>
      </c>
      <c r="C3456" s="4">
        <v>9</v>
      </c>
    </row>
    <row r="3457">
      <c r="A3457" s="5">
        <f>HYPERLINK("https://app-web.statementrec.com/app#appuploadfiles/3a2119d8-583a-7f4a-329e-9739dd278ac4","Tyrone Utilities Ltd")</f>
      </c>
      <c r="B3457" s="3" t="s">
        <v>686</v>
      </c>
      <c r="C3457" s="4">
        <v>7</v>
      </c>
    </row>
    <row r="3458">
      <c r="A3458" s="5">
        <f>HYPERLINK("https://app-web.statementrec.com/app#appuploadfiles/3a2119da-4986-e6e8-036d-a35d909a49e5","MVB Asset Holdings")</f>
      </c>
      <c r="B3458" s="3" t="s">
        <v>17</v>
      </c>
      <c r="C3458" s="4">
        <v>3</v>
      </c>
    </row>
    <row r="3459">
      <c r="A3459" s="5">
        <f>HYPERLINK("https://app-web.statementrec.com/app#appuploadfiles/3a2119de-0a55-425b-52ce-3a7ea4170d96","A Hodgson")</f>
      </c>
      <c r="B3459" s="3" t="s">
        <v>15</v>
      </c>
      <c r="C3459" s="4">
        <v>22</v>
      </c>
    </row>
    <row r="3460">
      <c r="A3460" s="5">
        <f>HYPERLINK("https://app-web.statementrec.com/app#appuploadfiles/3a2119e1-5ebc-971e-7c3c-ffb886802bd2","Terri-Anne Bridgewater")</f>
      </c>
      <c r="B3460" s="3" t="s">
        <v>18</v>
      </c>
      <c r="C3460" s="4">
        <v>56</v>
      </c>
    </row>
    <row r="3461">
      <c r="A3461" s="5">
        <f>HYPERLINK("https://app-web.statementrec.com/app#appuploadfiles/3a2119ec-bbfa-6f98-9809-0944d3d2811b","April '26")</f>
      </c>
      <c r="B3461" s="3" t="s">
        <v>12</v>
      </c>
      <c r="C3461" s="4">
        <v>15</v>
      </c>
    </row>
    <row r="3462">
      <c r="A3462" s="5">
        <f>HYPERLINK("https://app-web.statementrec.com/app#appuploadfiles/3a2119ef-2443-1df4-ba78-50e0c5472406","Year to 31 March 2026")</f>
      </c>
      <c r="B3462" s="3" t="s">
        <v>687</v>
      </c>
      <c r="C3462" s="4">
        <v>8</v>
      </c>
    </row>
    <row r="3463">
      <c r="A3463" s="5">
        <f>HYPERLINK("https://app-web.statementrec.com/app#appuploadfiles/3a2119f5-2070-3d80-1280-a6a59023d961","Joway Ltd")</f>
      </c>
      <c r="B3463" s="3" t="s">
        <v>686</v>
      </c>
      <c r="C3463" s="4">
        <v>15</v>
      </c>
    </row>
    <row r="3464">
      <c r="A3464" s="5">
        <f>HYPERLINK("https://app-web.statementrec.com/app#appuploadfiles/3a211a08-3192-b618-e2a7-0917cf94d3ff","PrimoDT Ltd")</f>
      </c>
      <c r="B3464" s="3" t="s">
        <v>29</v>
      </c>
      <c r="C3464" s="4">
        <v>2</v>
      </c>
    </row>
    <row r="3465">
      <c r="A3465" s="5">
        <f>HYPERLINK("https://app-web.statementrec.com/app#appuploadfiles/3a211a21-6aef-1654-a2cc-1f68eb5e8e16","April 2026")</f>
      </c>
      <c r="B3465" s="3" t="s">
        <v>10</v>
      </c>
      <c r="C3465" s="4">
        <v>3</v>
      </c>
    </row>
    <row r="3466">
      <c r="A3466" s="5">
        <f>HYPERLINK("https://app-web.statementrec.com/app#appuploadfiles/3a211a21-b92b-adc1-068f-5a2235be961d","Tramview")</f>
      </c>
      <c r="B3466" s="3" t="s">
        <v>12</v>
      </c>
      <c r="C3466" s="4">
        <v>1</v>
      </c>
    </row>
    <row r="3467">
      <c r="A3467" s="5">
        <f>HYPERLINK("https://app-web.statementrec.com/app#appuploadfiles/3a211a25-ada2-2631-c51b-8e91639850aa","Herbal Hill")</f>
      </c>
      <c r="B3467" s="3" t="s">
        <v>12</v>
      </c>
      <c r="C3467" s="4">
        <v>1</v>
      </c>
    </row>
    <row r="3468">
      <c r="A3468" s="5">
        <f>HYPERLINK("https://app-web.statementrec.com/app#appuploadfiles/3a211a27-2201-10ee-b9b0-0bc8c98c29d8","James D Carpentry and Joinery Ltd")</f>
      </c>
      <c r="B3468" s="3" t="s">
        <v>15</v>
      </c>
      <c r="C3468" s="4">
        <v>46</v>
      </c>
    </row>
    <row r="3469">
      <c r="A3469" s="5">
        <f>HYPERLINK("https://app-web.statementrec.com/app#appuploadfiles/3a211a27-2852-e946-05c8-9c20ce7be3c3","Newgo")</f>
      </c>
      <c r="B3469" s="3" t="s">
        <v>12</v>
      </c>
      <c r="C3469" s="4">
        <v>1</v>
      </c>
    </row>
    <row r="3470">
      <c r="A3470" s="5">
        <f>HYPERLINK("https://app-web.statementrec.com/app#appuploadfiles/3a211a2c-f718-d49a-e169-3c9977b3337e","?")</f>
      </c>
      <c r="B3470" s="3" t="s">
        <v>688</v>
      </c>
      <c r="C3470" s="4">
        <v>3</v>
      </c>
    </row>
    <row r="3471">
      <c r="A3471" s="5">
        <f>HYPERLINK("https://app-web.statementrec.com/app#appuploadfiles/3a211a33-e262-699a-e676-9922417aac23","Fresh Property Maintenance Scotland Ltd")</f>
      </c>
      <c r="B3471" s="3" t="s">
        <v>689</v>
      </c>
      <c r="C3471" s="4">
        <v>44</v>
      </c>
    </row>
    <row r="3472">
      <c r="A3472" s="5">
        <f>HYPERLINK("https://app-web.statementrec.com/app#appuploadfiles/3a211a39-80f7-111f-2f7d-e39e65378810","Clark &amp; Barlow (Gee Vee Travel)")</f>
      </c>
      <c r="B3472" s="3" t="s">
        <v>295</v>
      </c>
      <c r="C3472" s="4">
        <v>6</v>
      </c>
    </row>
    <row r="3473">
      <c r="A3473" s="5">
        <f>HYPERLINK("https://app-web.statementrec.com/app#appuploadfiles/3a211a3b-ce4b-0258-5678-5d687dd577b4","Barker Electric")</f>
      </c>
      <c r="B3473" s="3" t="s">
        <v>690</v>
      </c>
      <c r="C3473" s="4">
        <v>13</v>
      </c>
    </row>
    <row r="3474">
      <c r="A3474" s="5">
        <f>HYPERLINK("https://app-web.statementrec.com/app#appuploadfiles/3a211a3b-f7d1-639d-818d-0e2531c7a14d","J B Walsh Pipefitting")</f>
      </c>
      <c r="B3474" s="3" t="s">
        <v>13</v>
      </c>
      <c r="C3474" s="4">
        <v>6</v>
      </c>
    </row>
    <row r="3475">
      <c r="A3475" s="5">
        <f>HYPERLINK("https://app-web.statementrec.com/app#appuploadfiles/3a211a48-a5f6-1a27-ecc2-3bf3439e202b","Rental Direct.com Limited")</f>
      </c>
      <c r="B3475" s="3" t="s">
        <v>43</v>
      </c>
      <c r="C3475" s="4">
        <v>5</v>
      </c>
    </row>
    <row r="3476">
      <c r="A3476" s="5">
        <f>HYPERLINK("https://app-web.statementrec.com/app#appuploadfiles/3a211a4f-bbe6-dd27-361a-3c9c740d5716","VAT 04.26")</f>
      </c>
      <c r="B3476" s="3" t="s">
        <v>36</v>
      </c>
      <c r="C3476" s="4">
        <v>5</v>
      </c>
    </row>
    <row r="3477">
      <c r="A3477" s="5">
        <f>HYPERLINK("https://app-web.statementrec.com/app#appuploadfiles/3a211a67-e3b3-d8e9-15fc-00ad070c591b","JW Commercial Properties Limited")</f>
      </c>
      <c r="B3477" s="3" t="s">
        <v>691</v>
      </c>
      <c r="C3477" s="4">
        <v>19</v>
      </c>
    </row>
    <row r="3478">
      <c r="A3478" s="5">
        <f>HYPERLINK("https://app-web.statementrec.com/app#appuploadfiles/3a211a69-689f-b148-193b-2947390e8b8e","Citi CC x5964")</f>
      </c>
      <c r="B3478" s="3" t="s">
        <v>19</v>
      </c>
      <c r="C3478" s="4">
        <v>2</v>
      </c>
    </row>
    <row r="3479">
      <c r="A3479" s="5">
        <f>HYPERLINK("https://app-web.statementrec.com/app#appuploadfiles/3a211a69-89a6-8425-70e9-0453d8896be9","Citi CC x8306")</f>
      </c>
      <c r="B3479" s="3" t="s">
        <v>29</v>
      </c>
      <c r="C3479" s="4">
        <v>2</v>
      </c>
    </row>
    <row r="3480">
      <c r="A3480" s="5">
        <f>HYPERLINK("https://app-web.statementrec.com/app#appuploadfiles/3a211a6c-0977-381a-14ff-788992461526","Koala Design Services Limited")</f>
      </c>
      <c r="B3480" s="3" t="s">
        <v>692</v>
      </c>
      <c r="C3480" s="4">
        <v>7</v>
      </c>
    </row>
    <row r="3481">
      <c r="A3481" s="5">
        <f>HYPERLINK("https://app-web.statementrec.com/app#appuploadfiles/3a211a7a-201b-6399-d823-9efb93cd0e69","EK3")</f>
      </c>
      <c r="B3481" s="3" t="s">
        <v>693</v>
      </c>
      <c r="C3481" s="4">
        <v>77</v>
      </c>
    </row>
    <row r="3482">
      <c r="A3482" s="5">
        <f>HYPERLINK("https://app-web.statementrec.com/app#appuploadfiles/3a211a7a-b426-a8f0-d999-c424dde388bb","EK4")</f>
      </c>
      <c r="B3482" s="3" t="s">
        <v>47</v>
      </c>
      <c r="C3482" s="4">
        <v>70</v>
      </c>
    </row>
    <row r="3483">
      <c r="A3483" s="5">
        <f>HYPERLINK("https://app-web.statementrec.com/app#appuploadfiles/3a211a7b-1ede-f816-a844-e6a47d99b8c0","EK5")</f>
      </c>
      <c r="B3483" s="3" t="s">
        <v>694</v>
      </c>
      <c r="C3483" s="4">
        <v>60</v>
      </c>
    </row>
    <row r="3484">
      <c r="A3484" s="5">
        <f>HYPERLINK("https://app-web.statementrec.com/app#appuploadfiles/3a211a7b-8ef9-f28d-ab26-d67a174c559d","EK6")</f>
      </c>
      <c r="B3484" s="3" t="s">
        <v>695</v>
      </c>
      <c r="C3484" s="4">
        <v>63</v>
      </c>
    </row>
    <row r="3485">
      <c r="A3485" s="5">
        <f>HYPERLINK("https://app-web.statementrec.com/app#appuploadfiles/3a211a7c-0288-cd53-3677-b61fb808af5a","EK7")</f>
      </c>
      <c r="B3485" s="3" t="s">
        <v>47</v>
      </c>
      <c r="C3485" s="4">
        <v>89</v>
      </c>
    </row>
    <row r="3486">
      <c r="A3486" s="5">
        <f>HYPERLINK("https://app-web.statementrec.com/app#appuploadfiles/3a211a7d-004f-644d-62df-9ca81a4028f7","EK8")</f>
      </c>
      <c r="B3486" s="3" t="s">
        <v>696</v>
      </c>
      <c r="C3486" s="4">
        <v>55</v>
      </c>
    </row>
    <row r="3487">
      <c r="A3487" s="5">
        <f>HYPERLINK("https://app-web.statementrec.com/app#appuploadfiles/3a211a87-6c81-43a3-b2ed-7f9749421946","ELITE D.F ACCT 3771 FEB 2026")</f>
      </c>
      <c r="B3487" s="3" t="s">
        <v>56</v>
      </c>
      <c r="C3487" s="4">
        <v>7</v>
      </c>
    </row>
    <row r="3488">
      <c r="A3488" s="5">
        <f>HYPERLINK("https://app-web.statementrec.com/app#appuploadfiles/3a211a88-57c3-0e5d-da34-ebdddd0e04c5","ELITE D.F ACCT 3771 MAR 2026")</f>
      </c>
      <c r="B3488" s="3" t="s">
        <v>697</v>
      </c>
      <c r="C3488" s="4">
        <v>11</v>
      </c>
    </row>
    <row r="3489">
      <c r="A3489" s="5">
        <f>HYPERLINK("https://app-web.statementrec.com/app#appuploadfiles/3a211a89-3c98-a996-7404-afbd8764658e","ELITE D.F ACCT 3771 APR 2026")</f>
      </c>
      <c r="B3489" s="3" t="s">
        <v>144</v>
      </c>
      <c r="C3489" s="4">
        <v>12</v>
      </c>
    </row>
    <row r="3490">
      <c r="A3490" s="5">
        <f>HYPERLINK("https://app-web.statementrec.com/app#appuploadfiles/3a211a92-a337-cf27-e683-effb519b3818","1226859 Ontario Inc.")</f>
      </c>
      <c r="B3490" s="3" t="s">
        <v>294</v>
      </c>
      <c r="C3490" s="4">
        <v>7</v>
      </c>
    </row>
    <row r="3491">
      <c r="A3491" s="5">
        <f>HYPERLINK("https://app-web.statementrec.com/app#appuploadfiles/3a211a9d-5b96-aafa-444c-c00846ee1262","Tom O Regan 2025")</f>
      </c>
      <c r="B3491" s="3" t="s">
        <v>3</v>
      </c>
      <c r="C3491" s="4">
        <v>9</v>
      </c>
    </row>
    <row r="3492">
      <c r="A3492" s="5">
        <f>HYPERLINK("https://app-web.statementrec.com/app#appuploadfiles/3a211a9d-e9ad-0c1b-c830-7dd959e7657d","ACCUEIL-PARRAINAGE-OUTAOUAIS")</f>
      </c>
      <c r="B3492" s="3" t="s">
        <v>698</v>
      </c>
      <c r="C3492" s="4">
        <v>92</v>
      </c>
    </row>
    <row r="3493">
      <c r="A3493" s="5">
        <f>HYPERLINK("https://app-web.statementrec.com/app#appuploadfiles/3a211ab5-e6d8-04f1-4003-3363d3dc5b04","CHK 2384 - BOFA")</f>
      </c>
      <c r="B3493" s="3" t="s">
        <v>146</v>
      </c>
      <c r="C3493" s="4">
        <v>51</v>
      </c>
    </row>
    <row r="3494">
      <c r="A3494" s="5">
        <f>HYPERLINK("https://app-web.statementrec.com/app#appuploadfiles/3a211ab6-47fb-1856-9214-27de234abc4b","SUNCOAST")</f>
      </c>
      <c r="B3494" s="3" t="s">
        <v>144</v>
      </c>
      <c r="C3494" s="4">
        <v>71</v>
      </c>
    </row>
    <row r="3495">
      <c r="A3495" s="5">
        <f>HYPERLINK("https://app-web.statementrec.com/app#appuploadfiles/3a211ac1-805b-4661-3e0b-14dd82311fac","Plus7 Properties Limited")</f>
      </c>
      <c r="B3495" s="3" t="s">
        <v>12</v>
      </c>
      <c r="C3495" s="4">
        <v>5</v>
      </c>
    </row>
    <row r="3496">
      <c r="A3496" s="5">
        <f>HYPERLINK("https://app-web.statementrec.com/app#appuploadfiles/3a211b08-e04c-7620-d44b-21711c5f790a","April 2026")</f>
      </c>
      <c r="B3496" s="3" t="s">
        <v>75</v>
      </c>
      <c r="C3496" s="4">
        <v>6</v>
      </c>
    </row>
    <row r="3497">
      <c r="A3497" s="5">
        <f>HYPERLINK("https://app-web.statementrec.com/app#appuploadfiles/3a211b27-e066-34e5-8208-62e38915a888","Fermin")</f>
      </c>
      <c r="B3497" s="3" t="s">
        <v>699</v>
      </c>
      <c r="C3497" s="4">
        <v>1</v>
      </c>
    </row>
    <row r="3498">
      <c r="A3498" s="5">
        <f>HYPERLINK("https://app-web.statementrec.com/app#appuploadfiles/3a211b7b-fcb0-3662-4520-f2eeda10e44e","2025TY MBG Columbia")</f>
      </c>
      <c r="B3498" s="3" t="s">
        <v>47</v>
      </c>
      <c r="C3498" s="4">
        <v>18</v>
      </c>
    </row>
    <row r="3499">
      <c r="A3499" s="5">
        <f>HYPERLINK("https://app-web.statementrec.com/app#appuploadfiles/3a211b8e-e096-f421-a071-a5d6c6572c6a","9444-1755 Québec Inc.")</f>
      </c>
      <c r="B3499" s="3" t="s">
        <v>700</v>
      </c>
      <c r="C3499" s="4">
        <v>50</v>
      </c>
    </row>
    <row r="3500">
      <c r="A3500" s="5">
        <f>HYPERLINK("https://app-web.statementrec.com/app#appuploadfiles/3a211bd3-1fc5-805e-aa43-6a5bcd34896d","cc 20149 abril  3 tarjetas")</f>
      </c>
      <c r="B3500" s="3" t="s">
        <v>294</v>
      </c>
      <c r="C3500" s="4">
        <v>6</v>
      </c>
    </row>
    <row r="3501">
      <c r="A3501" s="5">
        <f>HYPERLINK("https://app-web.statementrec.com/app#appuploadfiles/3a211c03-5bd5-ad1b-e4ad-3c3eac0b8c14","Pelican State")</f>
      </c>
      <c r="B3501" s="3" t="s">
        <v>207</v>
      </c>
      <c r="C3501" s="4">
        <v>120</v>
      </c>
    </row>
    <row r="3502">
      <c r="A3502" s="5">
        <f>HYPERLINK("https://app-web.statementrec.com/app#appuploadfiles/3a211d03-b2c6-8c40-a798-1c8776255ecc","Dr. Hiren barevadiya")</f>
      </c>
      <c r="B3502" s="3" t="s">
        <v>158</v>
      </c>
      <c r="C3502" s="4">
        <v>6</v>
      </c>
    </row>
    <row r="3503">
      <c r="A3503" s="5">
        <f>HYPERLINK("https://app-web.statementrec.com/app#appuploadfiles/3a211e05-7737-eec2-fb0a-a062eb13e706","Karl Albrecht Village")</f>
      </c>
      <c r="B3503" s="3" t="s">
        <v>632</v>
      </c>
      <c r="C3503" s="4">
        <v>3</v>
      </c>
    </row>
    <row r="3504">
      <c r="A3504" s="5">
        <f>HYPERLINK("https://app-web.statementrec.com/app#appuploadfiles/3a211e3c-95e7-7442-3e50-fac955a85462","Michalis Yiallourides")</f>
      </c>
      <c r="B3504" s="3" t="s">
        <v>60</v>
      </c>
      <c r="C3504" s="4">
        <v>125</v>
      </c>
    </row>
    <row r="3505">
      <c r="A3505" s="5">
        <f>HYPERLINK("https://app-web.statementrec.com/app#appuploadfiles/3a211e4f-68b4-8abc-633a-9b84bf43083a","MOHIL PATEL")</f>
      </c>
      <c r="B3505" s="3" t="s">
        <v>294</v>
      </c>
      <c r="C3505" s="4">
        <v>8</v>
      </c>
    </row>
    <row r="3506">
      <c r="A3506" s="5">
        <f>HYPERLINK("https://app-web.statementrec.com/app#appuploadfiles/3a211f9e-4662-9274-3ce9-930b27c07bb4","MANNY DEOL LTD")</f>
      </c>
      <c r="B3506" s="3" t="s">
        <v>12</v>
      </c>
      <c r="C3506" s="4">
        <v>4</v>
      </c>
    </row>
    <row r="3507">
      <c r="A3507" s="5">
        <f>HYPERLINK("https://app-web.statementrec.com/app#appuploadfiles/3a212101-cd30-983e-413e-8b4a517f77b8","SM Report (Feb, Mar, Apr 2026)")</f>
      </c>
      <c r="B3507" s="3" t="s">
        <v>17</v>
      </c>
      <c r="C3507" s="4">
        <v>6</v>
      </c>
    </row>
    <row r="3508">
      <c r="A3508" s="5">
        <f>HYPERLINK("https://app-web.statementrec.com/app#appuploadfiles/3a2121b4-6ecf-2342-be0e-9ade4dcee3f6","")</f>
      </c>
      <c r="B3508" s="3" t="s">
        <v>58</v>
      </c>
      <c r="C3508" s="4">
        <v>26</v>
      </c>
    </row>
    <row r="3509">
      <c r="A3509" s="5">
        <f>HYPERLINK("https://app-web.statementrec.com/app#appuploadfiles/3a2121b4-e574-2cb6-00bc-18f3f6d62490","")</f>
      </c>
      <c r="B3509" s="3" t="s">
        <v>58</v>
      </c>
      <c r="C3509" s="4">
        <v>8</v>
      </c>
    </row>
    <row r="3510">
      <c r="A3510" s="5">
        <f>HYPERLINK("https://app-web.statementrec.com/app#appuploadfiles/3a2121b5-5f2f-dc27-5643-5ad31e2ac109","")</f>
      </c>
      <c r="B3510" s="3" t="s">
        <v>58</v>
      </c>
      <c r="C3510" s="4">
        <v>6</v>
      </c>
    </row>
    <row r="3511">
      <c r="A3511" s="5">
        <f>HYPERLINK("https://app-web.statementrec.com/app#appuploadfiles/3a2122de-3d3c-265b-6171-f76c19d2928f","Neil Plumbing &amp; Heating Ltd")</f>
      </c>
      <c r="B3511" s="3" t="s">
        <v>19</v>
      </c>
      <c r="C3511" s="4">
        <v>39</v>
      </c>
    </row>
    <row r="3512">
      <c r="A3512" s="5">
        <f>HYPERLINK("https://app-web.statementrec.com/app#appuploadfiles/3a2123ab-7a7a-ca3e-891f-684781c8cd58","Muhammad Haleem")</f>
      </c>
      <c r="B3512" s="3" t="s">
        <v>12</v>
      </c>
      <c r="C3512" s="4">
        <v>21</v>
      </c>
    </row>
    <row r="3513">
      <c r="A3513" s="5">
        <f>HYPERLINK("https://app-web.statementrec.com/app#appuploadfiles/3a212417-3d42-ea47-45db-59aaa3d759c9","BRRKS DOG WALKING LTD")</f>
      </c>
      <c r="B3513" s="3" t="s">
        <v>70</v>
      </c>
      <c r="C3513" s="4">
        <v>99</v>
      </c>
    </row>
    <row r="3514">
      <c r="A3514" s="5">
        <f>HYPERLINK("https://app-web.statementrec.com/app#appuploadfiles/3a212475-4b87-5b3b-651d-e12ef081ba13","Sonnenberg Mining")</f>
      </c>
      <c r="B3514" s="3" t="s">
        <v>80</v>
      </c>
      <c r="C3514" s="4">
        <v>18</v>
      </c>
    </row>
    <row r="3515">
      <c r="A3515" s="5">
        <f>HYPERLINK("https://app-web.statementrec.com/app#appuploadfiles/3a2124c1-f89d-101e-522e-4eb6707683ed","Sonnenberg Trust")</f>
      </c>
      <c r="B3515" s="3" t="s">
        <v>476</v>
      </c>
      <c r="C3515" s="4">
        <v>2</v>
      </c>
    </row>
    <row r="3516">
      <c r="A3516" s="5">
        <f>HYPERLINK("https://app-web.statementrec.com/app#appuploadfiles/3a212527-6b15-277b-9385-e45f8b7d1072","SB VSA 9536")</f>
      </c>
      <c r="B3516" s="3" t="s">
        <v>40</v>
      </c>
      <c r="C3516" s="4">
        <v>4</v>
      </c>
    </row>
    <row r="3517">
      <c r="A3517" s="5">
        <f>HYPERLINK("https://app-web.statementrec.com/app#appuploadfiles/3a212529-73e1-8dce-e55e-ee7a1c27edcc","SB VSA LOC 49")</f>
      </c>
      <c r="B3517" s="3" t="s">
        <v>40</v>
      </c>
      <c r="C3517" s="4">
        <v>2</v>
      </c>
    </row>
    <row r="3518">
      <c r="A3518" s="5">
        <f>HYPERLINK("https://app-web.statementrec.com/app#appuploadfiles/3a212541-7f80-0948-068a-cf91ae36a9c6","CC April 2026")</f>
      </c>
      <c r="B3518" s="3" t="s">
        <v>181</v>
      </c>
      <c r="C3518" s="4">
        <v>3</v>
      </c>
    </row>
    <row r="3519">
      <c r="A3519" s="5">
        <f>HYPERLINK("https://app-web.statementrec.com/app#appuploadfiles/3a21256d-02b1-1a59-e50c-ec22eb17ea3c","Camp")</f>
      </c>
      <c r="B3519" s="3" t="s">
        <v>11</v>
      </c>
      <c r="C3519" s="4">
        <v>489</v>
      </c>
    </row>
    <row r="3520">
      <c r="A3520" s="5">
        <f>HYPERLINK("https://app-web.statementrec.com/app#appuploadfiles/3a212638-1b24-d04e-a9ce-f4be07c24038","2026")</f>
      </c>
      <c r="B3520" s="3" t="s">
        <v>40</v>
      </c>
      <c r="C3520" s="4">
        <v>1</v>
      </c>
    </row>
    <row r="3521">
      <c r="A3521" s="5">
        <f>HYPERLINK("https://app-web.statementrec.com/app#appuploadfiles/3a21263e-2083-78d9-ccd6-41c35b7060e8","Ninety Six Management Limited")</f>
      </c>
      <c r="B3521" s="3" t="s">
        <v>47</v>
      </c>
      <c r="C3521" s="4">
        <v>5</v>
      </c>
    </row>
    <row r="3522">
      <c r="A3522" s="5">
        <f>HYPERLINK("https://app-web.statementrec.com/app#appuploadfiles/3a212713-8d3b-ab96-12d8-ace1ac7e63ff","Graeme E Jephcott")</f>
      </c>
      <c r="B3522" s="3" t="s">
        <v>701</v>
      </c>
      <c r="C3522" s="4">
        <v>27</v>
      </c>
    </row>
    <row r="3523">
      <c r="A3523" s="5">
        <f>HYPERLINK("https://app-web.statementrec.com/app#appuploadfiles/3a212748-2b74-6d6b-7c43-e3a02d9130fc","Amanda Quach")</f>
      </c>
      <c r="B3523" s="3" t="s">
        <v>702</v>
      </c>
      <c r="C3523" s="4">
        <v>3</v>
      </c>
    </row>
    <row r="3524">
      <c r="A3524" s="5">
        <f>HYPERLINK("https://app-web.statementrec.com/app#appuploadfiles/3a2127c0-0da5-066f-3799-c18322f5d93d","Tembani Theatre (Pty) Ltd")</f>
      </c>
      <c r="B3524" s="3" t="s">
        <v>80</v>
      </c>
      <c r="C3524" s="4">
        <v>4</v>
      </c>
    </row>
    <row r="3525">
      <c r="A3525" s="5">
        <f>HYPERLINK("https://app-web.statementrec.com/app#appuploadfiles/3a2127c9-12b3-9828-df66-f59efc9d6123","Credit card April")</f>
      </c>
      <c r="B3525" s="3" t="s">
        <v>29</v>
      </c>
      <c r="C3525" s="4">
        <v>3</v>
      </c>
    </row>
    <row r="3526">
      <c r="A3526" s="5">
        <f>HYPERLINK("https://app-web.statementrec.com/app#appuploadfiles/3a2127da-f5f1-baf8-f5dd-7dd16be546d6","Shockey Holdings")</f>
      </c>
      <c r="B3526" s="3" t="s">
        <v>120</v>
      </c>
      <c r="C3526" s="4">
        <v>12</v>
      </c>
    </row>
    <row r="3527">
      <c r="A3527" s="5">
        <f>HYPERLINK("https://app-web.statementrec.com/app#appuploadfiles/3a2127f1-6708-98a4-f829-17f3a502008d","Thakisa Investments")</f>
      </c>
      <c r="B3527" s="3" t="s">
        <v>47</v>
      </c>
      <c r="C3527" s="4">
        <v>104</v>
      </c>
    </row>
    <row r="3528">
      <c r="A3528" s="5">
        <f>HYPERLINK("https://app-web.statementrec.com/app#appuploadfiles/3a212809-bcaa-6637-a9fb-5b64a8978fc5","Call D 5")</f>
      </c>
      <c r="B3528" s="3" t="s">
        <v>643</v>
      </c>
      <c r="C3528" s="4">
        <v>27</v>
      </c>
    </row>
    <row r="3529">
      <c r="A3529" s="5">
        <f>HYPERLINK("https://app-web.statementrec.com/app#appuploadfiles/3a21280b-528c-63a5-2248-7a2a2da8228e","EGL TRAVEL LTD")</f>
      </c>
      <c r="B3529" s="3" t="s">
        <v>26</v>
      </c>
      <c r="C3529" s="4">
        <v>31</v>
      </c>
    </row>
    <row r="3530">
      <c r="A3530" s="5">
        <f>HYPERLINK("https://app-web.statementrec.com/app#appuploadfiles/3a21280e-b39d-b72e-70bd-7a837efa629d","2026 Revolut")</f>
      </c>
      <c r="B3530" s="3" t="s">
        <v>26</v>
      </c>
      <c r="C3530" s="4">
        <v>38</v>
      </c>
    </row>
    <row r="3531">
      <c r="A3531" s="5">
        <f>HYPERLINK("https://app-web.statementrec.com/app#appuploadfiles/3a212811-25fa-fda5-f724-0b279c5f9f79","2026 Accounts Revolut")</f>
      </c>
      <c r="B3531" s="3" t="s">
        <v>26</v>
      </c>
      <c r="C3531" s="4">
        <v>47</v>
      </c>
    </row>
    <row r="3532">
      <c r="A3532" s="5">
        <f>HYPERLINK("https://app-web.statementrec.com/app#appuploadfiles/3a212813-48e9-2b6a-106e-1cade1a6fc20","Msebetsi Solutions")</f>
      </c>
      <c r="B3532" s="3" t="s">
        <v>80</v>
      </c>
      <c r="C3532" s="4">
        <v>28</v>
      </c>
    </row>
    <row r="3533">
      <c r="A3533" s="5">
        <f>HYPERLINK("https://app-web.statementrec.com/app#appuploadfiles/3a21282e-07a9-f451-a288-096f9d90c9a2","Sonare Systems Limited")</f>
      </c>
      <c r="B3533" s="3" t="s">
        <v>703</v>
      </c>
      <c r="C3533" s="4">
        <v>9</v>
      </c>
    </row>
    <row r="3534">
      <c r="A3534" s="5">
        <f>HYPERLINK("https://app-web.statementrec.com/app#appuploadfiles/3a21282f-48c7-c69f-6118-aeea7ea6d84b","J.B. TOOL HIRE LIMITED")</f>
      </c>
      <c r="B3534" s="3" t="s">
        <v>17</v>
      </c>
      <c r="C3534" s="4">
        <v>153</v>
      </c>
    </row>
    <row r="3535">
      <c r="A3535" s="5">
        <f>HYPERLINK("https://app-web.statementrec.com/app#appuploadfiles/3a212831-44a3-d47d-5eef-b4f38204882c","JPM MECHANICAL SERVICES UK LIMITED")</f>
      </c>
      <c r="B3535" s="3" t="s">
        <v>21</v>
      </c>
      <c r="C3535" s="4">
        <v>57</v>
      </c>
    </row>
    <row r="3536">
      <c r="A3536" s="5">
        <f>HYPERLINK("https://app-web.statementrec.com/app#appuploadfiles/3a212843-0396-450a-2bc0-e5a753241706","Rachael Coulter")</f>
      </c>
      <c r="B3536" s="3" t="s">
        <v>18</v>
      </c>
      <c r="C3536" s="4">
        <v>77</v>
      </c>
    </row>
    <row r="3537">
      <c r="A3537" s="5">
        <f>HYPERLINK("https://app-web.statementrec.com/app#appuploadfiles/3a212844-4de7-eb55-c638-48e51964ce0a","April 26")</f>
      </c>
      <c r="B3537" s="3" t="s">
        <v>17</v>
      </c>
      <c r="C3537" s="4">
        <v>13</v>
      </c>
    </row>
    <row r="3538">
      <c r="A3538" s="5">
        <f>HYPERLINK("https://app-web.statementrec.com/app#appuploadfiles/3a21284d-0c73-6a19-3eef-09fe3b20ff25","Bloom Buddie")</f>
      </c>
      <c r="B3538" s="3" t="s">
        <v>53</v>
      </c>
      <c r="C3538" s="4">
        <v>2</v>
      </c>
    </row>
    <row r="3539">
      <c r="A3539" s="5">
        <f>HYPERLINK("https://app-web.statementrec.com/app#appuploadfiles/3a21284d-3afe-68db-c44b-1b2ddf04fd57","Dr. Liezl du Toit")</f>
      </c>
      <c r="B3539" s="3" t="s">
        <v>48</v>
      </c>
      <c r="C3539" s="4">
        <v>18</v>
      </c>
    </row>
    <row r="3540">
      <c r="A3540" s="5">
        <f>HYPERLINK("https://app-web.statementrec.com/app#appuploadfiles/3a212854-368a-81f7-c02b-779c67119681","Greenpeak Pty Ltd")</f>
      </c>
      <c r="B3540" s="3" t="s">
        <v>214</v>
      </c>
      <c r="C3540" s="4">
        <v>11</v>
      </c>
    </row>
    <row r="3541">
      <c r="A3541" s="5">
        <f>HYPERLINK("https://app-web.statementrec.com/app#appuploadfiles/3a212854-a82b-87ac-019d-d496b0c0e87a","O Broin 5862")</f>
      </c>
      <c r="B3541" s="3" t="s">
        <v>3</v>
      </c>
      <c r="C3541" s="4">
        <v>8</v>
      </c>
    </row>
    <row r="3542">
      <c r="A3542" s="5">
        <f>HYPERLINK("https://app-web.statementrec.com/app#appuploadfiles/3a212855-20e4-1a91-e05f-cfc1f6d86c8b","O Broin CC")</f>
      </c>
      <c r="B3542" s="3" t="s">
        <v>12</v>
      </c>
      <c r="C3542" s="4">
        <v>8</v>
      </c>
    </row>
    <row r="3543">
      <c r="A3543" s="5">
        <f>HYPERLINK("https://app-web.statementrec.com/app#appuploadfiles/3a21285e-7fa8-9574-7f5f-6c0ea45694c4","Frasco investment holdings")</f>
      </c>
      <c r="B3543" s="3" t="s">
        <v>48</v>
      </c>
      <c r="C3543" s="4">
        <v>1</v>
      </c>
    </row>
    <row r="3544">
      <c r="A3544" s="5">
        <f>HYPERLINK("https://app-web.statementrec.com/app#appuploadfiles/3a212865-5d97-d007-d467-164b39606653","Yearend")</f>
      </c>
      <c r="B3544" s="3" t="s">
        <v>24</v>
      </c>
      <c r="C3544" s="4">
        <v>18</v>
      </c>
    </row>
    <row r="3545">
      <c r="A3545" s="5">
        <f>HYPERLINK("https://app-web.statementrec.com/app#appuploadfiles/3a21286d-b35e-71a8-13cc-6e4094818f9c","Daniel Innes")</f>
      </c>
      <c r="B3545" s="3" t="s">
        <v>12</v>
      </c>
      <c r="C3545" s="4">
        <v>6</v>
      </c>
    </row>
    <row r="3546">
      <c r="A3546" s="5">
        <f>HYPERLINK("https://app-web.statementrec.com/app#appuploadfiles/3a212870-3c64-cd05-d944-9c0be9b99fda","Proserv")</f>
      </c>
      <c r="B3546" s="3" t="s">
        <v>704</v>
      </c>
      <c r="C3546" s="4">
        <v>10</v>
      </c>
    </row>
    <row r="3547">
      <c r="A3547" s="5">
        <f>HYPERLINK("https://app-web.statementrec.com/app#appuploadfiles/3a212870-ef06-711f-8238-dbe6898610ce","James McKiernan")</f>
      </c>
      <c r="B3547" s="3" t="s">
        <v>3</v>
      </c>
      <c r="C3547" s="4">
        <v>23</v>
      </c>
    </row>
    <row r="3548">
      <c r="A3548" s="5">
        <f>HYPERLINK("https://app-web.statementrec.com/app#appuploadfiles/3a21287a-df65-1f91-078b-651c815fdfef","27.01.26 to 21.04.26")</f>
      </c>
      <c r="B3548" s="3" t="s">
        <v>15</v>
      </c>
      <c r="C3548" s="4">
        <v>10</v>
      </c>
    </row>
    <row r="3549">
      <c r="A3549" s="5">
        <f>HYPERLINK("https://app-web.statementrec.com/app#appuploadfiles/3a212885-0e7f-5e36-e45f-db9cdb0c5cc4","Elysian Wellness Ltd")</f>
      </c>
      <c r="B3549" s="3" t="s">
        <v>168</v>
      </c>
      <c r="C3549" s="4">
        <v>10</v>
      </c>
    </row>
    <row r="3550">
      <c r="A3550" s="5">
        <f>HYPERLINK("https://app-web.statementrec.com/app#appuploadfiles/3a212892-1fc5-7fea-7a02-ba0a5b00d4db","Paul McCann")</f>
      </c>
      <c r="B3550" s="3" t="s">
        <v>26</v>
      </c>
      <c r="C3550" s="4">
        <v>39</v>
      </c>
    </row>
    <row r="3551">
      <c r="A3551" s="5">
        <f>HYPERLINK("https://app-web.statementrec.com/app#appuploadfiles/3a212894-ae78-b6f4-d777-0ca57adfd065","MARCH 2026")</f>
      </c>
      <c r="B3551" s="3" t="s">
        <v>264</v>
      </c>
      <c r="C3551" s="4">
        <v>2</v>
      </c>
    </row>
    <row r="3552">
      <c r="A3552" s="5">
        <f>HYPERLINK("https://app-web.statementrec.com/app#appuploadfiles/3a21289b-964b-f0a8-cbca-49e8cf9f8154","Diamond Flooring &amp; Carpets Ltd")</f>
      </c>
      <c r="B3552" s="3" t="s">
        <v>11</v>
      </c>
      <c r="C3552" s="4">
        <v>19</v>
      </c>
    </row>
    <row r="3553">
      <c r="A3553" s="5">
        <f>HYPERLINK("https://app-web.statementrec.com/app#appuploadfiles/3a2128ad-127a-d3e7-e22c-821b48050b74","Inside Out Recruitment London Cic")</f>
      </c>
      <c r="B3553" s="3" t="s">
        <v>13</v>
      </c>
      <c r="C3553" s="4">
        <v>9</v>
      </c>
    </row>
    <row r="3554">
      <c r="A3554" s="5">
        <f>HYPERLINK("https://app-web.statementrec.com/app#appuploadfiles/3a2128bb-3d2f-b227-8357-0ba50f87e08b","April VAT 2026")</f>
      </c>
      <c r="B3554" s="3" t="s">
        <v>52</v>
      </c>
      <c r="C3554" s="4">
        <v>6</v>
      </c>
    </row>
    <row r="3555">
      <c r="A3555" s="5">
        <f>HYPERLINK("https://app-web.statementrec.com/app#appuploadfiles/3a2128bb-cea5-ed1b-fbe5-e78a140eb933","Minel Cosmetic Limited")</f>
      </c>
      <c r="B3555" s="3" t="s">
        <v>30</v>
      </c>
      <c r="C3555" s="4">
        <v>3</v>
      </c>
    </row>
    <row r="3556">
      <c r="A3556" s="5">
        <f>HYPERLINK("https://app-web.statementrec.com/app#appuploadfiles/3a2128bd-933d-10a4-041c-1084ad75c4de","Tia")</f>
      </c>
      <c r="B3556" s="3" t="s">
        <v>40</v>
      </c>
      <c r="C3556" s="4">
        <v>8</v>
      </c>
    </row>
    <row r="3557">
      <c r="A3557" s="5">
        <f>HYPERLINK("https://app-web.statementrec.com/app#appuploadfiles/3a2128c7-6116-9528-b758-ae703add9e01","Panache Property Services Ltd")</f>
      </c>
      <c r="B3557" s="3" t="s">
        <v>168</v>
      </c>
      <c r="C3557" s="4">
        <v>8</v>
      </c>
    </row>
    <row r="3558">
      <c r="A3558" s="5">
        <f>HYPERLINK("https://app-web.statementrec.com/app#appuploadfiles/3a2128cc-ff7e-add3-18fa-02d7a64b8118","Dan Quick")</f>
      </c>
      <c r="B3558" s="3" t="s">
        <v>19</v>
      </c>
      <c r="C3558" s="4">
        <v>22</v>
      </c>
    </row>
    <row r="3559">
      <c r="A3559" s="5">
        <f>HYPERLINK("https://app-web.statementrec.com/app#appuploadfiles/3a2128d5-1a0f-59a3-39ee-aa9e8479388c","GMA Global Mining Alliance Ltd")</f>
      </c>
      <c r="B3559" s="3" t="s">
        <v>131</v>
      </c>
      <c r="C3559" s="4">
        <v>11</v>
      </c>
    </row>
    <row r="3560">
      <c r="A3560" s="5">
        <f>HYPERLINK("https://app-web.statementrec.com/app#appuploadfiles/3a2128dc-676e-588e-9bf6-02500f2e5daa","K104 - Kingham Car Sales")</f>
      </c>
      <c r="B3560" s="3" t="s">
        <v>17</v>
      </c>
      <c r="C3560" s="4">
        <v>52</v>
      </c>
    </row>
    <row r="3561">
      <c r="A3561" s="5">
        <f>HYPERLINK("https://app-web.statementrec.com/app#appuploadfiles/3a2128e7-44b1-9887-f4ac-43dd3ab08244","Bartosz Podgorski Smart Retail Solution")</f>
      </c>
      <c r="B3561" s="3" t="s">
        <v>26</v>
      </c>
      <c r="C3561" s="4">
        <v>3</v>
      </c>
    </row>
    <row r="3562">
      <c r="A3562" s="5">
        <f>HYPERLINK("https://app-web.statementrec.com/app#appuploadfiles/3a2128ed-0162-7d9a-e1f9-932edd0c9935","Roddy")</f>
      </c>
      <c r="B3562" s="3" t="s">
        <v>705</v>
      </c>
      <c r="C3562" s="4">
        <v>13</v>
      </c>
    </row>
    <row r="3563">
      <c r="A3563" s="5">
        <f>HYPERLINK("https://app-web.statementrec.com/app#appuploadfiles/3a212906-e584-b1c3-396b-2301fd26a972","CITY PLUMBING LIMITED")</f>
      </c>
      <c r="B3563" s="3" t="s">
        <v>15</v>
      </c>
      <c r="C3563" s="4">
        <v>55</v>
      </c>
    </row>
    <row r="3564">
      <c r="A3564" s="5">
        <f>HYPERLINK("https://app-web.statementrec.com/app#appuploadfiles/3a212916-289e-08b6-8065-4336ecc24db2","Kyle Leary")</f>
      </c>
      <c r="B3564" s="3" t="s">
        <v>21</v>
      </c>
      <c r="C3564" s="4">
        <v>94</v>
      </c>
    </row>
    <row r="3565">
      <c r="A3565" s="5">
        <f>HYPERLINK("https://app-web.statementrec.com/app#appuploadfiles/3a212920-ea37-c46c-1160-768fd2e51f4f","HICKS FLOORING LIMITED")</f>
      </c>
      <c r="B3565" s="3" t="s">
        <v>12</v>
      </c>
      <c r="C3565" s="4">
        <v>31</v>
      </c>
    </row>
    <row r="3566">
      <c r="A3566" s="5">
        <f>HYPERLINK("https://app-web.statementrec.com/app#appuploadfiles/3a212923-a6c6-4e5d-26e8-bb0fd88aae14","avril 2026")</f>
      </c>
      <c r="B3566" s="3" t="s">
        <v>706</v>
      </c>
      <c r="C3566" s="4">
        <v>7</v>
      </c>
    </row>
    <row r="3567">
      <c r="A3567" s="5">
        <f>HYPERLINK("https://app-web.statementrec.com/app#appuploadfiles/3a21292b-0875-9e77-355f-fbb4cdfe7f42","Rutland 2026")</f>
      </c>
      <c r="B3567" s="3" t="s">
        <v>17</v>
      </c>
      <c r="C3567" s="4">
        <v>9</v>
      </c>
    </row>
    <row r="3568">
      <c r="A3568" s="5">
        <f>HYPERLINK("https://app-web.statementrec.com/app#appuploadfiles/3a212937-d68e-2208-e09a-92bdde49351f","COMPCHEQ LTD")</f>
      </c>
      <c r="B3568" s="3" t="s">
        <v>84</v>
      </c>
      <c r="C3568" s="4">
        <v>3</v>
      </c>
    </row>
    <row r="3569">
      <c r="A3569" s="5">
        <f>HYPERLINK("https://app-web.statementrec.com/app#appuploadfiles/3a21293b-bb6e-afc3-8bc7-deda6ea26cef","D Kearns")</f>
      </c>
      <c r="B3569" s="3" t="s">
        <v>26</v>
      </c>
      <c r="C3569" s="4">
        <v>5</v>
      </c>
    </row>
    <row r="3570">
      <c r="A3570" s="5">
        <f>HYPERLINK("https://app-web.statementrec.com/app#appuploadfiles/3a21294b-04ce-4116-9f14-c70b73dc1e44","Snow North West Property")</f>
      </c>
      <c r="B3570" s="3" t="s">
        <v>81</v>
      </c>
      <c r="C3570" s="4">
        <v>3</v>
      </c>
    </row>
    <row r="3571">
      <c r="A3571" s="5">
        <f>HYPERLINK("https://app-web.statementrec.com/app#appuploadfiles/3a21295c-6a3e-e0c5-19cb-dd8bd5a194c1","MAYGLADE LIMITED 1")</f>
      </c>
      <c r="B3571" s="3" t="s">
        <v>168</v>
      </c>
      <c r="C3571" s="4">
        <v>78</v>
      </c>
    </row>
    <row r="3572">
      <c r="A3572" s="5">
        <f>HYPERLINK("https://app-web.statementrec.com/app#appuploadfiles/3a21295c-9ed2-e666-60b3-6c27eb4d9d8a","B10 Capital Ltd")</f>
      </c>
      <c r="B3572" s="3" t="s">
        <v>190</v>
      </c>
      <c r="C3572" s="4">
        <v>97</v>
      </c>
    </row>
    <row r="3573">
      <c r="A3573" s="5">
        <f>HYPERLINK("https://app-web.statementrec.com/app#appuploadfiles/3a212963-96e3-fdbc-e67d-e2e01969e449","Joseph Heer Homes")</f>
      </c>
      <c r="B3573" s="3" t="s">
        <v>17</v>
      </c>
      <c r="C3573" s="4">
        <v>2</v>
      </c>
    </row>
    <row r="3574">
      <c r="A3574" s="5">
        <f>HYPERLINK("https://app-web.statementrec.com/app#appuploadfiles/3a21296b-b7ef-ee7e-bc6f-3992aef7d657","VAT FOR THE Q/E 31 MARCH 2026")</f>
      </c>
      <c r="B3574" s="3" t="s">
        <v>12</v>
      </c>
      <c r="C3574" s="4">
        <v>14</v>
      </c>
    </row>
    <row r="3575">
      <c r="A3575" s="5">
        <f>HYPERLINK("https://app-web.statementrec.com/app#appuploadfiles/3a21297a-c81c-e988-f451-abb1bbece44a","TCE")</f>
      </c>
      <c r="B3575" s="3" t="s">
        <v>29</v>
      </c>
      <c r="C3575" s="4">
        <v>3</v>
      </c>
    </row>
    <row r="3576">
      <c r="A3576" s="5">
        <f>HYPERLINK("https://app-web.statementrec.com/app#appuploadfiles/3a212980-934c-820d-95d3-e44c58feb4da","J Rod April 2026")</f>
      </c>
      <c r="B3576" s="3" t="s">
        <v>10</v>
      </c>
      <c r="C3576" s="4">
        <v>4</v>
      </c>
    </row>
    <row r="3577">
      <c r="A3577" s="5">
        <f>HYPERLINK("https://app-web.statementrec.com/app#appuploadfiles/3a212981-64e5-0159-6866-028f4e931a2b","Barry Varley")</f>
      </c>
      <c r="B3577" s="3" t="s">
        <v>84</v>
      </c>
      <c r="C3577" s="4">
        <v>48</v>
      </c>
    </row>
    <row r="3578">
      <c r="A3578" s="5">
        <f>HYPERLINK("https://app-web.statementrec.com/app#appuploadfiles/3a212984-9460-1b4b-08c0-31fea19d5a8b","taxsmart10")</f>
      </c>
      <c r="B3578" s="3" t="s">
        <v>707</v>
      </c>
      <c r="C3578" s="4">
        <v>8</v>
      </c>
    </row>
    <row r="3579">
      <c r="A3579" s="5">
        <f>HYPERLINK("https://app-web.statementrec.com/app#appuploadfiles/3a21298a-4704-a52b-6755-12427ea8a4e2","Rosemount Front Block Ltd")</f>
      </c>
      <c r="B3579" s="3" t="s">
        <v>15</v>
      </c>
      <c r="C3579" s="4">
        <v>41</v>
      </c>
    </row>
    <row r="3580">
      <c r="A3580" s="5">
        <f>HYPERLINK("https://app-web.statementrec.com/app#appuploadfiles/3a2129a6-3050-9484-5a2a-96da3f006223","MORRIS ROOTS /MORRIS ABERDEEN BANK STATEMENTS FOR FINAL VAT SUBMISSION")</f>
      </c>
      <c r="B3580" s="3" t="s">
        <v>131</v>
      </c>
      <c r="C3580" s="4">
        <v>14</v>
      </c>
    </row>
    <row r="3581">
      <c r="A3581" s="5">
        <f>HYPERLINK("https://app-web.statementrec.com/app#appuploadfiles/3a2129b2-c909-3a49-0de4-92bc19df2295","TOPCLAD LTD")</f>
      </c>
      <c r="B3581" s="3" t="s">
        <v>15</v>
      </c>
      <c r="C3581" s="4">
        <v>24</v>
      </c>
    </row>
    <row r="3582">
      <c r="A3582" s="5">
        <f>HYPERLINK("https://app-web.statementrec.com/app#appuploadfiles/3a2129b4-42dc-991c-3788-0baa8409acfc","EAST LONDON COMMUNITY COLLEGE LIMITED")</f>
      </c>
      <c r="B3582" s="3" t="s">
        <v>17</v>
      </c>
      <c r="C3582" s="4">
        <v>4</v>
      </c>
    </row>
    <row r="3583">
      <c r="A3583" s="5">
        <f>HYPERLINK("https://app-web.statementrec.com/app#appuploadfiles/3a2129bb-7efa-9feb-488f-065585be8cc6","CAF Bank - April 26")</f>
      </c>
      <c r="B3583" s="3" t="s">
        <v>15</v>
      </c>
      <c r="C3583" s="4">
        <v>4</v>
      </c>
    </row>
    <row r="3584">
      <c r="A3584" s="5">
        <f>HYPERLINK("https://app-web.statementrec.com/app#appuploadfiles/3a2129c9-65cc-e782-de43-ec5546edcfe3","YHS ENGINEERING CONSULTANCY LTD")</f>
      </c>
      <c r="B3584" s="3" t="s">
        <v>11</v>
      </c>
      <c r="C3584" s="4">
        <v>2</v>
      </c>
    </row>
    <row r="3585">
      <c r="A3585" s="5">
        <f>HYPERLINK("https://app-web.statementrec.com/app#appuploadfiles/3a2129ce-05aa-79bb-9054-64c22b76301d","2026")</f>
      </c>
      <c r="B3585" s="3" t="s">
        <v>11</v>
      </c>
      <c r="C3585" s="4">
        <v>180</v>
      </c>
    </row>
    <row r="3586">
      <c r="A3586" s="5">
        <f>HYPERLINK("https://app-web.statementrec.com/app#appuploadfiles/3a2129d1-a927-13a8-30b2-f837597fc586","Landex Parks")</f>
      </c>
      <c r="B3586" s="3" t="s">
        <v>18</v>
      </c>
      <c r="C3586" s="4">
        <v>6</v>
      </c>
    </row>
    <row r="3587">
      <c r="A3587" s="5">
        <f>HYPERLINK("https://app-web.statementrec.com/app#appuploadfiles/3a2129db-55ff-244f-af49-39e0cc63a5ad","K Mulville")</f>
      </c>
      <c r="B3587" s="3" t="s">
        <v>12</v>
      </c>
      <c r="C3587" s="4">
        <v>2</v>
      </c>
    </row>
    <row r="3588">
      <c r="A3588" s="5">
        <f>HYPERLINK("https://app-web.statementrec.com/app#appuploadfiles/3a2129e5-71dd-6600-a5e2-380c0af467bf","MC Prestige Builders Inc")</f>
      </c>
      <c r="B3588" s="3" t="s">
        <v>587</v>
      </c>
      <c r="C3588" s="4">
        <v>134</v>
      </c>
    </row>
    <row r="3589">
      <c r="A3589" s="5">
        <f>HYPERLINK("https://app-web.statementrec.com/app#appuploadfiles/3a212a03-13c3-b97b-49b2-84c41fd47d34","2025BankEdwardCarmody")</f>
      </c>
      <c r="B3589" s="3" t="s">
        <v>3</v>
      </c>
      <c r="C3589" s="4">
        <v>19</v>
      </c>
    </row>
    <row r="3590">
      <c r="A3590" s="5">
        <f>HYPERLINK("https://app-web.statementrec.com/app#appuploadfiles/3a212a41-fd45-d178-e7d2-8f4d010139a8","4. APRIL CC 2026")</f>
      </c>
      <c r="B3590" s="3" t="s">
        <v>146</v>
      </c>
      <c r="C3590" s="4">
        <v>8</v>
      </c>
    </row>
    <row r="3591">
      <c r="A3591" s="5">
        <f>HYPERLINK("https://app-web.statementrec.com/app#appuploadfiles/3a212a43-634d-9251-1337-cf7e0594e9d8","April '26")</f>
      </c>
      <c r="B3591" s="3" t="s">
        <v>326</v>
      </c>
      <c r="C3591" s="4">
        <v>8</v>
      </c>
    </row>
    <row r="3592">
      <c r="A3592" s="5">
        <f>HYPERLINK("https://app-web.statementrec.com/app#appuploadfiles/3a212ad3-63da-8c37-22df-f7db846d8490","Motorisé Langlois inc.")</f>
      </c>
      <c r="B3592" s="3" t="s">
        <v>47</v>
      </c>
      <c r="C3592" s="4">
        <v>15</v>
      </c>
    </row>
    <row r="3593">
      <c r="A3593" s="5">
        <f>HYPERLINK("https://app-web.statementrec.com/app#appuploadfiles/3a212ae4-1160-cb15-73b5-78efbcd337fe","Patrick Bos")</f>
      </c>
      <c r="B3593" s="3" t="s">
        <v>708</v>
      </c>
      <c r="C3593" s="4">
        <v>51</v>
      </c>
    </row>
    <row r="3594">
      <c r="A3594" s="5">
        <f>HYPERLINK("https://app-web.statementrec.com/app#appuploadfiles/3a212af6-1716-edf7-d815-a1940f3adeee","Painting with Grapes")</f>
      </c>
      <c r="B3594" s="3" t="s">
        <v>16</v>
      </c>
      <c r="C3594" s="4">
        <v>3</v>
      </c>
    </row>
    <row r="3595">
      <c r="A3595" s="5">
        <f>HYPERLINK("https://app-web.statementrec.com/app#appuploadfiles/3a212b06-716b-f366-7ccd-c9f85beda6cf","04-2026")</f>
      </c>
      <c r="B3595" s="3" t="s">
        <v>16</v>
      </c>
      <c r="C3595" s="4">
        <v>8</v>
      </c>
    </row>
    <row r="3596">
      <c r="A3596" s="5">
        <f>HYPERLINK("https://app-web.statementrec.com/app#appuploadfiles/3a212b12-9264-8c1f-1ab3-2d976f210d20","Full Throttle Recovery")</f>
      </c>
      <c r="B3596" s="3" t="s">
        <v>709</v>
      </c>
      <c r="C3596" s="4">
        <v>34</v>
      </c>
    </row>
    <row r="3597">
      <c r="A3597" s="5">
        <f>HYPERLINK("https://app-web.statementrec.com/app#appuploadfiles/3a212b13-d868-fec6-ba8f-f83646f9d077","Epal Global Ltd")</f>
      </c>
      <c r="B3597" s="3" t="s">
        <v>26</v>
      </c>
      <c r="C3597" s="4">
        <v>6</v>
      </c>
    </row>
    <row r="3598">
      <c r="A3598" s="5">
        <f>HYPERLINK("https://app-web.statementrec.com/app#appuploadfiles/3a212b27-8899-6ea7-77fa-04aaec5d7ba5","CC2318 041926")</f>
      </c>
      <c r="B3598" s="3" t="s">
        <v>58</v>
      </c>
      <c r="C3598" s="4">
        <v>4</v>
      </c>
    </row>
    <row r="3599">
      <c r="A3599" s="5">
        <f>HYPERLINK("https://app-web.statementrec.com/app#appuploadfiles/3a212b4d-ee3a-52a2-7aa8-228599061bf0","718 Hookah")</f>
      </c>
      <c r="B3599" s="3" t="s">
        <v>710</v>
      </c>
      <c r="C3599" s="4">
        <v>14</v>
      </c>
    </row>
    <row r="3600">
      <c r="A3600" s="5">
        <f>HYPERLINK("https://app-web.statementrec.com/app#appuploadfiles/3a212b57-542d-cbf2-6ca5-f4c13425e0a0","Tecnomax")</f>
      </c>
      <c r="B3600" s="3" t="s">
        <v>144</v>
      </c>
      <c r="C3600" s="4">
        <v>38</v>
      </c>
    </row>
    <row r="3601">
      <c r="A3601" s="5">
        <f>HYPERLINK("https://app-web.statementrec.com/app#appuploadfiles/3a212b77-8cac-15d3-0fd7-271c82d13841","Clover USA")</f>
      </c>
      <c r="B3601" s="3" t="s">
        <v>40</v>
      </c>
      <c r="C3601" s="4">
        <v>53</v>
      </c>
    </row>
    <row r="3602">
      <c r="A3602" s="5">
        <f>HYPERLINK("https://app-web.statementrec.com/app#appuploadfiles/3a212b81-1dd8-ff57-d22d-232c197c8d8f","King Superannuation Scheme")</f>
      </c>
      <c r="B3602" s="3" t="s">
        <v>47</v>
      </c>
      <c r="C3602" s="4">
        <v>12</v>
      </c>
    </row>
    <row r="3603">
      <c r="A3603" s="5">
        <f>HYPERLINK("https://app-web.statementrec.com/app#appuploadfiles/3a212bc8-1404-dafa-6305-0787ef919e93","EMERSING WELLS SING CC JAN-ABR")</f>
      </c>
      <c r="B3603" s="3" t="s">
        <v>40</v>
      </c>
      <c r="C3603" s="4">
        <v>8</v>
      </c>
    </row>
    <row r="3604">
      <c r="A3604" s="5">
        <f>HYPERLINK("https://app-web.statementrec.com/app#appuploadfiles/3a212c0b-336f-ad1d-f79d-531cfef3bdbe","Higginbotham")</f>
      </c>
      <c r="B3604" s="3" t="s">
        <v>206</v>
      </c>
      <c r="C3604" s="4">
        <v>4</v>
      </c>
    </row>
    <row r="3605">
      <c r="A3605" s="5">
        <f>HYPERLINK("https://app-web.statementrec.com/app#appuploadfiles/3a212c5f-2260-78d5-c4bc-0aee6c8e8ea9","Heck")</f>
      </c>
      <c r="B3605" s="3" t="s">
        <v>711</v>
      </c>
      <c r="C3605" s="4">
        <v>15</v>
      </c>
    </row>
    <row r="3606">
      <c r="A3606" s="5">
        <f>HYPERLINK("https://app-web.statementrec.com/app#appuploadfiles/3a212c93-2d9b-c6b4-6342-e1e3e2a136d8","31 March 2026 - CC")</f>
      </c>
      <c r="B3606" s="3" t="s">
        <v>17</v>
      </c>
      <c r="C3606" s="4">
        <v>21</v>
      </c>
    </row>
    <row r="3607">
      <c r="A3607" s="5">
        <f>HYPERLINK("https://app-web.statementrec.com/app#appuploadfiles/3a212d49-7c7b-ca52-c6a5-53f05f495792","CLEAR LAW LLP")</f>
      </c>
      <c r="B3607" s="3" t="s">
        <v>12</v>
      </c>
      <c r="C3607" s="4">
        <v>154</v>
      </c>
    </row>
    <row r="3608">
      <c r="A3608" s="5">
        <f>HYPERLINK("https://app-web.statementrec.com/app#appuploadfiles/3a212d53-55de-15a0-5cdd-300d62d4ec86","April 26 statement")</f>
      </c>
      <c r="B3608" s="3" t="s">
        <v>18</v>
      </c>
      <c r="C3608" s="4">
        <v>6</v>
      </c>
    </row>
    <row r="3609">
      <c r="A3609" s="5">
        <f>HYPERLINK("https://app-web.statementrec.com/app#appuploadfiles/3a212d58-b3b6-978c-3e1c-cd099e066583","2025 accounts")</f>
      </c>
      <c r="B3609" s="3" t="s">
        <v>17</v>
      </c>
      <c r="C3609" s="4">
        <v>35</v>
      </c>
    </row>
    <row r="3610">
      <c r="A3610" s="5">
        <f>HYPERLINK("https://app-web.statementrec.com/app#appuploadfiles/3a212d59-dfae-471b-81da-80c3e72aed1c","Brian and Christina McBeth")</f>
      </c>
      <c r="B3610" s="3" t="s">
        <v>17</v>
      </c>
      <c r="C3610" s="4">
        <v>20</v>
      </c>
    </row>
    <row r="3611">
      <c r="A3611" s="5">
        <f>HYPERLINK("https://app-web.statementrec.com/app#appuploadfiles/3a212d5e-48d9-f19d-ae3d-cf5a9b7d1bb4","Vicari")</f>
      </c>
      <c r="B3611" s="3" t="s">
        <v>17</v>
      </c>
      <c r="C3611" s="4">
        <v>2</v>
      </c>
    </row>
    <row r="3612">
      <c r="A3612" s="5">
        <f>HYPERLINK("https://app-web.statementrec.com/app#appuploadfiles/3a212d6a-6502-b42a-4d9d-1848e2bb4217","Kolo Business")</f>
      </c>
      <c r="B3612" s="3" t="s">
        <v>80</v>
      </c>
      <c r="C3612" s="4">
        <v>18</v>
      </c>
    </row>
    <row r="3613">
      <c r="A3613" s="5">
        <f>HYPERLINK("https://app-web.statementrec.com/app#appuploadfiles/3a212d6b-a28f-1c37-f1e0-b90f8f605d68","08-05-2026")</f>
      </c>
      <c r="B3613" s="3" t="s">
        <v>12</v>
      </c>
      <c r="C3613" s="4">
        <v>41</v>
      </c>
    </row>
    <row r="3614">
      <c r="A3614" s="5">
        <f>HYPERLINK("https://app-web.statementrec.com/app#appuploadfiles/3a212d6c-a5a9-2d12-03b4-73785e0c661e","Rev Pro 21/4 - 11/5")</f>
      </c>
      <c r="B3614" s="3" t="s">
        <v>11</v>
      </c>
      <c r="C3614" s="4">
        <v>3</v>
      </c>
    </row>
    <row r="3615">
      <c r="A3615" s="5">
        <f>HYPERLINK("https://app-web.statementrec.com/app#appuploadfiles/3a212d70-df78-5388-b1fc-7c2f479b0632","R NORRIS - NOR11")</f>
      </c>
      <c r="B3615" s="3" t="s">
        <v>15</v>
      </c>
      <c r="C3615" s="4">
        <v>30</v>
      </c>
    </row>
    <row r="3616">
      <c r="A3616" s="5">
        <f>HYPERLINK("https://app-web.statementrec.com/app#appuploadfiles/3a212d71-0033-81b2-b800-d3028c92a827","Khanda US EmployCo")</f>
      </c>
      <c r="B3616" s="3" t="s">
        <v>712</v>
      </c>
      <c r="C3616" s="4">
        <v>12</v>
      </c>
    </row>
    <row r="3617">
      <c r="A3617" s="5">
        <f>HYPERLINK("https://app-web.statementrec.com/app#appuploadfiles/3a212d71-5248-878c-9255-4d48beff14a3","Khanda Therapeutics LP")</f>
      </c>
      <c r="B3617" s="3" t="s">
        <v>351</v>
      </c>
      <c r="C3617" s="4">
        <v>10</v>
      </c>
    </row>
    <row r="3618">
      <c r="A3618" s="5">
        <f>HYPERLINK("https://app-web.statementrec.com/app#appuploadfiles/3a212d75-f22d-2ad7-ae84-553d728e7c25","Main Account - 8581")</f>
      </c>
      <c r="B3618" s="3" t="s">
        <v>80</v>
      </c>
      <c r="C3618" s="4">
        <v>6</v>
      </c>
    </row>
    <row r="3619">
      <c r="A3619" s="5">
        <f>HYPERLINK("https://app-web.statementrec.com/app#appuploadfiles/3a212d76-bf43-6b97-e058-0aba67255c2b","FLEXOPOWER HOLDINGS HONG KONG")</f>
      </c>
      <c r="B3619" s="3" t="s">
        <v>713</v>
      </c>
      <c r="C3619" s="4">
        <v>42</v>
      </c>
    </row>
    <row r="3620">
      <c r="A3620" s="5">
        <f>HYPERLINK("https://app-web.statementrec.com/app#appuploadfiles/3a212d84-9e2b-3298-cab4-e84bd8a0cdaf","KJS Property Ltd")</f>
      </c>
      <c r="B3620" s="3" t="s">
        <v>81</v>
      </c>
      <c r="C3620" s="4">
        <v>10</v>
      </c>
    </row>
    <row r="3621">
      <c r="A3621" s="5">
        <f>HYPERLINK("https://app-web.statementrec.com/app#appuploadfiles/3a212d88-21e4-0634-fe29-87e1ca4f9816","Brookes &amp; Co Ltd")</f>
      </c>
      <c r="B3621" s="3" t="s">
        <v>15</v>
      </c>
      <c r="C3621" s="4">
        <v>9</v>
      </c>
    </row>
    <row r="3622">
      <c r="A3622" s="5">
        <f>HYPERLINK("https://app-web.statementrec.com/app#appuploadfiles/3a212d8b-8f0e-5d01-c7d1-2d3f488d5f11","42467- MA 26")</f>
      </c>
      <c r="B3622" s="3" t="s">
        <v>11</v>
      </c>
      <c r="C3622" s="4">
        <v>12</v>
      </c>
    </row>
    <row r="3623">
      <c r="A3623" s="5">
        <f>HYPERLINK("https://app-web.statementrec.com/app#appuploadfiles/3a212d90-a56e-d8c0-0d48-c39c60277a18","Southwest Pools")</f>
      </c>
      <c r="B3623" s="3" t="s">
        <v>22</v>
      </c>
      <c r="C3623" s="4">
        <v>9</v>
      </c>
    </row>
    <row r="3624">
      <c r="A3624" s="5">
        <f>HYPERLINK("https://app-web.statementrec.com/app#appuploadfiles/3a212d90-dbb5-0012-670a-13b13c92bcc6","L B land Holdings Limited")</f>
      </c>
      <c r="B3624" s="3" t="s">
        <v>12</v>
      </c>
      <c r="C3624" s="4">
        <v>15</v>
      </c>
    </row>
    <row r="3625">
      <c r="A3625" s="5">
        <f>HYPERLINK("https://app-web.statementrec.com/app#appuploadfiles/3a212d91-97d7-f75c-c8ef-d8c0a9d35e84","35383-25")</f>
      </c>
      <c r="B3625" s="3" t="s">
        <v>75</v>
      </c>
      <c r="C3625" s="4">
        <v>9</v>
      </c>
    </row>
    <row r="3626">
      <c r="A3626" s="5">
        <f>HYPERLINK("https://app-web.statementrec.com/app#appuploadfiles/3a212d95-af4a-1440-5a44-f148373fd83e","UE COFFEE ROASTERS LIMITED")</f>
      </c>
      <c r="B3626" s="3" t="s">
        <v>17</v>
      </c>
      <c r="C3626" s="4">
        <v>2</v>
      </c>
    </row>
    <row r="3627">
      <c r="A3627" s="5">
        <f>HYPERLINK("https://app-web.statementrec.com/app#appuploadfiles/3a212d96-5531-73ff-68f5-dfaa98918005","02.04.26 to 27.04.26")</f>
      </c>
      <c r="B3627" s="3" t="s">
        <v>15</v>
      </c>
      <c r="C3627" s="4">
        <v>2</v>
      </c>
    </row>
    <row r="3628">
      <c r="A3628" s="5">
        <f>HYPERLINK("https://app-web.statementrec.com/app#appuploadfiles/3a212d96-a2a2-00ae-62e4-d31ff236d960","Sean McReynolds")</f>
      </c>
      <c r="B3628" s="3" t="s">
        <v>17</v>
      </c>
      <c r="C3628" s="4">
        <v>139</v>
      </c>
    </row>
    <row r="3629">
      <c r="A3629" s="5">
        <f>HYPERLINK("https://app-web.statementrec.com/app#appuploadfiles/3a212d99-d207-3cbd-6cc5-1543fb099918","7 Apr -7 May 26 - 4258")</f>
      </c>
      <c r="B3629" s="3" t="s">
        <v>17</v>
      </c>
      <c r="C3629" s="4">
        <v>1</v>
      </c>
    </row>
    <row r="3630">
      <c r="A3630" s="5">
        <f>HYPERLINK("https://app-web.statementrec.com/app#appuploadfiles/3a212d9a-df6c-aded-ebfb-ea8030b46d1d","PLANNING DATA AI LTD")</f>
      </c>
      <c r="B3630" s="3" t="s">
        <v>12</v>
      </c>
      <c r="C3630" s="4">
        <v>7</v>
      </c>
    </row>
    <row r="3631">
      <c r="A3631" s="5">
        <f>HYPERLINK("https://app-web.statementrec.com/app#appuploadfiles/3a212da2-bd7a-980f-ff93-b7a61802fe75","Vimal Convenience Store")</f>
      </c>
      <c r="B3631" s="3" t="s">
        <v>12</v>
      </c>
      <c r="C3631" s="4">
        <v>21</v>
      </c>
    </row>
    <row r="3632">
      <c r="A3632" s="5">
        <f>HYPERLINK("https://app-web.statementrec.com/app#appuploadfiles/3a212da4-77b2-65f1-779a-8bb6af7e299e","T--M Space Ltd")</f>
      </c>
      <c r="B3632" s="3" t="s">
        <v>26</v>
      </c>
      <c r="C3632" s="4">
        <v>16</v>
      </c>
    </row>
    <row r="3633">
      <c r="A3633" s="5">
        <f>HYPERLINK("https://app-web.statementrec.com/app#appuploadfiles/3a212daf-9b17-b64c-957f-8cced15b5de5","Ella Wright")</f>
      </c>
      <c r="B3633" s="3" t="s">
        <v>168</v>
      </c>
      <c r="C3633" s="4">
        <v>94</v>
      </c>
    </row>
    <row r="3634">
      <c r="A3634" s="5">
        <f>HYPERLINK("https://app-web.statementrec.com/app#appuploadfiles/3a212db1-de35-1046-d4f5-9f30436a4c5b","QE April 2026")</f>
      </c>
      <c r="B3634" s="3" t="s">
        <v>81</v>
      </c>
      <c r="C3634" s="4">
        <v>1</v>
      </c>
    </row>
    <row r="3635">
      <c r="A3635" s="5">
        <f>HYPERLINK("https://app-web.statementrec.com/app#appuploadfiles/3a212dbb-66a2-b464-ce59-1756b55167be","ST Rimmer &amp; Son")</f>
      </c>
      <c r="B3635" s="3" t="s">
        <v>19</v>
      </c>
      <c r="C3635" s="4">
        <v>6</v>
      </c>
    </row>
    <row r="3636">
      <c r="A3636" s="5">
        <f>HYPERLINK("https://app-web.statementrec.com/app#appuploadfiles/3a212dc0-01f3-a9b7-8171-652c066cbed3","Praise Maku Ltd")</f>
      </c>
      <c r="B3636" s="3" t="s">
        <v>11</v>
      </c>
      <c r="C3636" s="4">
        <v>15</v>
      </c>
    </row>
    <row r="3637">
      <c r="A3637" s="5">
        <f>HYPERLINK("https://app-web.statementrec.com/app#appuploadfiles/3a212dc2-422b-540a-f3dc-01d7bc44911c","Agyei Maseko Inc")</f>
      </c>
      <c r="B3637" s="3" t="s">
        <v>80</v>
      </c>
      <c r="C3637" s="4">
        <v>22</v>
      </c>
    </row>
    <row r="3638">
      <c r="A3638" s="5">
        <f>HYPERLINK("https://app-web.statementrec.com/app#appuploadfiles/3a212dcb-2b04-ccb8-65b2-3cda1df6a1e7","Slattery Catherine")</f>
      </c>
      <c r="B3638" s="3" t="s">
        <v>714</v>
      </c>
      <c r="C3638" s="4">
        <v>6</v>
      </c>
    </row>
    <row r="3639">
      <c r="A3639" s="5">
        <f>HYPERLINK("https://app-web.statementrec.com/app#appuploadfiles/3a212dd1-9312-2f98-71a8-9475e38c5f09","07.04.26 to 04.05.26")</f>
      </c>
      <c r="B3639" s="3" t="s">
        <v>81</v>
      </c>
      <c r="C3639" s="4">
        <v>4</v>
      </c>
    </row>
    <row r="3640">
      <c r="A3640" s="5">
        <f>HYPERLINK("https://app-web.statementrec.com/app#appuploadfiles/3a212ddb-934b-6813-8f4a-ed3ccb989faf","JCW Consultants Ltd")</f>
      </c>
      <c r="B3640" s="3" t="s">
        <v>17</v>
      </c>
      <c r="C3640" s="4">
        <v>6</v>
      </c>
    </row>
    <row r="3641">
      <c r="A3641" s="5">
        <f>HYPERLINK("https://app-web.statementrec.com/app#appuploadfiles/3a212ddb-afb5-c1c3-83c8-f3a9a4abd543","25 yr")</f>
      </c>
      <c r="B3641" s="3" t="s">
        <v>12</v>
      </c>
      <c r="C3641" s="4">
        <v>19</v>
      </c>
    </row>
    <row r="3642">
      <c r="A3642" s="5">
        <f>HYPERLINK("https://app-web.statementrec.com/app#appuploadfiles/3a212ddd-29fc-763d-9e95-0cd8c080d8ed","FM Surveys 3")</f>
      </c>
      <c r="B3642" s="3" t="s">
        <v>10</v>
      </c>
      <c r="C3642" s="4">
        <v>6</v>
      </c>
    </row>
    <row r="3643">
      <c r="A3643" s="5">
        <f>HYPERLINK("https://app-web.statementrec.com/app#appuploadfiles/3a212de0-7efc-6929-7e9d-06e615cd8113","McLardy Medical Services Ltd")</f>
      </c>
      <c r="B3643" s="3" t="s">
        <v>715</v>
      </c>
      <c r="C3643" s="4">
        <v>46</v>
      </c>
    </row>
    <row r="3644">
      <c r="A3644" s="5">
        <f>HYPERLINK("https://app-web.statementrec.com/app#appuploadfiles/3a212de4-1806-9aa7-4d27-63cd9e71d72a","JV BUILDERS LTD")</f>
      </c>
      <c r="B3644" s="3" t="s">
        <v>17</v>
      </c>
      <c r="C3644" s="4">
        <v>24</v>
      </c>
    </row>
    <row r="3645">
      <c r="A3645" s="5">
        <f>HYPERLINK("https://app-web.statementrec.com/app#appuploadfiles/3a212de6-86a5-c136-7d66-4d26bc940d28","Rhonda Meats")</f>
      </c>
      <c r="B3645" s="3" t="s">
        <v>716</v>
      </c>
      <c r="C3645" s="4">
        <v>37</v>
      </c>
    </row>
    <row r="3646">
      <c r="A3646" s="5">
        <f>HYPERLINK("https://app-web.statementrec.com/app#appuploadfiles/3a212dec-b1e8-0677-2aa7-33c2f34e845c","HB LLOYD LIMITED")</f>
      </c>
      <c r="B3646" s="3" t="s">
        <v>84</v>
      </c>
      <c r="C3646" s="4">
        <v>3</v>
      </c>
    </row>
    <row r="3647">
      <c r="A3647" s="5">
        <f>HYPERLINK("https://app-web.statementrec.com/app#appuploadfiles/3a212df5-be4f-866e-f9ba-d64ff7175483","Erica Greaves")</f>
      </c>
      <c r="B3647" s="3" t="s">
        <v>15</v>
      </c>
      <c r="C3647" s="4">
        <v>23</v>
      </c>
    </row>
    <row r="3648">
      <c r="A3648" s="5">
        <f>HYPERLINK("https://app-web.statementrec.com/app#appuploadfiles/3a212dfc-85ae-11ef-709a-b9b3dc9f5bc1","SPIRAL SERVICES LIMITED")</f>
      </c>
      <c r="B3648" s="3" t="s">
        <v>15</v>
      </c>
      <c r="C3648" s="4">
        <v>4</v>
      </c>
    </row>
    <row r="3649">
      <c r="A3649" s="5">
        <f>HYPERLINK("https://app-web.statementrec.com/app#appuploadfiles/3a212e05-2899-2d04-1048-75d3b9b82c41","CN KOI LTD")</f>
      </c>
      <c r="B3649" s="3" t="s">
        <v>17</v>
      </c>
      <c r="C3649" s="4">
        <v>14</v>
      </c>
    </row>
    <row r="3650">
      <c r="A3650" s="5">
        <f>HYPERLINK("https://app-web.statementrec.com/app#appuploadfiles/3a212e06-2ed3-cf3b-d1f3-8c344e5f169f","Up to 30/04/2026")</f>
      </c>
      <c r="B3650" s="3" t="s">
        <v>12</v>
      </c>
      <c r="C3650" s="4">
        <v>53</v>
      </c>
    </row>
    <row r="3651">
      <c r="A3651" s="5">
        <f>HYPERLINK("https://app-web.statementrec.com/app#appuploadfiles/3a212e08-1304-b5cc-0771-247846d6d39a","2025-26")</f>
      </c>
      <c r="B3651" s="3" t="s">
        <v>18</v>
      </c>
      <c r="C3651" s="4">
        <v>7</v>
      </c>
    </row>
    <row r="3652">
      <c r="A3652" s="5">
        <f>HYPERLINK("https://app-web.statementrec.com/app#appuploadfiles/3a212e0e-379d-6a90-e3d3-f546cf4c0558","Natwest")</f>
      </c>
      <c r="B3652" s="3" t="s">
        <v>12</v>
      </c>
      <c r="C3652" s="4">
        <v>14</v>
      </c>
    </row>
    <row r="3653">
      <c r="A3653" s="5">
        <f>HYPERLINK("https://app-web.statementrec.com/app#appuploadfiles/3a212e11-df7c-8b9c-7b18-83880d88f3c4","EVOLVE DIGITAL WORKPLACES LIMITED")</f>
      </c>
      <c r="B3653" s="3" t="s">
        <v>168</v>
      </c>
      <c r="C3653" s="4">
        <v>48</v>
      </c>
    </row>
    <row r="3654">
      <c r="A3654" s="5">
        <f>HYPERLINK("https://app-web.statementrec.com/app#appuploadfiles/3a212e13-bca0-280f-1320-1811286bce16","Holroyd Property Investments")</f>
      </c>
      <c r="B3654" s="3" t="s">
        <v>52</v>
      </c>
      <c r="C3654" s="4">
        <v>8</v>
      </c>
    </row>
    <row r="3655">
      <c r="A3655" s="5">
        <f>HYPERLINK("https://app-web.statementrec.com/app#appuploadfiles/3a212e13-e65e-9d94-9136-3bbfe9d09f23","Godfrey George Trading")</f>
      </c>
      <c r="B3655" s="3" t="s">
        <v>80</v>
      </c>
      <c r="C3655" s="4">
        <v>41</v>
      </c>
    </row>
    <row r="3656">
      <c r="A3656" s="5">
        <f>HYPERLINK("https://app-web.statementrec.com/app#appuploadfiles/3a212e16-21c1-4792-576a-16fd988feca8","A &amp; E G Heading Limited")</f>
      </c>
      <c r="B3656" s="3" t="s">
        <v>29</v>
      </c>
      <c r="C3656" s="4">
        <v>15</v>
      </c>
    </row>
    <row r="3657">
      <c r="A3657" s="5">
        <f>HYPERLINK("https://app-web.statementrec.com/app#appuploadfiles/3a212e19-1217-8505-1f0e-6174f35109a0","Visa jan 26")</f>
      </c>
      <c r="B3657" s="3" t="s">
        <v>10</v>
      </c>
      <c r="C3657" s="4">
        <v>1</v>
      </c>
    </row>
    <row r="3658">
      <c r="A3658" s="5">
        <f>HYPERLINK("https://app-web.statementrec.com/app#appuploadfiles/3a212e1a-1f54-1efe-2520-02a03478d3b0","T219 - The Alma Uckfield Ltd")</f>
      </c>
      <c r="B3658" s="3" t="s">
        <v>139</v>
      </c>
      <c r="C3658" s="4">
        <v>17</v>
      </c>
    </row>
    <row r="3659">
      <c r="A3659" s="5">
        <f>HYPERLINK("https://app-web.statementrec.com/app#appuploadfiles/3a212e1a-3c89-8385-498e-c3f4f3c4d4e9","Adv Jamie-lee Harris")</f>
      </c>
      <c r="B3659" s="3" t="s">
        <v>717</v>
      </c>
      <c r="C3659" s="4">
        <v>12</v>
      </c>
    </row>
    <row r="3660">
      <c r="A3660" s="5">
        <f>HYPERLINK("https://app-web.statementrec.com/app#appuploadfiles/3a212e1a-463e-6420-673c-f896aff6f454","visa april 26")</f>
      </c>
      <c r="B3660" s="3" t="s">
        <v>10</v>
      </c>
      <c r="C3660" s="4">
        <v>1</v>
      </c>
    </row>
    <row r="3661">
      <c r="A3661" s="5">
        <f>HYPERLINK("https://app-web.statementrec.com/app#appuploadfiles/3a212e1a-ccb6-a210-c120-750e9c609f11","Oct 25")</f>
      </c>
      <c r="B3661" s="3" t="s">
        <v>3</v>
      </c>
      <c r="C3661" s="4">
        <v>17</v>
      </c>
    </row>
    <row r="3662">
      <c r="A3662" s="5">
        <f>HYPERLINK("https://app-web.statementrec.com/app#appuploadfiles/3a212e22-9fce-a877-9226-6fe9af738f36","Serac Group Ltd")</f>
      </c>
      <c r="B3662" s="3" t="s">
        <v>12</v>
      </c>
      <c r="C3662" s="4">
        <v>5</v>
      </c>
    </row>
    <row r="3663">
      <c r="A3663" s="5">
        <f>HYPERLINK("https://app-web.statementrec.com/app#appuploadfiles/3a212e30-1436-454f-d338-d41049f53d71","KWS Logistics")</f>
      </c>
      <c r="B3663" s="3" t="s">
        <v>80</v>
      </c>
      <c r="C3663" s="4">
        <v>3</v>
      </c>
    </row>
    <row r="3664">
      <c r="A3664" s="5">
        <f>HYPERLINK("https://app-web.statementrec.com/app#appuploadfiles/3a212e31-fec1-1481-eff3-6a967147f4e7","I.L.I bank statements")</f>
      </c>
      <c r="B3664" s="3" t="s">
        <v>10</v>
      </c>
      <c r="C3664" s="4">
        <v>168</v>
      </c>
    </row>
    <row r="3665">
      <c r="A3665" s="5">
        <f>HYPERLINK("https://app-web.statementrec.com/app#appuploadfiles/3a212e34-875a-ae69-7486-2800acf1d0c2","SPARERYB OIL LTD")</f>
      </c>
      <c r="B3665" s="3" t="s">
        <v>15</v>
      </c>
      <c r="C3665" s="4">
        <v>49</v>
      </c>
    </row>
    <row r="3666">
      <c r="A3666" s="5">
        <f>HYPERLINK("https://app-web.statementrec.com/app#appuploadfiles/3a212e3b-0619-1fae-8d57-789f59f2f4d4","CONSERVAQUA LIMITED")</f>
      </c>
      <c r="B3666" s="3" t="s">
        <v>15</v>
      </c>
      <c r="C3666" s="4">
        <v>54</v>
      </c>
    </row>
    <row r="3667">
      <c r="A3667" s="5">
        <f>HYPERLINK("https://app-web.statementrec.com/app#appuploadfiles/3a212e3b-9520-0711-647e-805dc5f92604","04.26")</f>
      </c>
      <c r="B3667" s="3" t="s">
        <v>13</v>
      </c>
      <c r="C3667" s="4">
        <v>34</v>
      </c>
    </row>
    <row r="3668">
      <c r="A3668" s="5">
        <f>HYPERLINK("https://app-web.statementrec.com/app#appuploadfiles/3a212e3c-8ce1-2e40-d59b-dc2792532e06","GCL ACCOUNTING LIMITED")</f>
      </c>
      <c r="B3668" s="3" t="s">
        <v>18</v>
      </c>
      <c r="C3668" s="4">
        <v>30</v>
      </c>
    </row>
    <row r="3669">
      <c r="A3669" s="5">
        <f>HYPERLINK("https://app-web.statementrec.com/app#appuploadfiles/3a212e4a-5649-1a07-042e-3027d8b388cd","MW Hui")</f>
      </c>
      <c r="B3669" s="3" t="s">
        <v>3</v>
      </c>
      <c r="C3669" s="4">
        <v>32</v>
      </c>
    </row>
    <row r="3670">
      <c r="A3670" s="5">
        <f>HYPERLINK("https://app-web.statementrec.com/app#appuploadfiles/3a212e4c-7333-1029-1b52-949a7d74cdff","american express 7/5")</f>
      </c>
      <c r="B3670" s="3" t="s">
        <v>190</v>
      </c>
      <c r="C3670" s="4">
        <v>9</v>
      </c>
    </row>
    <row r="3671">
      <c r="A3671" s="5">
        <f>HYPERLINK("https://app-web.statementrec.com/app#appuploadfiles/3a212e4f-90a0-ed60-4596-acba19eb695b","SPAR ASHTON LIMITED")</f>
      </c>
      <c r="B3671" s="3" t="s">
        <v>18</v>
      </c>
      <c r="C3671" s="4">
        <v>31</v>
      </c>
    </row>
    <row r="3672">
      <c r="A3672" s="5">
        <f>HYPERLINK("https://app-web.statementrec.com/app#appuploadfiles/3a212e50-0954-0ccc-b18c-5244932c2dc5","2026")</f>
      </c>
      <c r="B3672" s="3" t="s">
        <v>13</v>
      </c>
      <c r="C3672" s="4">
        <v>90</v>
      </c>
    </row>
    <row r="3673">
      <c r="A3673" s="5">
        <f>HYPERLINK("https://app-web.statementrec.com/app#appuploadfiles/3a212e51-a2d3-d8f5-3771-e489e59a7a8d","Hollow Estates LTD")</f>
      </c>
      <c r="B3673" s="3" t="s">
        <v>84</v>
      </c>
      <c r="C3673" s="4">
        <v>5</v>
      </c>
    </row>
    <row r="3674">
      <c r="A3674" s="5">
        <f>HYPERLINK("https://app-web.statementrec.com/app#appuploadfiles/3a212e53-2329-8b37-5e66-3efb9a8d2b39","natwest 1.5.26")</f>
      </c>
      <c r="B3674" s="3" t="s">
        <v>12</v>
      </c>
      <c r="C3674" s="4">
        <v>7</v>
      </c>
    </row>
    <row r="3675">
      <c r="A3675" s="5">
        <f>HYPERLINK("https://app-web.statementrec.com/app#appuploadfiles/3a212e55-8ac3-e767-cd7e-0efea6f3a423","feb - april 26")</f>
      </c>
      <c r="B3675" s="3" t="s">
        <v>29</v>
      </c>
      <c r="C3675" s="4">
        <v>7</v>
      </c>
    </row>
    <row r="3676">
      <c r="A3676" s="5">
        <f>HYPERLINK("https://app-web.statementrec.com/app#appuploadfiles/3a212e58-44e2-c10d-1645-810ad9b36dfd","Seemore Media Ltd")</f>
      </c>
      <c r="B3676" s="3" t="s">
        <v>13</v>
      </c>
      <c r="C3676" s="4">
        <v>16</v>
      </c>
    </row>
    <row r="3677">
      <c r="A3677" s="5">
        <f>HYPERLINK("https://app-web.statementrec.com/app#appuploadfiles/3a212e5b-425e-88bc-e87a-1577f361464f","Haywardbefriending Ltd")</f>
      </c>
      <c r="B3677" s="3" t="s">
        <v>3</v>
      </c>
      <c r="C3677" s="4">
        <v>16</v>
      </c>
    </row>
    <row r="3678">
      <c r="A3678" s="5">
        <f>HYPERLINK("https://app-web.statementrec.com/app#appuploadfiles/3a212e63-b47a-1b22-6302-8e005e944ed1","AP Smoke Test 12May2026")</f>
      </c>
      <c r="B3678" s="3" t="s">
        <v>13</v>
      </c>
      <c r="C3678" s="4">
        <v>15</v>
      </c>
    </row>
    <row r="3679">
      <c r="A3679" s="5">
        <f>HYPERLINK("https://app-web.statementrec.com/app#appuploadfiles/3a212e70-b1b0-9d18-ddda-9089330c8197","Europit 2019 Ltd")</f>
      </c>
      <c r="B3679" s="3" t="s">
        <v>242</v>
      </c>
      <c r="C3679" s="4">
        <v>2</v>
      </c>
    </row>
    <row r="3680">
      <c r="A3680" s="5">
        <f>HYPERLINK("https://app-web.statementrec.com/app#appuploadfiles/3a212e75-3299-e173-3c00-1dfce564d0d5","HSBC")</f>
      </c>
      <c r="B3680" s="3" t="s">
        <v>102</v>
      </c>
      <c r="C3680" s="4">
        <v>2</v>
      </c>
    </row>
    <row r="3681">
      <c r="A3681" s="5">
        <f>HYPERLINK("https://app-web.statementrec.com/app#appuploadfiles/3a212e7d-2220-ebd2-282a-c1bf79bfcd24","CCTV 247 Pty Ltd")</f>
      </c>
      <c r="B3681" s="3" t="s">
        <v>264</v>
      </c>
      <c r="C3681" s="4">
        <v>12</v>
      </c>
    </row>
    <row r="3682">
      <c r="A3682" s="5">
        <f>HYPERLINK("https://app-web.statementrec.com/app#appuploadfiles/3a212e7f-48af-6e2f-5124-c88356b5feeb","415 Charlotte DEROUET-RITTER")</f>
      </c>
      <c r="B3682" s="3" t="s">
        <v>56</v>
      </c>
      <c r="C3682" s="4">
        <v>55</v>
      </c>
    </row>
    <row r="3683">
      <c r="A3683" s="5">
        <f>HYPERLINK("https://app-web.statementrec.com/app#appuploadfiles/3a212e8b-9d51-0f26-e441-674c49ea15d8","bodmin 01.04.26 to 30.04.26")</f>
      </c>
      <c r="B3683" s="3" t="s">
        <v>15</v>
      </c>
      <c r="C3683" s="4">
        <v>6</v>
      </c>
    </row>
    <row r="3684">
      <c r="A3684" s="5">
        <f>HYPERLINK("https://app-web.statementrec.com/app#appuploadfiles/3a212e8c-38ac-fbd4-3666-a091fea47175","ZeroG")</f>
      </c>
      <c r="B3684" s="3" t="s">
        <v>11</v>
      </c>
      <c r="C3684" s="4">
        <v>4</v>
      </c>
    </row>
    <row r="3685">
      <c r="A3685" s="5">
        <f>HYPERLINK("https://app-web.statementrec.com/app#appuploadfiles/3a212e8c-41d3-2802-5a6b-1d342f1888d9","lostwithiel 01.04.26 to 30.04.26")</f>
      </c>
      <c r="B3685" s="3" t="s">
        <v>15</v>
      </c>
      <c r="C3685" s="4">
        <v>2</v>
      </c>
    </row>
    <row r="3686">
      <c r="A3686" s="5">
        <f>HYPERLINK("https://app-web.statementrec.com/app#appuploadfiles/3a212e8d-3ed8-6d7f-6954-13731560714a","010425 - 310326")</f>
      </c>
      <c r="B3686" s="3" t="s">
        <v>194</v>
      </c>
      <c r="C3686" s="4">
        <v>14</v>
      </c>
    </row>
    <row r="3687">
      <c r="A3687" s="5">
        <f>HYPERLINK("https://app-web.statementrec.com/app#appuploadfiles/3a212e8d-76a9-5e65-cdaa-56ebcc151667","CCTV 247 Pty Ltd")</f>
      </c>
      <c r="B3687" s="3" t="s">
        <v>264</v>
      </c>
      <c r="C3687" s="4">
        <v>1</v>
      </c>
    </row>
    <row r="3688">
      <c r="A3688" s="5">
        <f>HYPERLINK("https://app-web.statementrec.com/app#appuploadfiles/3a212e92-816a-5fa0-aa72-0346422319f1","capital on tap 28.01.26 to 27.02.26")</f>
      </c>
      <c r="B3688" s="3" t="s">
        <v>52</v>
      </c>
      <c r="C3688" s="4">
        <v>2</v>
      </c>
    </row>
    <row r="3689">
      <c r="A3689" s="5">
        <f>HYPERLINK("https://app-web.statementrec.com/app#appuploadfiles/3a212e94-0db7-1cc0-0997-e607d9a4266c","capital on tap 28.02.26 to 27.03.26")</f>
      </c>
      <c r="B3689" s="3" t="s">
        <v>140</v>
      </c>
      <c r="C3689" s="4">
        <v>2</v>
      </c>
    </row>
    <row r="3690">
      <c r="A3690" s="5">
        <f>HYPERLINK("https://app-web.statementrec.com/app#appuploadfiles/3a212e94-38b6-fcfd-8593-5dac2b32dec9","Industrial Video")</f>
      </c>
      <c r="B3690" s="3" t="s">
        <v>75</v>
      </c>
      <c r="C3690" s="4">
        <v>4</v>
      </c>
    </row>
    <row r="3691">
      <c r="A3691" s="5">
        <f>HYPERLINK("https://app-web.statementrec.com/app#appuploadfiles/3a212e9a-cf04-6b17-5a7e-8537861e8d91","Eyot Construction Ltd")</f>
      </c>
      <c r="B3691" s="3" t="s">
        <v>53</v>
      </c>
      <c r="C3691" s="4">
        <v>16</v>
      </c>
    </row>
    <row r="3692">
      <c r="A3692" s="5">
        <f>HYPERLINK("https://app-web.statementrec.com/app#appuploadfiles/3a212e9a-d71e-961f-822e-674a461a1935","capital on tap 28.03.26 to 27.04.26")</f>
      </c>
      <c r="B3692" s="3" t="s">
        <v>140</v>
      </c>
      <c r="C3692" s="4">
        <v>2</v>
      </c>
    </row>
    <row r="3693">
      <c r="A3693" s="5">
        <f>HYPERLINK("https://app-web.statementrec.com/app#appuploadfiles/3a212ea9-de7f-e3ea-275b-1d27818409f9","Rev Pro April 2026")</f>
      </c>
      <c r="B3693" s="3" t="s">
        <v>718</v>
      </c>
      <c r="C3693" s="4">
        <v>4</v>
      </c>
    </row>
    <row r="3694">
      <c r="A3694" s="5">
        <f>HYPERLINK("https://app-web.statementrec.com/app#appuploadfiles/3a212eaf-7d5e-d8c5-4b6f-67d465801ab8","Raj kamal kapoor")</f>
      </c>
      <c r="B3694" s="3" t="s">
        <v>19</v>
      </c>
      <c r="C3694" s="4">
        <v>40</v>
      </c>
    </row>
    <row r="3695">
      <c r="A3695" s="5">
        <f>HYPERLINK("https://app-web.statementrec.com/app#appuploadfiles/3a212eb3-c6f2-2e02-ca28-50f86cbae7b5","1052077447")</f>
      </c>
      <c r="B3695" s="3" t="s">
        <v>719</v>
      </c>
      <c r="C3695" s="4">
        <v>22</v>
      </c>
    </row>
    <row r="3696">
      <c r="A3696" s="5">
        <f>HYPERLINK("https://app-web.statementrec.com/app#appuploadfiles/3a212ebe-cb97-e0eb-5b04-7d44cac27d14","DPharm Ltd")</f>
      </c>
      <c r="B3696" s="3" t="s">
        <v>30</v>
      </c>
      <c r="C3696" s="4">
        <v>26</v>
      </c>
    </row>
    <row r="3697">
      <c r="A3697" s="5">
        <f>HYPERLINK("https://app-web.statementrec.com/app#appuploadfiles/3a212ecd-fd9d-e954-91ef-6aebe652f93d","12 may AE post release")</f>
      </c>
      <c r="B3697" s="3" t="s">
        <v>11</v>
      </c>
      <c r="C3697" s="4">
        <v>3</v>
      </c>
    </row>
    <row r="3698">
      <c r="A3698" s="5">
        <f>HYPERLINK("https://app-web.statementrec.com/app#appuploadfiles/3a212ecf-f689-e051-f31a-54f1c478a5da","334 Ramsbury Oxford - BKL")</f>
      </c>
      <c r="B3698" s="3" t="s">
        <v>56</v>
      </c>
      <c r="C3698" s="4">
        <v>60</v>
      </c>
    </row>
    <row r="3699">
      <c r="A3699" s="5">
        <f>HYPERLINK("https://app-web.statementrec.com/app#appuploadfiles/3a212ed3-3e1f-544f-5566-50305a563c66","Hygge")</f>
      </c>
      <c r="B3699" s="3" t="s">
        <v>56</v>
      </c>
      <c r="C3699" s="4">
        <v>4</v>
      </c>
    </row>
    <row r="3700">
      <c r="A3700" s="5">
        <f>HYPERLINK("https://app-web.statementrec.com/app#appuploadfiles/3a212ed9-18c4-5066-638e-a8b846f1ad12","1237482 BC Ltd.")</f>
      </c>
      <c r="B3700" s="3" t="s">
        <v>86</v>
      </c>
      <c r="C3700" s="4">
        <v>1</v>
      </c>
    </row>
    <row r="3701">
      <c r="A3701" s="5">
        <f>HYPERLINK("https://app-web.statementrec.com/app#appuploadfiles/3a212ee5-4690-5daf-9caa-816ab5ef15ba","Feb-Apr 26")</f>
      </c>
      <c r="B3701" s="3" t="s">
        <v>18</v>
      </c>
      <c r="C3701" s="4">
        <v>3</v>
      </c>
    </row>
    <row r="3702">
      <c r="A3702" s="5">
        <f>HYPERLINK("https://app-web.statementrec.com/app#appuploadfiles/3a212ee5-ba95-0a47-c022-b884f726827d","EGR Limited")</f>
      </c>
      <c r="B3702" s="3" t="s">
        <v>12</v>
      </c>
      <c r="C3702" s="4">
        <v>20</v>
      </c>
    </row>
    <row r="3703">
      <c r="A3703" s="5">
        <f>HYPERLINK("https://app-web.statementrec.com/app#appuploadfiles/3a212ee7-de45-59a3-3280-8034e349cd69","Caroline Cummins")</f>
      </c>
      <c r="B3703" s="3" t="s">
        <v>11</v>
      </c>
      <c r="C3703" s="4">
        <v>74</v>
      </c>
    </row>
    <row r="3704">
      <c r="A3704" s="5">
        <f>HYPERLINK("https://app-web.statementrec.com/app#appuploadfiles/3a212ee9-7108-acd4-e69d-30d9f6f2e561","Eskadel Trust")</f>
      </c>
      <c r="B3704" s="3" t="s">
        <v>15</v>
      </c>
      <c r="C3704" s="4">
        <v>4</v>
      </c>
    </row>
    <row r="3705">
      <c r="A3705" s="5">
        <f>HYPERLINK("https://app-web.statementrec.com/app#appuploadfiles/3a212eec-a61c-2cfe-017c-ee0b6f292270","EAST 7 LTD")</f>
      </c>
      <c r="B3705" s="3" t="s">
        <v>70</v>
      </c>
      <c r="C3705" s="4">
        <v>33</v>
      </c>
    </row>
    <row r="3706">
      <c r="A3706" s="5">
        <f>HYPERLINK("https://app-web.statementrec.com/app#appuploadfiles/3a212f09-fc2b-39cb-69b2-eb4a86dfce95","RTM Bank statements")</f>
      </c>
      <c r="B3706" s="3" t="s">
        <v>26</v>
      </c>
      <c r="C3706" s="4">
        <v>6</v>
      </c>
    </row>
    <row r="3707">
      <c r="A3707" s="5">
        <f>HYPERLINK("https://app-web.statementrec.com/app#appuploadfiles/3a212f0e-b875-c12a-fa9e-79c00685cb9e","04 &amp; 05 2026")</f>
      </c>
      <c r="B3707" s="3" t="s">
        <v>33</v>
      </c>
      <c r="C3707" s="4">
        <v>7</v>
      </c>
    </row>
    <row r="3708">
      <c r="A3708" s="5">
        <f>HYPERLINK("https://app-web.statementrec.com/app#appuploadfiles/3a212f16-3248-bb9d-3cb3-cfed32c6af3b","Vehicle Weighing Solutions Limited")</f>
      </c>
      <c r="B3708" s="3" t="s">
        <v>15</v>
      </c>
      <c r="C3708" s="4">
        <v>63</v>
      </c>
    </row>
    <row r="3709">
      <c r="A3709" s="5">
        <f>HYPERLINK("https://app-web.statementrec.com/app#appuploadfiles/3a212f1c-1867-4ef3-c9e5-b46df91c7127","Jerome Douglas")</f>
      </c>
      <c r="B3709" s="3" t="s">
        <v>56</v>
      </c>
      <c r="C3709" s="4">
        <v>11</v>
      </c>
    </row>
    <row r="3710">
      <c r="A3710" s="5">
        <f>HYPERLINK("https://app-web.statementrec.com/app#appuploadfiles/3a212f21-86a5-a762-7600-ef5f191301be","Enderby Legion Branch 98")</f>
      </c>
      <c r="B3710" s="3" t="s">
        <v>720</v>
      </c>
      <c r="C3710" s="4">
        <v>29</v>
      </c>
    </row>
    <row r="3711">
      <c r="A3711" s="5">
        <f>HYPERLINK("https://app-web.statementrec.com/app#appuploadfiles/3a212f30-379f-9707-f684-9100724d85ca","2026 Mars")</f>
      </c>
      <c r="B3711" s="3" t="s">
        <v>56</v>
      </c>
      <c r="C3711" s="4">
        <v>6</v>
      </c>
    </row>
    <row r="3712">
      <c r="A3712" s="5">
        <f>HYPERLINK("https://app-web.statementrec.com/app#appuploadfiles/3a212f3c-4c8d-7554-f6ca-6f8f2e6d88f5","Bright Horizon")</f>
      </c>
      <c r="B3712" s="3" t="s">
        <v>721</v>
      </c>
      <c r="C3712" s="4">
        <v>222</v>
      </c>
    </row>
    <row r="3713">
      <c r="A3713" s="5">
        <f>HYPERLINK("https://app-web.statementrec.com/app#appuploadfiles/3a212f41-a375-df53-9ca7-7c89a8884be9","2026 03 checking 4155")</f>
      </c>
      <c r="B3713" s="3" t="s">
        <v>722</v>
      </c>
      <c r="C3713" s="4">
        <v>12</v>
      </c>
    </row>
    <row r="3714">
      <c r="A3714" s="5">
        <f>HYPERLINK("https://app-web.statementrec.com/app#appuploadfiles/3a212f6a-cc68-8b4e-ed01-8090c6de1513","02797-KlinmanAndrew")</f>
      </c>
      <c r="B3714" s="3" t="s">
        <v>723</v>
      </c>
      <c r="C3714" s="4">
        <v>1420</v>
      </c>
    </row>
    <row r="3715">
      <c r="A3715" s="5">
        <f>HYPERLINK("https://app-web.statementrec.com/app#appuploadfiles/3a212f8b-430b-07aa-dbcd-6e97304902e0","Restorative Renovations")</f>
      </c>
      <c r="B3715" s="3" t="s">
        <v>724</v>
      </c>
      <c r="C3715" s="4">
        <v>49</v>
      </c>
    </row>
    <row r="3716">
      <c r="A3716" s="5">
        <f>HYPERLINK("https://app-web.statementrec.com/app#appuploadfiles/3a212f92-83f1-db06-09e9-fbb825e21916","02486-CarmelEran")</f>
      </c>
      <c r="B3716" s="3" t="s">
        <v>144</v>
      </c>
      <c r="C3716" s="4">
        <v>38</v>
      </c>
    </row>
    <row r="3717">
      <c r="A3717" s="5">
        <f>HYPERLINK("https://app-web.statementrec.com/app#appuploadfiles/3a212fa4-208e-7313-5017-920634253548","02560-Moore, Brian &amp; Angela")</f>
      </c>
      <c r="B3717" s="3" t="s">
        <v>427</v>
      </c>
      <c r="C3717" s="4">
        <v>27</v>
      </c>
    </row>
    <row r="3718">
      <c r="A3718" s="5">
        <f>HYPERLINK("https://app-web.statementrec.com/app#appuploadfiles/3a212fc8-6233-861a-ae99-1b5817e002bd","Fév à avr 2026")</f>
      </c>
      <c r="B3718" s="3" t="s">
        <v>47</v>
      </c>
      <c r="C3718" s="4">
        <v>16</v>
      </c>
    </row>
    <row r="3719">
      <c r="A3719" s="5">
        <f>HYPERLINK("https://app-web.statementrec.com/app#appuploadfiles/3a212fcc-b9f1-bf4e-e1c7-8404d2d79a46","Fév à avr 2026")</f>
      </c>
      <c r="B3719" s="3" t="s">
        <v>40</v>
      </c>
      <c r="C3719" s="4">
        <v>25</v>
      </c>
    </row>
    <row r="3720">
      <c r="A3720" s="5">
        <f>HYPERLINK("https://app-web.statementrec.com/app#appuploadfiles/3a212fd9-7645-5d58-fd4c-ba8ea7e50b9b","2025 Bank Statements  0588")</f>
      </c>
      <c r="B3720" s="3" t="s">
        <v>60</v>
      </c>
      <c r="C3720" s="4">
        <v>6</v>
      </c>
    </row>
    <row r="3721">
      <c r="A3721" s="5">
        <f>HYPERLINK("https://app-web.statementrec.com/app#appuploadfiles/3a212fe6-2009-ea2f-5993-5135426fd62e","Four Cheers")</f>
      </c>
      <c r="B3721" s="3" t="s">
        <v>58</v>
      </c>
      <c r="C3721" s="4">
        <v>43</v>
      </c>
    </row>
    <row r="3722">
      <c r="A3722" s="5">
        <f>HYPERLINK("https://app-web.statementrec.com/app#appuploadfiles/3a21300c-c795-77da-59b0-578d1e57faee","abril26")</f>
      </c>
      <c r="B3722" s="3" t="s">
        <v>725</v>
      </c>
      <c r="C3722" s="4">
        <v>5</v>
      </c>
    </row>
    <row r="3723">
      <c r="A3723" s="5">
        <f>HYPERLINK("https://app-web.statementrec.com/app#appuploadfiles/3a21305b-509d-5ab1-2fd7-d6d3700db677","Silverstone Trust")</f>
      </c>
      <c r="B3723" s="3" t="s">
        <v>46</v>
      </c>
      <c r="C3723" s="4">
        <v>8</v>
      </c>
    </row>
    <row r="3724">
      <c r="A3724" s="5">
        <f>HYPERLINK("https://app-web.statementrec.com/app#appuploadfiles/3a21305d-2f7a-af69-0ce5-888b2a3ec5e9","Black Ridge Trust")</f>
      </c>
      <c r="B3724" s="3" t="s">
        <v>47</v>
      </c>
      <c r="C3724" s="4">
        <v>11</v>
      </c>
    </row>
    <row r="3725">
      <c r="A3725" s="5">
        <f>HYPERLINK("https://app-web.statementrec.com/app#appuploadfiles/3a21305f-dc81-7251-2cad-365a87935e34","Revive April 2026 2833")</f>
      </c>
      <c r="B3725" s="3" t="s">
        <v>47</v>
      </c>
      <c r="C3725" s="4">
        <v>4</v>
      </c>
    </row>
    <row r="3726">
      <c r="A3726" s="5">
        <f>HYPERLINK("https://app-web.statementrec.com/app#appuploadfiles/3a21307b-c5ca-a9fc-db08-b48e15cc5d0f","Refalletse Primary School")</f>
      </c>
      <c r="B3726" s="3" t="s">
        <v>726</v>
      </c>
      <c r="C3726" s="4">
        <v>18</v>
      </c>
    </row>
    <row r="3727">
      <c r="A3727" s="5">
        <f>HYPERLINK("https://app-web.statementrec.com/app#appuploadfiles/3a2130a7-f0dd-1d07-a143-2fa59fdb0007","Neguin Pty Ltd")</f>
      </c>
      <c r="B3727" s="3" t="s">
        <v>727</v>
      </c>
      <c r="C3727" s="4">
        <v>23</v>
      </c>
    </row>
    <row r="3728">
      <c r="A3728" s="5">
        <f>HYPERLINK("https://app-web.statementrec.com/app#appuploadfiles/3a2130ef-8148-f7e1-5a9f-13940cb9d21d","04.30.2026-4973")</f>
      </c>
      <c r="B3728" s="3" t="s">
        <v>40</v>
      </c>
      <c r="C3728" s="4">
        <v>4</v>
      </c>
    </row>
    <row r="3729">
      <c r="A3729" s="5">
        <f>HYPERLINK("https://app-web.statementrec.com/app#appuploadfiles/3a213115-f2fd-6545-c9df-4845850d5e6a","Omnia Sydney")</f>
      </c>
      <c r="B3729" s="3" t="s">
        <v>214</v>
      </c>
      <c r="C3729" s="4">
        <v>6</v>
      </c>
    </row>
    <row r="3730">
      <c r="A3730" s="5">
        <f>HYPERLINK("https://app-web.statementrec.com/app#appuploadfiles/3a213122-0c9d-1438-1036-920166c3c0c2","GLC Chase visa due 050126 and 060126")</f>
      </c>
      <c r="B3730" s="3" t="s">
        <v>58</v>
      </c>
      <c r="C3730" s="4">
        <v>6</v>
      </c>
    </row>
    <row r="3731">
      <c r="A3731" s="5">
        <f>HYPERLINK("https://app-web.statementrec.com/app#appuploadfiles/3a213132-2e27-b443-9731-6287d0535dac","2025 Statements")</f>
      </c>
      <c r="B3731" s="3" t="s">
        <v>59</v>
      </c>
      <c r="C3731" s="4">
        <v>30</v>
      </c>
    </row>
    <row r="3732">
      <c r="A3732" s="5">
        <f>HYPERLINK("https://app-web.statementrec.com/app#appuploadfiles/3a213166-97b8-5a8c-e28d-56b89b11390c","CC Jan 2026")</f>
      </c>
      <c r="B3732" s="3" t="s">
        <v>466</v>
      </c>
      <c r="C3732" s="4">
        <v>2</v>
      </c>
    </row>
    <row r="3733">
      <c r="A3733" s="5">
        <f>HYPERLINK("https://app-web.statementrec.com/app#appuploadfiles/3a21316c-6430-3441-5634-631b7685ecf1","BS Feb 2026")</f>
      </c>
      <c r="B3733" s="3" t="s">
        <v>181</v>
      </c>
      <c r="C3733" s="4">
        <v>5</v>
      </c>
    </row>
    <row r="3734">
      <c r="A3734" s="5">
        <f>HYPERLINK("https://app-web.statementrec.com/app#appuploadfiles/3a21316f-9aef-c63a-5841-052f73fae086","CC Feb 2026")</f>
      </c>
      <c r="B3734" s="3" t="s">
        <v>466</v>
      </c>
      <c r="C3734" s="4">
        <v>2</v>
      </c>
    </row>
    <row r="3735">
      <c r="A3735" s="5">
        <f>HYPERLINK("https://app-web.statementrec.com/app#appuploadfiles/3a213175-5891-edb5-88a6-1e618f76755a","BS March 2026")</f>
      </c>
      <c r="B3735" s="3" t="s">
        <v>181</v>
      </c>
      <c r="C3735" s="4">
        <v>6</v>
      </c>
    </row>
    <row r="3736">
      <c r="A3736" s="5">
        <f>HYPERLINK("https://app-web.statementrec.com/app#appuploadfiles/3a213178-1d8c-ea1e-1789-c846d9e7f19e","CC March 2026")</f>
      </c>
      <c r="B3736" s="3" t="s">
        <v>158</v>
      </c>
      <c r="C3736" s="4">
        <v>2</v>
      </c>
    </row>
    <row r="3737">
      <c r="A3737" s="5">
        <f>HYPERLINK("https://app-web.statementrec.com/app#appuploadfiles/3a213203-083b-d0f8-1476-7a6487b65012","Kavcastle Ltd")</f>
      </c>
      <c r="B3737" s="3" t="s">
        <v>29</v>
      </c>
      <c r="C3737" s="4">
        <v>1</v>
      </c>
    </row>
    <row r="3738">
      <c r="A3738" s="5">
        <f>HYPERLINK("https://app-web.statementrec.com/app#appuploadfiles/3a213261-29a2-c8b1-c4dd-bff245c620b0","SAAC STEEL")</f>
      </c>
      <c r="B3738" s="3" t="s">
        <v>553</v>
      </c>
      <c r="C3738" s="4">
        <v>57</v>
      </c>
    </row>
    <row r="3739">
      <c r="A3739" s="5">
        <f>HYPERLINK("https://app-web.statementrec.com/app#appuploadfiles/3a21326d-54c0-50fa-0391-4c5a17256151","TFS TECFIN HEAD OFFICE (PTY) LTD")</f>
      </c>
      <c r="B3739" s="3" t="s">
        <v>118</v>
      </c>
      <c r="C3739" s="4">
        <v>6</v>
      </c>
    </row>
    <row r="3740">
      <c r="A3740" s="5">
        <f>HYPERLINK("https://app-web.statementrec.com/app#appuploadfiles/3a213272-3b1c-0573-21de-b37201e46687","DAINTY LITTLE HANDS LIMITED")</f>
      </c>
      <c r="B3740" s="3" t="s">
        <v>18</v>
      </c>
      <c r="C3740" s="4">
        <v>40</v>
      </c>
    </row>
    <row r="3741">
      <c r="A3741" s="5">
        <f>HYPERLINK("https://app-web.statementrec.com/app#appuploadfiles/3a213274-2dc2-fb1f-2825-c6dc3115fdb0","AccountsPrep Accountex")</f>
      </c>
      <c r="B3741" s="3" t="s">
        <v>728</v>
      </c>
      <c r="C3741" s="4">
        <v>10</v>
      </c>
    </row>
    <row r="3742">
      <c r="A3742" s="5">
        <f>HYPERLINK("https://app-web.statementrec.com/app#appuploadfiles/3a213276-187a-a027-ad0f-f46f004d9e3b","Brandon Martin")</f>
      </c>
      <c r="B3742" s="3" t="s">
        <v>75</v>
      </c>
      <c r="C3742" s="4">
        <v>36</v>
      </c>
    </row>
    <row r="3743">
      <c r="A3743" s="5">
        <f>HYPERLINK("https://app-web.statementrec.com/app#appuploadfiles/3a213284-a67f-25b5-611b-43688104bd5b","BILLY MORRIS BUILDING AND LANDSCAPING LTD")</f>
      </c>
      <c r="B3743" s="3" t="s">
        <v>22</v>
      </c>
      <c r="C3743" s="4">
        <v>50</v>
      </c>
    </row>
    <row r="3744">
      <c r="A3744" s="5">
        <f>HYPERLINK("https://app-web.statementrec.com/app#appuploadfiles/3a213285-aaa4-626b-3de9-6a2f954a3cfe","NE Stoves 300426")</f>
      </c>
      <c r="B3744" s="3" t="s">
        <v>12</v>
      </c>
      <c r="C3744" s="4">
        <v>3</v>
      </c>
    </row>
    <row r="3745">
      <c r="A3745" s="5">
        <f>HYPERLINK("https://app-web.statementrec.com/app#appuploadfiles/3a21328a-3259-b74c-5875-69e3b14f0c4d","Prestige")</f>
      </c>
      <c r="B3745" s="3" t="s">
        <v>13</v>
      </c>
      <c r="C3745" s="4">
        <v>6</v>
      </c>
    </row>
    <row r="3746">
      <c r="A3746" s="5">
        <f>HYPERLINK("https://app-web.statementrec.com/app#appuploadfiles/3a21329b-9afb-1b61-1026-bfaf77625e2b","DENVER SERVICES LIMITED")</f>
      </c>
      <c r="B3746" s="3" t="s">
        <v>17</v>
      </c>
      <c r="C3746" s="4">
        <v>61</v>
      </c>
    </row>
    <row r="3747">
      <c r="A3747" s="5">
        <f>HYPERLINK("https://app-web.statementrec.com/app#appuploadfiles/3a21329c-0efb-b5f3-e4a2-5b71618c3933","Accountex AccountsPrep")</f>
      </c>
      <c r="B3747" s="3" t="s">
        <v>728</v>
      </c>
      <c r="C3747" s="4">
        <v>10</v>
      </c>
    </row>
    <row r="3748">
      <c r="A3748" s="5">
        <f>HYPERLINK("https://app-web.statementrec.com/app#appuploadfiles/3a21329e-513a-acda-4fd9-8e7564896d7f","DAV07 - FJ &amp; EG Davison")</f>
      </c>
      <c r="B3748" s="3" t="s">
        <v>17</v>
      </c>
      <c r="C3748" s="4">
        <v>15</v>
      </c>
    </row>
    <row r="3749">
      <c r="A3749" s="5">
        <f>HYPERLINK("https://app-web.statementrec.com/app#appuploadfiles/3a21329e-fb8f-b154-f683-42198a44dab5","APRIL 2026")</f>
      </c>
      <c r="B3749" s="3" t="s">
        <v>264</v>
      </c>
      <c r="C3749" s="4">
        <v>1</v>
      </c>
    </row>
    <row r="3750">
      <c r="A3750" s="5">
        <f>HYPERLINK("https://app-web.statementrec.com/app#appuploadfiles/3a2132a0-32e4-0fac-252b-1ed6e3f43497","Terri Manning AccountsPrep")</f>
      </c>
      <c r="B3750" s="3" t="s">
        <v>84</v>
      </c>
      <c r="C3750" s="4">
        <v>10</v>
      </c>
    </row>
    <row r="3751">
      <c r="A3751" s="5">
        <f>HYPERLINK("https://app-web.statementrec.com/app#appuploadfiles/3a2132b4-8d14-e85b-648f-fdba30fd7221","PA0084 Crackley Garage Ltd")</f>
      </c>
      <c r="B3751" s="3" t="s">
        <v>729</v>
      </c>
      <c r="C3751" s="4">
        <v>228</v>
      </c>
    </row>
    <row r="3752">
      <c r="A3752" s="5">
        <f>HYPERLINK("https://app-web.statementrec.com/app#appuploadfiles/3a2132c1-b3fb-bfd3-72f6-574bc4dc1047","LLK Studio LTD")</f>
      </c>
      <c r="B3752" s="3" t="s">
        <v>29</v>
      </c>
      <c r="C3752" s="4">
        <v>2</v>
      </c>
    </row>
    <row r="3753">
      <c r="A3753" s="5">
        <f>HYPERLINK("https://app-web.statementrec.com/app#appuploadfiles/3a2132c6-12e2-ddf3-6860-15de820412ad","Uptick")</f>
      </c>
      <c r="B3753" s="3" t="s">
        <v>118</v>
      </c>
      <c r="C3753" s="4">
        <v>24</v>
      </c>
    </row>
    <row r="3754">
      <c r="A3754" s="5">
        <f>HYPERLINK("https://app-web.statementrec.com/app#appuploadfiles/3a2132cb-c7da-f9fb-24d6-880d53604c80","ArrayPatch Ltd")</f>
      </c>
      <c r="B3754" s="3" t="s">
        <v>10</v>
      </c>
      <c r="C3754" s="4">
        <v>4</v>
      </c>
    </row>
    <row r="3755">
      <c r="A3755" s="5">
        <f>HYPERLINK("https://app-web.statementrec.com/app#appuploadfiles/3a2132e1-ed5f-4734-1bfc-0cc493c067be","S.G Davies and Sons")</f>
      </c>
      <c r="B3755" s="3" t="s">
        <v>36</v>
      </c>
      <c r="C3755" s="4">
        <v>8</v>
      </c>
    </row>
    <row r="3756">
      <c r="A3756" s="5">
        <f>HYPERLINK("https://app-web.statementrec.com/app#appuploadfiles/3a2132e9-8ee4-0a6c-17f2-590f967204c7","MISSION COFFEE WORKS LIMITED")</f>
      </c>
      <c r="B3756" s="3" t="s">
        <v>43</v>
      </c>
      <c r="C3756" s="4">
        <v>177</v>
      </c>
    </row>
    <row r="3757">
      <c r="A3757" s="5">
        <f>HYPERLINK("https://app-web.statementrec.com/app#appuploadfiles/3a213307-db12-4aba-f0f0-8bb9188820eb","Pau Africa")</f>
      </c>
      <c r="B3757" s="3" t="s">
        <v>730</v>
      </c>
      <c r="C3757" s="4">
        <v>69</v>
      </c>
    </row>
    <row r="3758">
      <c r="A3758" s="5">
        <f>HYPERLINK("https://app-web.statementrec.com/app#appuploadfiles/3a21330c-8fec-b1c9-07ae-481bbad84ad3","TEMANTIMANDZE FAMILY CLINIC")</f>
      </c>
      <c r="B3758" s="3" t="s">
        <v>453</v>
      </c>
      <c r="C3758" s="4">
        <v>43</v>
      </c>
    </row>
    <row r="3759">
      <c r="A3759" s="5">
        <f>HYPERLINK("https://app-web.statementrec.com/app#appuploadfiles/3a213319-1bef-24aa-074f-34a39d8cf91b","Emily James")</f>
      </c>
      <c r="B3759" s="3" t="s">
        <v>12</v>
      </c>
      <c r="C3759" s="4">
        <v>19</v>
      </c>
    </row>
    <row r="3760">
      <c r="A3760" s="5">
        <f>HYPERLINK("https://app-web.statementrec.com/app#appuploadfiles/3a21331a-a892-4024-29f9-0e7d35afae50","OS002C Gurmeher Transport Ltd")</f>
      </c>
      <c r="B3760" s="3" t="s">
        <v>70</v>
      </c>
      <c r="C3760" s="4">
        <v>8</v>
      </c>
    </row>
    <row r="3761">
      <c r="A3761" s="5">
        <f>HYPERLINK("https://app-web.statementrec.com/app#appuploadfiles/3a213321-9c4f-31eb-d8a4-e41942cbf903","Ice cream jones Sales WP")</f>
      </c>
      <c r="B3761" s="3" t="s">
        <v>15</v>
      </c>
      <c r="C3761" s="4">
        <v>7</v>
      </c>
    </row>
    <row r="3762">
      <c r="A3762" s="5">
        <f>HYPERLINK("https://app-web.statementrec.com/app#appuploadfiles/3a213321-a98c-59fc-9890-865c520e7527","Mugdock Investments Limited")</f>
      </c>
      <c r="B3762" s="3" t="s">
        <v>15</v>
      </c>
      <c r="C3762" s="4">
        <v>1</v>
      </c>
    </row>
    <row r="3763">
      <c r="A3763" s="5">
        <f>HYPERLINK("https://app-web.statementrec.com/app#appuploadfiles/3a213339-3833-7d28-ccd9-c9dfb31d529a","Burnhead Croft")</f>
      </c>
      <c r="B3763" s="3" t="s">
        <v>70</v>
      </c>
      <c r="C3763" s="4">
        <v>1</v>
      </c>
    </row>
    <row r="3764">
      <c r="A3764" s="5">
        <f>HYPERLINK("https://app-web.statementrec.com/app#appuploadfiles/3a213339-4943-5fd1-fdd1-6092da190a5d","Jonoway")</f>
      </c>
      <c r="B3764" s="3" t="s">
        <v>80</v>
      </c>
      <c r="C3764" s="4">
        <v>5</v>
      </c>
    </row>
    <row r="3765">
      <c r="A3765" s="5">
        <f>HYPERLINK("https://app-web.statementrec.com/app#appuploadfiles/3a21333a-3fe6-b62f-29b4-9bac7fce197e","Kolo retail")</f>
      </c>
      <c r="B3765" s="3" t="s">
        <v>120</v>
      </c>
      <c r="C3765" s="4">
        <v>62</v>
      </c>
    </row>
    <row r="3766">
      <c r="A3766" s="5">
        <f>HYPERLINK("https://app-web.statementrec.com/app#appuploadfiles/3a21333c-290c-d67c-2edb-57a4c2997bde","MCT ELECTRICAL SERVICES LIMITED")</f>
      </c>
      <c r="B3766" s="3" t="s">
        <v>17</v>
      </c>
      <c r="C3766" s="4">
        <v>68</v>
      </c>
    </row>
    <row r="3767">
      <c r="A3767" s="5">
        <f>HYPERLINK("https://app-web.statementrec.com/app#appuploadfiles/3a21333c-af27-9d3a-8bb2-d368f8a74916","STUDIO CARTER")</f>
      </c>
      <c r="B3767" s="3" t="s">
        <v>70</v>
      </c>
      <c r="C3767" s="4">
        <v>46</v>
      </c>
    </row>
    <row r="3768">
      <c r="A3768" s="5">
        <f>HYPERLINK("https://app-web.statementrec.com/app#appuploadfiles/3a21333e-f3e9-0c0d-7c12-3e4e4829a6ff","DSC Tennis")</f>
      </c>
      <c r="B3768" s="3" t="s">
        <v>17</v>
      </c>
      <c r="C3768" s="4">
        <v>89</v>
      </c>
    </row>
    <row r="3769">
      <c r="A3769" s="5">
        <f>HYPERLINK("https://app-web.statementrec.com/app#appuploadfiles/3a213340-f071-07b3-64f4-51a172e49f3e","Woolton Farm Shop Ltd")</f>
      </c>
      <c r="B3769" s="3" t="s">
        <v>80</v>
      </c>
      <c r="C3769" s="4">
        <v>7</v>
      </c>
    </row>
    <row r="3770">
      <c r="A3770" s="5">
        <f>HYPERLINK("https://app-web.statementrec.com/app#appuploadfiles/3a213343-9b52-fe86-ad90-6d4aa333d589","PHI093 - MR M T PHILLIPS")</f>
      </c>
      <c r="B3770" s="3" t="s">
        <v>12</v>
      </c>
      <c r="C3770" s="4">
        <v>2</v>
      </c>
    </row>
    <row r="3771">
      <c r="A3771" s="5">
        <f>HYPERLINK("https://app-web.statementrec.com/app#appuploadfiles/3a213344-cbd8-41ee-35e5-8370032520dd","C Saunders")</f>
      </c>
      <c r="B3771" s="3" t="s">
        <v>13</v>
      </c>
      <c r="C3771" s="4">
        <v>23</v>
      </c>
    </row>
    <row r="3772">
      <c r="A3772" s="5">
        <f>HYPERLINK("https://app-web.statementrec.com/app#appuploadfiles/3a213352-cead-9ee3-b43e-0574c82c5ee6","Dreamy Doodles Universe Limited")</f>
      </c>
      <c r="B3772" s="3" t="s">
        <v>11</v>
      </c>
      <c r="C3772" s="4">
        <v>14</v>
      </c>
    </row>
    <row r="3773">
      <c r="A3773" s="5">
        <f>HYPERLINK("https://app-web.statementrec.com/app#appuploadfiles/3a213356-13b4-aa3c-04f7-6986488cc7e0","Dr Patrick Mitchell")</f>
      </c>
      <c r="B3773" s="3" t="s">
        <v>33</v>
      </c>
      <c r="C3773" s="4">
        <v>9</v>
      </c>
    </row>
    <row r="3774">
      <c r="A3774" s="5">
        <f>HYPERLINK("https://app-web.statementrec.com/app#appuploadfiles/3a21335b-a42f-b551-f28b-b993fa25d87b","")</f>
      </c>
      <c r="B3774" s="3" t="s">
        <v>118</v>
      </c>
      <c r="C3774" s="4">
        <v>3</v>
      </c>
    </row>
    <row r="3775">
      <c r="A3775" s="5">
        <f>HYPERLINK("https://app-web.statementrec.com/app#appuploadfiles/3a213362-3807-2c6f-b7bd-02d441b0a4c0","Amplo Ltd")</f>
      </c>
      <c r="B3775" s="3" t="s">
        <v>731</v>
      </c>
      <c r="C3775" s="4">
        <v>12</v>
      </c>
    </row>
    <row r="3776">
      <c r="A3776" s="5">
        <f>HYPERLINK("https://app-web.statementrec.com/app#appuploadfiles/3a213362-a307-bf79-afb7-a53d392211a6","KJA Aesthetics Ltd")</f>
      </c>
      <c r="B3776" s="3" t="s">
        <v>123</v>
      </c>
      <c r="C3776" s="4">
        <v>21</v>
      </c>
    </row>
    <row r="3777">
      <c r="A3777" s="5">
        <f>HYPERLINK("https://app-web.statementrec.com/app#appuploadfiles/3a213364-95b8-b84e-11ea-a729cd51dd8c","Georgie Fitts")</f>
      </c>
      <c r="B3777" s="3" t="s">
        <v>70</v>
      </c>
      <c r="C3777" s="4">
        <v>16</v>
      </c>
    </row>
    <row r="3778">
      <c r="A3778" s="5">
        <f>HYPERLINK("https://app-web.statementrec.com/app#appuploadfiles/3a213377-1c10-2726-1957-4fc23628da5c","Paul Hill")</f>
      </c>
      <c r="B3778" s="3" t="s">
        <v>12</v>
      </c>
      <c r="C3778" s="4">
        <v>1</v>
      </c>
    </row>
    <row r="3779">
      <c r="A3779" s="5">
        <f>HYPERLINK("https://app-web.statementrec.com/app#appuploadfiles/3a21337a-99f9-e8c8-dd3c-a99a956fbfb9","CANINE PERFOMANCE")</f>
      </c>
      <c r="B3779" s="3" t="s">
        <v>80</v>
      </c>
      <c r="C3779" s="4">
        <v>6</v>
      </c>
    </row>
    <row r="3780">
      <c r="A3780" s="5">
        <f>HYPERLINK("https://app-web.statementrec.com/app#appuploadfiles/3a213380-4b07-e6b4-a451-632f44f3b996","Blackdog")</f>
      </c>
      <c r="B3780" s="3" t="s">
        <v>10</v>
      </c>
      <c r="C3780" s="4">
        <v>24</v>
      </c>
    </row>
    <row r="3781">
      <c r="A3781" s="5">
        <f>HYPERLINK("https://app-web.statementrec.com/app#appuploadfiles/3a213385-2922-0e6f-7ca8-94ed489f86d7","Clean cut barber 1")</f>
      </c>
      <c r="B3781" s="3" t="s">
        <v>12</v>
      </c>
      <c r="C3781" s="4">
        <v>45</v>
      </c>
    </row>
    <row r="3782">
      <c r="A3782" s="5">
        <f>HYPERLINK("https://app-web.statementrec.com/app#appuploadfiles/3a213391-a8f9-fd5f-3c59-f885fcb76ecc","01.04.26 to 01.05.26")</f>
      </c>
      <c r="B3782" s="3" t="s">
        <v>3</v>
      </c>
      <c r="C3782" s="4">
        <v>3</v>
      </c>
    </row>
    <row r="3783">
      <c r="A3783" s="5">
        <f>HYPERLINK("https://app-web.statementrec.com/app#appuploadfiles/3a213395-835b-f446-0f62-8fad8a34d7c3","Q6 2024-2025")</f>
      </c>
      <c r="B3783" s="3" t="s">
        <v>17</v>
      </c>
      <c r="C3783" s="4">
        <v>7</v>
      </c>
    </row>
    <row r="3784">
      <c r="A3784" s="5">
        <f>HYPERLINK("https://app-web.statementrec.com/app#appuploadfiles/3a213396-4216-1f13-ad7e-ffe4c29510a8","Kingpin Investments and Holdings Ltd")</f>
      </c>
      <c r="B3784" s="3" t="s">
        <v>70</v>
      </c>
      <c r="C3784" s="4">
        <v>1</v>
      </c>
    </row>
    <row r="3785">
      <c r="A3785" s="5">
        <f>HYPERLINK("https://app-web.statementrec.com/app#appuploadfiles/3a21339b-8414-03e8-6f91-06f2c206b4fa","Spicer Catering Ltd")</f>
      </c>
      <c r="B3785" s="3" t="s">
        <v>190</v>
      </c>
      <c r="C3785" s="4">
        <v>7</v>
      </c>
    </row>
    <row r="3786">
      <c r="A3786" s="5">
        <f>HYPERLINK("https://app-web.statementrec.com/app#appuploadfiles/3a21339d-800c-d55e-ff97-ec4b494c704d","Patience Lane Surgery")</f>
      </c>
      <c r="B3786" s="3" t="s">
        <v>123</v>
      </c>
      <c r="C3786" s="4">
        <v>29</v>
      </c>
    </row>
    <row r="3787">
      <c r="A3787" s="5">
        <f>HYPERLINK("https://app-web.statementrec.com/app#appuploadfiles/3a21339f-dce0-c88a-c7da-f95cd8c0fc1c","BROADFIELD PARK AND FLY")</f>
      </c>
      <c r="B3787" s="3" t="s">
        <v>123</v>
      </c>
      <c r="C3787" s="4">
        <v>18</v>
      </c>
    </row>
    <row r="3788">
      <c r="A3788" s="5">
        <f>HYPERLINK("https://app-web.statementrec.com/app#appuploadfiles/3a2133a2-5c0a-5268-07b3-89f703287c00","31st March 2026")</f>
      </c>
      <c r="B3788" s="3" t="s">
        <v>29</v>
      </c>
      <c r="C3788" s="4">
        <v>9</v>
      </c>
    </row>
    <row r="3789">
      <c r="A3789" s="5">
        <f>HYPERLINK("https://app-web.statementrec.com/app#appuploadfiles/3a2133b1-a9b4-49e1-32fa-3978ae8418ba","Bob Heath Visors Ltd")</f>
      </c>
      <c r="B3789" s="3" t="s">
        <v>29</v>
      </c>
      <c r="C3789" s="4">
        <v>3</v>
      </c>
    </row>
    <row r="3790">
      <c r="A3790" s="5">
        <f>HYPERLINK("https://app-web.statementrec.com/app#appuploadfiles/3a2133b4-05d9-6736-9b3e-c9f9182b013d","Q6 Wise Euro 2024-2026")</f>
      </c>
      <c r="B3790" s="3" t="s">
        <v>43</v>
      </c>
      <c r="C3790" s="4">
        <v>2</v>
      </c>
    </row>
    <row r="3791">
      <c r="A3791" s="5">
        <f>HYPERLINK("https://app-web.statementrec.com/app#appuploadfiles/3a2133b4-7ed5-bc98-3e55-3a7a45e00ba7","Q6 Wise USD 2024-2026")</f>
      </c>
      <c r="B3791" s="3" t="s">
        <v>43</v>
      </c>
      <c r="C3791" s="4">
        <v>2</v>
      </c>
    </row>
    <row r="3792">
      <c r="A3792" s="5">
        <f>HYPERLINK("https://app-web.statementrec.com/app#appuploadfiles/3a2133c1-ddff-5d73-062c-1ddc302cd7c2","février à avril 2026")</f>
      </c>
      <c r="B3792" s="3" t="s">
        <v>590</v>
      </c>
      <c r="C3792" s="4">
        <v>3</v>
      </c>
    </row>
    <row r="3793">
      <c r="A3793" s="5">
        <f>HYPERLINK("https://app-web.statementrec.com/app#appuploadfiles/3a2133c2-9cde-88e1-81ed-9d59e1143b41","Cw Fabrication And Construction Limited")</f>
      </c>
      <c r="B3793" s="3" t="s">
        <v>74</v>
      </c>
      <c r="C3793" s="4">
        <v>17</v>
      </c>
    </row>
    <row r="3794">
      <c r="A3794" s="5">
        <f>HYPERLINK("https://app-web.statementrec.com/app#appuploadfiles/3a2133c8-91b3-d60d-6530-1724907145bf","Polly Bianchi")</f>
      </c>
      <c r="B3794" s="3" t="s">
        <v>17</v>
      </c>
      <c r="C3794" s="4">
        <v>14</v>
      </c>
    </row>
    <row r="3795">
      <c r="A3795" s="5">
        <f>HYPERLINK("https://app-web.statementrec.com/app#appuploadfiles/3a2133ca-daca-5462-bd8e-0b34d6663f5e","RAD TRANS LIMITED")</f>
      </c>
      <c r="B3795" s="3" t="s">
        <v>17</v>
      </c>
      <c r="C3795" s="4">
        <v>10</v>
      </c>
    </row>
    <row r="3796">
      <c r="A3796" s="5">
        <f>HYPERLINK("https://app-web.statementrec.com/app#appuploadfiles/3a2133de-930d-8a4a-9ac4-45130f5625fe","Butler &amp; Moss Ltd")</f>
      </c>
      <c r="B3796" s="3" t="s">
        <v>151</v>
      </c>
      <c r="C3796" s="4">
        <v>2</v>
      </c>
    </row>
    <row r="3797">
      <c r="A3797" s="5">
        <f>HYPERLINK("https://app-web.statementrec.com/app#appuploadfiles/3a2133e2-383c-eb87-5407-a330db02a1fa","Laureen Ward")</f>
      </c>
      <c r="B3797" s="3" t="s">
        <v>19</v>
      </c>
      <c r="C3797" s="4">
        <v>26</v>
      </c>
    </row>
    <row r="3798">
      <c r="A3798" s="5">
        <f>HYPERLINK("https://app-web.statementrec.com/app#appuploadfiles/3a2133e5-a006-bd50-45a7-72a30baa6e2a","Nathan Tomkins(1)")</f>
      </c>
      <c r="B3798" s="3" t="s">
        <v>168</v>
      </c>
      <c r="C3798" s="4">
        <v>5</v>
      </c>
    </row>
    <row r="3799">
      <c r="A3799" s="5">
        <f>HYPERLINK("https://app-web.statementrec.com/app#appuploadfiles/3a2133ed-625c-b471-1909-8c7e203c20b2","2025")</f>
      </c>
      <c r="B3799" s="3" t="s">
        <v>21</v>
      </c>
      <c r="C3799" s="4">
        <v>50</v>
      </c>
    </row>
    <row r="3800">
      <c r="A3800" s="5">
        <f>HYPERLINK("https://app-web.statementrec.com/app#appuploadfiles/3a213401-bec4-f92a-d570-86056043f233","Kennedy Residential Ltd (K1037)")</f>
      </c>
      <c r="B3800" s="3" t="s">
        <v>36</v>
      </c>
      <c r="C3800" s="4">
        <v>2</v>
      </c>
    </row>
    <row r="3801">
      <c r="A3801" s="5">
        <f>HYPERLINK("https://app-web.statementrec.com/app#appuploadfiles/3a213409-ddd1-10fe-3c12-82ed16452597","Conscious Choices Therapy")</f>
      </c>
      <c r="B3801" s="3" t="s">
        <v>144</v>
      </c>
      <c r="C3801" s="4">
        <v>39</v>
      </c>
    </row>
    <row r="3802">
      <c r="A3802" s="5">
        <f>HYPERLINK("https://app-web.statementrec.com/app#appuploadfiles/3a21340f-56fa-f921-0d7e-8f1bf1f0ffec","CU005 - CALPOA MEDICAL LIMITED")</f>
      </c>
      <c r="B3802" s="3" t="s">
        <v>11</v>
      </c>
      <c r="C3802" s="4">
        <v>6</v>
      </c>
    </row>
    <row r="3803">
      <c r="A3803" s="5">
        <f>HYPERLINK("https://app-web.statementrec.com/app#appuploadfiles/3a213410-7834-928e-99bf-36048708f30a","Wild Heirloom")</f>
      </c>
      <c r="B3803" s="3" t="s">
        <v>53</v>
      </c>
      <c r="C3803" s="4">
        <v>24</v>
      </c>
    </row>
    <row r="3804">
      <c r="A3804" s="5">
        <f>HYPERLINK("https://app-web.statementrec.com/app#appuploadfiles/3a213421-3776-487f-fe15-4b54d8e6bea1","Abi-Chab Contractors cc")</f>
      </c>
      <c r="B3804" s="3" t="s">
        <v>118</v>
      </c>
      <c r="C3804" s="4">
        <v>14</v>
      </c>
    </row>
    <row r="3805">
      <c r="A3805" s="5">
        <f>HYPERLINK("https://app-web.statementrec.com/app#appuploadfiles/3a213422-0088-856d-3537-7ccdcfcc490d","Year ended 31/03/2026")</f>
      </c>
      <c r="B3805" s="3" t="s">
        <v>15</v>
      </c>
      <c r="C3805" s="4">
        <v>50</v>
      </c>
    </row>
    <row r="3806">
      <c r="A3806" s="5">
        <f>HYPERLINK("https://app-web.statementrec.com/app#appuploadfiles/3a21342c-c2a2-8666-bbcc-458c943f2a5c","Tapp Media Limited")</f>
      </c>
      <c r="B3806" s="3" t="s">
        <v>732</v>
      </c>
      <c r="C3806" s="4">
        <v>13</v>
      </c>
    </row>
    <row r="3807">
      <c r="A3807" s="5">
        <f>HYPERLINK("https://app-web.statementrec.com/app#appuploadfiles/3a21342d-328c-a5e2-97b6-3ca0834fb16a","YE 31.03.26")</f>
      </c>
      <c r="B3807" s="3" t="s">
        <v>47</v>
      </c>
      <c r="C3807" s="4">
        <v>6</v>
      </c>
    </row>
    <row r="3808">
      <c r="A3808" s="5">
        <f>HYPERLINK("https://app-web.statementrec.com/app#appuploadfiles/3a21342d-79b9-5620-2b96-19b8d7fdfbd6","Charles Laming")</f>
      </c>
      <c r="B3808" s="3" t="s">
        <v>18</v>
      </c>
      <c r="C3808" s="4">
        <v>18</v>
      </c>
    </row>
    <row r="3809">
      <c r="A3809" s="5">
        <f>HYPERLINK("https://app-web.statementrec.com/app#appuploadfiles/3a213432-1556-af09-aa80-00e84dd60070","13268")</f>
      </c>
      <c r="B3809" s="3" t="s">
        <v>733</v>
      </c>
      <c r="C3809" s="4">
        <v>133</v>
      </c>
    </row>
    <row r="3810">
      <c r="A3810" s="5">
        <f>HYPERLINK("https://app-web.statementrec.com/app#appuploadfiles/3a213446-591f-8a7b-09bc-45f671edb3c7","Mark Curran")</f>
      </c>
      <c r="B3810" s="3" t="s">
        <v>10</v>
      </c>
      <c r="C3810" s="4">
        <v>1</v>
      </c>
    </row>
    <row r="3811">
      <c r="A3811" s="5">
        <f>HYPERLINK("https://app-web.statementrec.com/app#appuploadfiles/3a213458-3288-94ea-de06-62c46fc09e18","Hiz and Co Limited")</f>
      </c>
      <c r="B3811" s="3" t="s">
        <v>13</v>
      </c>
      <c r="C3811" s="4">
        <v>8</v>
      </c>
    </row>
    <row r="3812">
      <c r="A3812" s="5">
        <f>HYPERLINK("https://app-web.statementrec.com/app#appuploadfiles/3a213470-e01e-8762-5633-b1ec8041c418","Mars, avril 2026")</f>
      </c>
      <c r="B3812" s="3" t="s">
        <v>56</v>
      </c>
      <c r="C3812" s="4">
        <v>10</v>
      </c>
    </row>
    <row r="3813">
      <c r="A3813" s="5">
        <f>HYPERLINK("https://app-web.statementrec.com/app#appuploadfiles/3a213489-36b8-0105-a8f1-08e7ff7b24f3","CompTeq CPA Professional Corporation")</f>
      </c>
      <c r="B3813" s="3" t="s">
        <v>185</v>
      </c>
      <c r="C3813" s="4">
        <v>3</v>
      </c>
    </row>
    <row r="3814">
      <c r="A3814" s="5">
        <f>HYPERLINK("https://app-web.statementrec.com/app#appuploadfiles/3a213489-ed70-5110-b179-ea1530bd9074","August25")</f>
      </c>
      <c r="B3814" s="3" t="s">
        <v>15</v>
      </c>
      <c r="C3814" s="4">
        <v>6</v>
      </c>
    </row>
    <row r="3815">
      <c r="A3815" s="5">
        <f>HYPERLINK("https://app-web.statementrec.com/app#appuploadfiles/3a21348a-526c-c830-c6a0-3953f6703755","Sept25")</f>
      </c>
      <c r="B3815" s="3" t="s">
        <v>40</v>
      </c>
      <c r="C3815" s="4">
        <v>6</v>
      </c>
    </row>
    <row r="3816">
      <c r="A3816" s="5">
        <f>HYPERLINK("https://app-web.statementrec.com/app#appuploadfiles/3a21348a-b1a7-3d89-f67b-2c374447f52e","October25")</f>
      </c>
      <c r="B3816" s="3" t="s">
        <v>673</v>
      </c>
      <c r="C3816" s="4">
        <v>5</v>
      </c>
    </row>
    <row r="3817">
      <c r="A3817" s="5">
        <f>HYPERLINK("https://app-web.statementrec.com/app#appuploadfiles/3a21348b-1e99-efda-204d-3db26bef4ad3","Nov25")</f>
      </c>
      <c r="B3817" s="3" t="s">
        <v>734</v>
      </c>
      <c r="C3817" s="4">
        <v>5</v>
      </c>
    </row>
    <row r="3818">
      <c r="A3818" s="5">
        <f>HYPERLINK("https://app-web.statementrec.com/app#appuploadfiles/3a21348b-7199-9b59-b290-343435ed367a","Dec25")</f>
      </c>
      <c r="B3818" s="3" t="s">
        <v>40</v>
      </c>
      <c r="C3818" s="4">
        <v>5</v>
      </c>
    </row>
    <row r="3819">
      <c r="A3819" s="5">
        <f>HYPERLINK("https://app-web.statementrec.com/app#appuploadfiles/3a213494-0509-a926-b54d-49df07d2d36c","2026 apr bank statement")</f>
      </c>
      <c r="B3819" s="3" t="s">
        <v>144</v>
      </c>
      <c r="C3819" s="4">
        <v>14</v>
      </c>
    </row>
    <row r="3820">
      <c r="A3820" s="5">
        <f>HYPERLINK("https://app-web.statementrec.com/app#appuploadfiles/3a2134cd-a968-1ddf-2673-d1d768ef46a3","Pudumo Primary School")</f>
      </c>
      <c r="B3820" s="3" t="s">
        <v>121</v>
      </c>
      <c r="C3820" s="4">
        <v>1</v>
      </c>
    </row>
    <row r="3821">
      <c r="A3821" s="5">
        <f>HYPERLINK("https://app-web.statementrec.com/app#appuploadfiles/3a2134d5-ae43-bc6c-d779-158c67690923","Miss Sithokozile P Sithole")</f>
      </c>
      <c r="B3821" s="3" t="s">
        <v>80</v>
      </c>
      <c r="C3821" s="4">
        <v>23</v>
      </c>
    </row>
    <row r="3822">
      <c r="A3822" s="5">
        <f>HYPERLINK("https://app-web.statementrec.com/app#appuploadfiles/3a2134e0-0b66-b14a-7f94-5a43139f4476","4-APRIL 2026 SO BANK")</f>
      </c>
      <c r="B3822" s="3" t="s">
        <v>735</v>
      </c>
      <c r="C3822" s="4">
        <v>6</v>
      </c>
    </row>
    <row r="3823">
      <c r="A3823" s="5">
        <f>HYPERLINK("https://app-web.statementrec.com/app#appuploadfiles/3a2134e5-05b4-9882-67b5-d26882cc205b","4-APRIL 2026 SIU CU")</f>
      </c>
      <c r="B3823" s="3" t="s">
        <v>47</v>
      </c>
      <c r="C3823" s="4">
        <v>8</v>
      </c>
    </row>
    <row r="3824">
      <c r="A3824" s="5">
        <f>HYPERLINK("https://app-web.statementrec.com/app#appuploadfiles/3a2134e6-0a94-16c5-db61-2d507ddaa4cf","Strand Valet Centre")</f>
      </c>
      <c r="B3824" s="3" t="s">
        <v>80</v>
      </c>
      <c r="C3824" s="4">
        <v>4</v>
      </c>
    </row>
    <row r="3825">
      <c r="A3825" s="5">
        <f>HYPERLINK("https://app-web.statementrec.com/app#appuploadfiles/3a2134f6-af89-5d42-ff61-ba6eef5620bb","Capitano Ltd")</f>
      </c>
      <c r="B3825" s="3" t="s">
        <v>17</v>
      </c>
      <c r="C3825" s="4">
        <v>13</v>
      </c>
    </row>
    <row r="3826">
      <c r="A3826" s="5">
        <f>HYPERLINK("https://app-web.statementrec.com/app#appuploadfiles/3a213503-4e2b-d71c-7285-6bc51ef54be8","SWB Welding")</f>
      </c>
      <c r="B3826" s="3" t="s">
        <v>736</v>
      </c>
      <c r="C3826" s="4">
        <v>22</v>
      </c>
    </row>
    <row r="3827">
      <c r="A3827" s="5">
        <f>HYPERLINK("https://app-web.statementrec.com/app#appuploadfiles/3a213535-b6c9-86d5-a329-1130714b078f","2025 Chase Safi &amp; Sadat (M Yoor)")</f>
      </c>
      <c r="B3827" s="3" t="s">
        <v>58</v>
      </c>
      <c r="C3827" s="4">
        <v>8</v>
      </c>
    </row>
    <row r="3828">
      <c r="A3828" s="5">
        <f>HYPERLINK("https://app-web.statementrec.com/app#appuploadfiles/3a213547-208a-d97e-a0f4-d1a2eb5d82f2","Welcome Home Alabama Reality")</f>
      </c>
      <c r="B3828" s="3" t="s">
        <v>737</v>
      </c>
      <c r="C3828" s="4">
        <v>26</v>
      </c>
    </row>
    <row r="3829">
      <c r="A3829" s="5">
        <f>HYPERLINK("https://app-web.statementrec.com/app#appuploadfiles/3a213549-e194-a21e-90aa-2f0d74997d51","")</f>
      </c>
      <c r="B3829" s="3" t="s">
        <v>738</v>
      </c>
      <c r="C3829" s="4">
        <v>33</v>
      </c>
    </row>
    <row r="3830">
      <c r="A3830" s="5">
        <f>HYPERLINK("https://app-web.statementrec.com/app#appuploadfiles/3a2135c1-a0aa-84e3-70ec-8b6c626b242f","April 2026")</f>
      </c>
      <c r="B3830" s="3" t="s">
        <v>46</v>
      </c>
      <c r="C3830" s="4">
        <v>4</v>
      </c>
    </row>
    <row r="3831">
      <c r="A3831" s="5">
        <f>HYPERLINK("https://app-web.statementrec.com/app#appuploadfiles/3a21361a-2330-49a2-d1e2-d0bf7f0bb67c","July25")</f>
      </c>
      <c r="B3831" s="3" t="s">
        <v>40</v>
      </c>
      <c r="C3831" s="4">
        <v>7</v>
      </c>
    </row>
    <row r="3832">
      <c r="A3832" s="5">
        <f>HYPERLINK("https://app-web.statementrec.com/app#appuploadfiles/3a2136a4-e950-571b-1247-b06ad71dbbe0","Jindong Pty Ltd")</f>
      </c>
      <c r="B3832" s="3" t="s">
        <v>739</v>
      </c>
      <c r="C3832" s="4">
        <v>2</v>
      </c>
    </row>
    <row r="3833">
      <c r="A3833" s="5">
        <f>HYPERLINK("https://app-web.statementrec.com/app#appuploadfiles/3a213742-c934-9297-8dd1-6ca4ed7b5093","MARND investments( Pty) Ltd")</f>
      </c>
      <c r="B3833" s="3" t="s">
        <v>120</v>
      </c>
      <c r="C3833" s="4">
        <v>23</v>
      </c>
    </row>
    <row r="3834">
      <c r="A3834" s="5">
        <f>HYPERLINK("https://app-web.statementrec.com/app#appuploadfiles/3a213782-df7f-3808-7174-b54dc6d168dc","Eloiza St Trust")</f>
      </c>
      <c r="B3834" s="3" t="s">
        <v>206</v>
      </c>
      <c r="C3834" s="4">
        <v>24</v>
      </c>
    </row>
    <row r="3835">
      <c r="A3835" s="5">
        <f>HYPERLINK("https://app-web.statementrec.com/app#appuploadfiles/3a213785-7086-9675-57d3-a9ef418956ee","2026")</f>
      </c>
      <c r="B3835" s="3" t="s">
        <v>80</v>
      </c>
      <c r="C3835" s="4">
        <v>24</v>
      </c>
    </row>
    <row r="3836">
      <c r="A3836" s="5">
        <f>HYPERLINK("https://app-web.statementrec.com/app#appuploadfiles/3a213791-655b-353e-6b9f-68cd7957d91b","Lucy Barker Limited")</f>
      </c>
      <c r="B3836" s="3" t="s">
        <v>17</v>
      </c>
      <c r="C3836" s="4">
        <v>4</v>
      </c>
    </row>
    <row r="3837">
      <c r="A3837" s="5">
        <f>HYPERLINK("https://app-web.statementrec.com/app#appuploadfiles/3a21379a-1a2a-0621-4560-a9ba627f6a0e","QE April 2026")</f>
      </c>
      <c r="B3837" s="3" t="s">
        <v>10</v>
      </c>
      <c r="C3837" s="4">
        <v>2</v>
      </c>
    </row>
    <row r="3838">
      <c r="A3838" s="5">
        <f>HYPERLINK("https://app-web.statementrec.com/app#appuploadfiles/3a21379e-d0a6-878f-c5d1-a9d70dbb9ec0","01.02.26 - 30.04.26")</f>
      </c>
      <c r="B3838" s="3" t="s">
        <v>123</v>
      </c>
      <c r="C3838" s="4">
        <v>5</v>
      </c>
    </row>
    <row r="3839">
      <c r="A3839" s="5">
        <f>HYPERLINK("https://app-web.statementrec.com/app#appuploadfiles/3a2137a5-b9f4-5a68-d9a4-aa5d0c133bf7","30/09/2025")</f>
      </c>
      <c r="B3839" s="3" t="s">
        <v>40</v>
      </c>
      <c r="C3839" s="4">
        <v>3</v>
      </c>
    </row>
    <row r="3840">
      <c r="A3840" s="5">
        <f>HYPERLINK("https://app-web.statementrec.com/app#appuploadfiles/3a2137b0-8300-d3a8-769d-aaf63095a2fc","Mrs NC Yates")</f>
      </c>
      <c r="B3840" s="3" t="s">
        <v>17</v>
      </c>
      <c r="C3840" s="4">
        <v>5</v>
      </c>
    </row>
    <row r="3841">
      <c r="A3841" s="5">
        <f>HYPERLINK("https://app-web.statementrec.com/app#appuploadfiles/3a2137b4-07a4-7ed5-d278-c959abb4e9e7","Stephen Ballentine")</f>
      </c>
      <c r="B3841" s="3" t="s">
        <v>36</v>
      </c>
      <c r="C3841" s="4">
        <v>117</v>
      </c>
    </row>
    <row r="3842">
      <c r="A3842" s="5">
        <f>HYPERLINK("https://app-web.statementrec.com/app#appuploadfiles/3a2137b8-29e9-8d6c-0f79-e9d1962f4660","AGILE IMPORTS LTD")</f>
      </c>
      <c r="B3842" s="3" t="s">
        <v>11</v>
      </c>
      <c r="C3842" s="4">
        <v>69</v>
      </c>
    </row>
    <row r="3843">
      <c r="A3843" s="5">
        <f>HYPERLINK("https://app-web.statementrec.com/app#appuploadfiles/3a2137cc-5d21-9c1e-9cbc-90f2c0cc8400","Sharon Landlord")</f>
      </c>
      <c r="B3843" s="3" t="s">
        <v>740</v>
      </c>
      <c r="C3843" s="4">
        <v>14</v>
      </c>
    </row>
    <row r="3844">
      <c r="A3844" s="5">
        <f>HYPERLINK("https://app-web.statementrec.com/app#appuploadfiles/3a2137cc-634c-b3f2-b2bd-74aeaec0b674","Cylch Llanfairpwll")</f>
      </c>
      <c r="B3844" s="3" t="s">
        <v>17</v>
      </c>
      <c r="C3844" s="4">
        <v>5</v>
      </c>
    </row>
    <row r="3845">
      <c r="A3845" s="5">
        <f>HYPERLINK("https://app-web.statementrec.com/app#appuploadfiles/3a2137cc-89f3-72f5-bfde-1fb79b4173e7","Stepping Stones Pre-Primary School")</f>
      </c>
      <c r="B3845" s="3" t="s">
        <v>118</v>
      </c>
      <c r="C3845" s="4">
        <v>6</v>
      </c>
    </row>
    <row r="3846">
      <c r="A3846" s="5">
        <f>HYPERLINK("https://app-web.statementrec.com/app#appuploadfiles/3a2137ce-3baf-1cd2-68bc-2f95545c71c3","April 2026")</f>
      </c>
      <c r="B3846" s="3" t="s">
        <v>12</v>
      </c>
      <c r="C3846" s="4">
        <v>16</v>
      </c>
    </row>
    <row r="3847">
      <c r="A3847" s="5">
        <f>HYPERLINK("https://app-web.statementrec.com/app#appuploadfiles/3a2137d4-30da-6b56-8f10-d6fc31ca35c2","STAGG CARPENTRY LTD")</f>
      </c>
      <c r="B3847" s="3" t="s">
        <v>13</v>
      </c>
      <c r="C3847" s="4">
        <v>5</v>
      </c>
    </row>
    <row r="3848">
      <c r="A3848" s="5">
        <f>HYPERLINK("https://app-web.statementrec.com/app#appuploadfiles/3a2137e0-4b33-c1de-61b3-a96e32b83085","Ivoro Ventures")</f>
      </c>
      <c r="B3848" s="3" t="s">
        <v>741</v>
      </c>
      <c r="C3848" s="4">
        <v>2</v>
      </c>
    </row>
    <row r="3849">
      <c r="A3849" s="5">
        <f>HYPERLINK("https://app-web.statementrec.com/app#appuploadfiles/3a2137e1-97c9-77a1-50bd-108f4254fd7c","Glusoft Limited")</f>
      </c>
      <c r="B3849" s="3" t="s">
        <v>18</v>
      </c>
      <c r="C3849" s="4">
        <v>12</v>
      </c>
    </row>
    <row r="3850">
      <c r="A3850" s="5">
        <f>HYPERLINK("https://app-web.statementrec.com/app#appuploadfiles/3a2137e2-d7a5-9b22-8545-339608fc19b6","J235B - Justine Cawley Property Archway")</f>
      </c>
      <c r="B3850" s="3" t="s">
        <v>29</v>
      </c>
      <c r="C3850" s="4">
        <v>5</v>
      </c>
    </row>
    <row r="3851">
      <c r="A3851" s="5">
        <f>HYPERLINK("https://app-web.statementrec.com/app#appuploadfiles/3a2137ee-abe2-e8c2-77da-dedbb273be44","30-04-26")</f>
      </c>
      <c r="B3851" s="3" t="s">
        <v>12</v>
      </c>
      <c r="C3851" s="4">
        <v>3</v>
      </c>
    </row>
    <row r="3852">
      <c r="A3852" s="5">
        <f>HYPERLINK("https://app-web.statementrec.com/app#appuploadfiles/3a2137ef-bb02-e4f8-1856-683740f8f734","WFS Liverpool Ltd")</f>
      </c>
      <c r="B3852" s="3" t="s">
        <v>13</v>
      </c>
      <c r="C3852" s="4">
        <v>8</v>
      </c>
    </row>
    <row r="3853">
      <c r="A3853" s="5">
        <f>HYPERLINK("https://app-web.statementrec.com/app#appuploadfiles/3a2137f3-9fbb-e316-7a65-5ea6baeea2a3","1704 Mark Overend")</f>
      </c>
      <c r="B3853" s="3" t="s">
        <v>17</v>
      </c>
      <c r="C3853" s="4">
        <v>26</v>
      </c>
    </row>
    <row r="3854">
      <c r="A3854" s="5">
        <f>HYPERLINK("https://app-web.statementrec.com/app#appuploadfiles/3a2137f8-a1bf-4b50-886a-bba248070c5b","Revolut")</f>
      </c>
      <c r="B3854" s="3" t="s">
        <v>26</v>
      </c>
      <c r="C3854" s="4">
        <v>59</v>
      </c>
    </row>
    <row r="3855">
      <c r="A3855" s="5">
        <f>HYPERLINK("https://app-web.statementrec.com/app#appuploadfiles/3a2137fc-be98-d00c-ffbb-3b2b736f3e7e","YE 31-12-2026")</f>
      </c>
      <c r="B3855" s="3" t="s">
        <v>3</v>
      </c>
      <c r="C3855" s="4">
        <v>5</v>
      </c>
    </row>
    <row r="3856">
      <c r="A3856" s="5">
        <f>HYPERLINK("https://app-web.statementrec.com/app#appuploadfiles/3a2137ff-834b-8a66-a68d-4badd3b5848c","Riding Rock Ltd")</f>
      </c>
      <c r="B3856" s="3" t="s">
        <v>11</v>
      </c>
      <c r="C3856" s="4">
        <v>19</v>
      </c>
    </row>
    <row r="3857">
      <c r="A3857" s="5">
        <f>HYPERLINK("https://app-web.statementrec.com/app#appuploadfiles/3a213817-7939-141a-aa46-47a4dceba0fb","Sourced By AY")</f>
      </c>
      <c r="B3857" s="3" t="s">
        <v>168</v>
      </c>
      <c r="C3857" s="4">
        <v>3</v>
      </c>
    </row>
    <row r="3858">
      <c r="A3858" s="5">
        <f>HYPERLINK("https://app-web.statementrec.com/app#appuploadfiles/3a21382b-8f5f-3426-d67f-d54c9c399c40","ESA COURIERS LIMITED")</f>
      </c>
      <c r="B3858" s="3" t="s">
        <v>13</v>
      </c>
      <c r="C3858" s="4">
        <v>15</v>
      </c>
    </row>
    <row r="3859">
      <c r="A3859" s="5">
        <f>HYPERLINK("https://app-web.statementrec.com/app#appuploadfiles/3a21383b-841e-72b6-dee2-bb84f183a10e","GC Valeting Ltd")</f>
      </c>
      <c r="B3859" s="3" t="s">
        <v>12</v>
      </c>
      <c r="C3859" s="4">
        <v>1</v>
      </c>
    </row>
    <row r="3860">
      <c r="A3860" s="5">
        <f>HYPERLINK("https://app-web.statementrec.com/app#appuploadfiles/3a21383f-2ed6-89c9-234c-b27f5a983ffd","Michelle Ricciardi")</f>
      </c>
      <c r="B3860" s="3" t="s">
        <v>70</v>
      </c>
      <c r="C3860" s="4">
        <v>22</v>
      </c>
    </row>
    <row r="3861">
      <c r="A3861" s="5">
        <f>HYPERLINK("https://app-web.statementrec.com/app#appuploadfiles/3a213843-5d65-8c2b-00f2-52bd926e9def","QE 30 April 2026")</f>
      </c>
      <c r="B3861" s="3" t="s">
        <v>742</v>
      </c>
      <c r="C3861" s="4">
        <v>11</v>
      </c>
    </row>
    <row r="3862">
      <c r="A3862" s="5">
        <f>HYPERLINK("https://app-web.statementrec.com/app#appuploadfiles/3a213846-bd40-c524-8ac2-fa4c9440e4eb","ATBODYKITS LTD")</f>
      </c>
      <c r="B3862" s="3" t="s">
        <v>84</v>
      </c>
      <c r="C3862" s="4">
        <v>15</v>
      </c>
    </row>
    <row r="3863">
      <c r="A3863" s="5">
        <f>HYPERLINK("https://app-web.statementrec.com/app#appuploadfiles/3a21384e-0d42-15fa-314d-754af3bc0ec5","TS0106D Scott Bowser")</f>
      </c>
      <c r="B3863" s="3" t="s">
        <v>13</v>
      </c>
      <c r="C3863" s="4">
        <v>129</v>
      </c>
    </row>
    <row r="3864">
      <c r="A3864" s="5">
        <f>HYPERLINK("https://app-web.statementrec.com/app#appuploadfiles/3a213859-2471-f1cc-ae09-c5941e0f7d5b","44799-25")</f>
      </c>
      <c r="B3864" s="3" t="s">
        <v>3</v>
      </c>
      <c r="C3864" s="4">
        <v>32</v>
      </c>
    </row>
    <row r="3865">
      <c r="A3865" s="5">
        <f>HYPERLINK("https://app-web.statementrec.com/app#appuploadfiles/3a21385c-4194-68b3-22f0-f2a86f9b0d7e","Production Services Association")</f>
      </c>
      <c r="B3865" s="3" t="s">
        <v>30</v>
      </c>
      <c r="C3865" s="4">
        <v>1</v>
      </c>
    </row>
    <row r="3866">
      <c r="A3866" s="5">
        <f>HYPERLINK("https://app-web.statementrec.com/app#appuploadfiles/3a213861-016f-24f9-44f6-50fc7696272a","UK SPORTS PRODUCTS LIMITED")</f>
      </c>
      <c r="B3866" s="3" t="s">
        <v>17</v>
      </c>
      <c r="C3866" s="4">
        <v>25</v>
      </c>
    </row>
    <row r="3867">
      <c r="A3867" s="5">
        <f>HYPERLINK("https://app-web.statementrec.com/app#appuploadfiles/3a213868-0b80-a564-a205-1f8280b04911","42572-26 April")</f>
      </c>
      <c r="B3867" s="3" t="s">
        <v>40</v>
      </c>
      <c r="C3867" s="4">
        <v>19</v>
      </c>
    </row>
    <row r="3868">
      <c r="A3868" s="5">
        <f>HYPERLINK("https://app-web.statementrec.com/app#appuploadfiles/3a21386a-715b-26ca-771c-0b2a53122254","PhoTo Health Consulting")</f>
      </c>
      <c r="B3868" s="3" t="s">
        <v>17</v>
      </c>
      <c r="C3868" s="4">
        <v>2</v>
      </c>
    </row>
    <row r="3869">
      <c r="A3869" s="5">
        <f>HYPERLINK("https://app-web.statementrec.com/app#appuploadfiles/3a213871-27fc-2813-9d7c-caee860d9d71","Ashler")</f>
      </c>
      <c r="B3869" s="3" t="s">
        <v>3</v>
      </c>
      <c r="C3869" s="4">
        <v>346</v>
      </c>
    </row>
    <row r="3870">
      <c r="A3870" s="5">
        <f>HYPERLINK("https://app-web.statementrec.com/app#appuploadfiles/3a21387c-c802-f517-2e01-6f05aaaf67b5","Trojan Investigations Ltd")</f>
      </c>
      <c r="B3870" s="3" t="s">
        <v>11</v>
      </c>
      <c r="C3870" s="4">
        <v>66</v>
      </c>
    </row>
    <row r="3871">
      <c r="A3871" s="5">
        <f>HYPERLINK("https://app-web.statementrec.com/app#appuploadfiles/3a213881-068c-bc2f-a6dc-e5b0d45a1051","Julie Andrews t/a City Counsel")</f>
      </c>
      <c r="B3871" s="3" t="s">
        <v>19</v>
      </c>
      <c r="C3871" s="4">
        <v>2</v>
      </c>
    </row>
    <row r="3872">
      <c r="A3872" s="5">
        <f>HYPERLINK("https://app-web.statementrec.com/app#appuploadfiles/3a213888-f8aa-3598-af42-ca9bc04f1fc5","Mariann Dodds")</f>
      </c>
      <c r="B3872" s="3" t="s">
        <v>17</v>
      </c>
      <c r="C3872" s="4">
        <v>27</v>
      </c>
    </row>
    <row r="3873">
      <c r="A3873" s="5">
        <f>HYPERLINK("https://app-web.statementrec.com/app#appuploadfiles/3a213889-d69e-822c-6c8a-d0bebf652d2a","CRYSTAL SIGMA LTD")</f>
      </c>
      <c r="B3873" s="3" t="s">
        <v>15</v>
      </c>
      <c r="C3873" s="4">
        <v>79</v>
      </c>
    </row>
    <row r="3874">
      <c r="A3874" s="5">
        <f>HYPERLINK("https://app-web.statementrec.com/app#appuploadfiles/3a213895-c560-dea2-4b31-ac599c932a60","Floorstore (NW) Ltd")</f>
      </c>
      <c r="B3874" s="3" t="s">
        <v>12</v>
      </c>
      <c r="C3874" s="4">
        <v>112</v>
      </c>
    </row>
    <row r="3875">
      <c r="A3875" s="5">
        <f>HYPERLINK("https://app-web.statementrec.com/app#appuploadfiles/3a2138ae-ad4f-4f9b-9943-bf38757d835b","SV Fuels Ltd")</f>
      </c>
      <c r="B3875" s="3" t="s">
        <v>743</v>
      </c>
      <c r="C3875" s="4">
        <v>13</v>
      </c>
    </row>
    <row r="3876">
      <c r="A3876" s="5">
        <f>HYPERLINK("https://app-web.statementrec.com/app#appuploadfiles/3a2138b3-c220-daa3-926e-348a3502b45f","Ajmal Perfume (UK) Ltd")</f>
      </c>
      <c r="B3876" s="3" t="s">
        <v>17</v>
      </c>
      <c r="C3876" s="4">
        <v>2</v>
      </c>
    </row>
    <row r="3877">
      <c r="A3877" s="5">
        <f>HYPERLINK("https://app-web.statementrec.com/app#appuploadfiles/3a2138bc-5373-4ee8-44f0-bf2bc356f1c4","Accs 2025")</f>
      </c>
      <c r="B3877" s="3" t="s">
        <v>26</v>
      </c>
      <c r="C3877" s="4">
        <v>58</v>
      </c>
    </row>
    <row r="3878">
      <c r="A3878" s="5">
        <f>HYPERLINK("https://app-web.statementrec.com/app#appuploadfiles/3a2138c7-b5df-bc71-1175-07ec21a0e59c","So Sassy Dog Grooming")</f>
      </c>
      <c r="B3878" s="3" t="s">
        <v>59</v>
      </c>
      <c r="C3878" s="4">
        <v>13</v>
      </c>
    </row>
    <row r="3879">
      <c r="A3879" s="5">
        <f>HYPERLINK("https://app-web.statementrec.com/app#appuploadfiles/3a2138d2-acf8-a06c-81f9-96701a81d33a","Lloyds 26-27")</f>
      </c>
      <c r="B3879" s="3" t="s">
        <v>406</v>
      </c>
      <c r="C3879" s="4">
        <v>2</v>
      </c>
    </row>
    <row r="3880">
      <c r="A3880" s="5">
        <f>HYPERLINK("https://app-web.statementrec.com/app#appuploadfiles/3a2138d8-4c5a-7e62-f526-52e6de7505bf","BALLPOINT COMPLEX LTD")</f>
      </c>
      <c r="B3880" s="3" t="s">
        <v>11</v>
      </c>
      <c r="C3880" s="4">
        <v>39</v>
      </c>
    </row>
    <row r="3881">
      <c r="A3881" s="5">
        <f>HYPERLINK("https://app-web.statementrec.com/app#appuploadfiles/3a2138e8-9d1e-fcbb-6200-39c66a2405c5","Fév à avr 2026")</f>
      </c>
      <c r="B3881" s="3" t="s">
        <v>158</v>
      </c>
      <c r="C3881" s="4">
        <v>2</v>
      </c>
    </row>
    <row r="3882">
      <c r="A3882" s="5">
        <f>HYPERLINK("https://app-web.statementrec.com/app#appuploadfiles/3a213900-a8bd-46f3-7938-f9819f5c0718","YE 31/03/2027")</f>
      </c>
      <c r="B3882" s="3" t="s">
        <v>26</v>
      </c>
      <c r="C3882" s="4">
        <v>6</v>
      </c>
    </row>
    <row r="3883">
      <c r="A3883" s="5">
        <f>HYPERLINK("https://app-web.statementrec.com/app#appuploadfiles/3a213901-5a25-39c7-2f01-0db4e3b9d841","42572-26 Mar")</f>
      </c>
      <c r="B3883" s="3" t="s">
        <v>242</v>
      </c>
      <c r="C3883" s="4">
        <v>21</v>
      </c>
    </row>
    <row r="3884">
      <c r="A3884" s="5">
        <f>HYPERLINK("https://app-web.statementrec.com/app#appuploadfiles/3a21390e-38bf-3102-79a3-339db35a9b23","Logic Status (PTY) LTD")</f>
      </c>
      <c r="B3884" s="3" t="s">
        <v>38</v>
      </c>
      <c r="C3884" s="4">
        <v>38</v>
      </c>
    </row>
    <row r="3885">
      <c r="A3885" s="5">
        <f>HYPERLINK("https://app-web.statementrec.com/app#appuploadfiles/3a213916-0361-8684-ee4f-a8575edf9b3a","T GEN LIMITED")</f>
      </c>
      <c r="B3885" s="3" t="s">
        <v>11</v>
      </c>
      <c r="C3885" s="4">
        <v>66</v>
      </c>
    </row>
    <row r="3886">
      <c r="A3886" s="5">
        <f>HYPERLINK("https://app-web.statementrec.com/app#appuploadfiles/3a21391d-bbd6-e720-f4dd-a521b6a5c61d","EARTHSENSE SYSTEMS LIMITED")</f>
      </c>
      <c r="B3886" s="3" t="s">
        <v>33</v>
      </c>
      <c r="C3886" s="4">
        <v>28</v>
      </c>
    </row>
    <row r="3887">
      <c r="A3887" s="5">
        <f>HYPERLINK("https://app-web.statementrec.com/app#appuploadfiles/3a213920-1e99-8c4c-62c1-35a1d4aba63b","AU Client 02")</f>
      </c>
      <c r="B3887" s="3" t="s">
        <v>744</v>
      </c>
      <c r="C3887" s="4">
        <v>61</v>
      </c>
    </row>
    <row r="3888">
      <c r="A3888" s="5">
        <f>HYPERLINK("https://app-web.statementrec.com/app#appuploadfiles/3a21393c-a335-2df3-b9b7-a42a728d791c","GIT127 - April Bank")</f>
      </c>
      <c r="B3888" s="3" t="s">
        <v>17</v>
      </c>
      <c r="C3888" s="4">
        <v>6</v>
      </c>
    </row>
    <row r="3889">
      <c r="A3889" s="5">
        <f>HYPERLINK("https://app-web.statementrec.com/app#appuploadfiles/3a213940-e235-2477-f3d5-e484f2e512c4","Chemnovatic")</f>
      </c>
      <c r="B3889" s="3" t="s">
        <v>43</v>
      </c>
      <c r="C3889" s="4">
        <v>46</v>
      </c>
    </row>
    <row r="3890">
      <c r="A3890" s="5">
        <f>HYPERLINK("https://app-web.statementrec.com/app#appuploadfiles/3a21394e-02ec-4fe7-2d5c-b6c3151b884c","Grant White")</f>
      </c>
      <c r="B3890" s="3" t="s">
        <v>17</v>
      </c>
      <c r="C3890" s="4">
        <v>77</v>
      </c>
    </row>
    <row r="3891">
      <c r="A3891" s="5">
        <f>HYPERLINK("https://app-web.statementrec.com/app#appuploadfiles/3a21394f-30b8-99d0-197a-5bfbe46af72d","2026")</f>
      </c>
      <c r="B3891" s="3" t="s">
        <v>10</v>
      </c>
      <c r="C3891" s="4">
        <v>24</v>
      </c>
    </row>
    <row r="3892">
      <c r="A3892" s="5">
        <f>HYPERLINK("https://app-web.statementrec.com/app#appuploadfiles/3a21394f-5fab-a5f4-90df-285aba2ed8a4","Apr 2026 Chk 3782")</f>
      </c>
      <c r="B3892" s="3" t="s">
        <v>745</v>
      </c>
      <c r="C3892" s="4">
        <v>3</v>
      </c>
    </row>
    <row r="3893">
      <c r="A3893" s="5">
        <f>HYPERLINK("https://app-web.statementrec.com/app#appuploadfiles/3a213952-3415-1e5c-0888-1a82541f7cae","2024-10 to 2025-01")</f>
      </c>
      <c r="B3893" s="3" t="s">
        <v>746</v>
      </c>
      <c r="C3893" s="4">
        <v>16</v>
      </c>
    </row>
    <row r="3894">
      <c r="A3894" s="5">
        <f>HYPERLINK("https://app-web.statementrec.com/app#appuploadfiles/3a213953-f840-ba40-872d-10d0ae6cd9b6","Apr 2026 Chk 0903")</f>
      </c>
      <c r="B3894" s="3" t="s">
        <v>40</v>
      </c>
      <c r="C3894" s="4">
        <v>5</v>
      </c>
    </row>
    <row r="3895">
      <c r="A3895" s="5">
        <f>HYPERLINK("https://app-web.statementrec.com/app#appuploadfiles/3a213956-44cf-8940-d3d4-9d48e87fa66e","Apr 2026 CC 4045")</f>
      </c>
      <c r="B3895" s="3" t="s">
        <v>59</v>
      </c>
      <c r="C3895" s="4">
        <v>4</v>
      </c>
    </row>
    <row r="3896">
      <c r="A3896" s="5">
        <f>HYPERLINK("https://app-web.statementrec.com/app#appuploadfiles/3a21395a-bf5a-6bb9-0b33-3e6f003dce52","May 2026")</f>
      </c>
      <c r="B3896" s="3" t="s">
        <v>181</v>
      </c>
      <c r="C3896" s="4">
        <v>12</v>
      </c>
    </row>
    <row r="3897">
      <c r="A3897" s="5">
        <f>HYPERLINK("https://app-web.statementrec.com/app#appuploadfiles/3a21396f-c008-ff5a-dd2a-4ab9d0aa1d1c","AMEX Mar 2026")</f>
      </c>
      <c r="B3897" s="3" t="s">
        <v>59</v>
      </c>
      <c r="C3897" s="4">
        <v>5</v>
      </c>
    </row>
    <row r="3898">
      <c r="A3898" s="5">
        <f>HYPERLINK("https://app-web.statementrec.com/app#appuploadfiles/3a213974-c0e2-2abd-dea4-9fb2d2d3a4b9","ZAFAR IQBAL")</f>
      </c>
      <c r="B3898" s="3" t="s">
        <v>19</v>
      </c>
      <c r="C3898" s="4">
        <v>29</v>
      </c>
    </row>
    <row r="3899">
      <c r="A3899" s="5">
        <f>HYPERLINK("https://app-web.statementrec.com/app#appuploadfiles/3a21398f-9c63-3b37-5990-a0ab015374c9","RMM OpCo Ltd")</f>
      </c>
      <c r="B3899" s="3" t="s">
        <v>158</v>
      </c>
      <c r="C3899" s="4">
        <v>43</v>
      </c>
    </row>
    <row r="3900">
      <c r="A3900" s="5">
        <f>HYPERLINK("https://app-web.statementrec.com/app#appuploadfiles/3a213992-9f54-ab27-76a7-40e575b9c319","1056183")</f>
      </c>
      <c r="B3900" s="3" t="s">
        <v>158</v>
      </c>
      <c r="C3900" s="4">
        <v>107</v>
      </c>
    </row>
    <row r="3901">
      <c r="A3901" s="5">
        <f>HYPERLINK("https://app-web.statementrec.com/app#appuploadfiles/3a2139ad-e9fa-f600-b6a5-e7eb189d6262","Avril 2026")</f>
      </c>
      <c r="B3901" s="3" t="s">
        <v>201</v>
      </c>
      <c r="C3901" s="4">
        <v>3</v>
      </c>
    </row>
    <row r="3902">
      <c r="A3902" s="5">
        <f>HYPERLINK("https://app-web.statementrec.com/app#appuploadfiles/3a2139cf-fda6-88dc-9ae7-34dd9e66d753","2026")</f>
      </c>
      <c r="B3902" s="3" t="s">
        <v>747</v>
      </c>
      <c r="C3902" s="4">
        <v>18</v>
      </c>
    </row>
    <row r="3903">
      <c r="A3903" s="5">
        <f>HYPERLINK("https://app-web.statementrec.com/app#appuploadfiles/3a2139ff-0d2c-9d3e-3061-ffdc6a14b038","May 2026")</f>
      </c>
      <c r="B3903" s="3" t="s">
        <v>748</v>
      </c>
      <c r="C3903" s="4">
        <v>65</v>
      </c>
    </row>
    <row r="3904">
      <c r="A3904" s="5">
        <f>HYPERLINK("https://app-web.statementrec.com/app#appuploadfiles/3a213a2d-3611-2f77-3052-429b35c6b4d7","RJSR")</f>
      </c>
      <c r="B3904" s="3" t="s">
        <v>47</v>
      </c>
      <c r="C3904" s="4">
        <v>13</v>
      </c>
    </row>
    <row r="3905">
      <c r="A3905" s="5">
        <f>HYPERLINK("https://app-web.statementrec.com/app#appuploadfiles/3a213a30-33cd-761d-d11e-ca0bd9a9b057","Castignani J")</f>
      </c>
      <c r="B3905" s="3" t="s">
        <v>46</v>
      </c>
      <c r="C3905" s="4">
        <v>6</v>
      </c>
    </row>
    <row r="3906">
      <c r="A3906" s="5">
        <f>HYPERLINK("https://app-web.statementrec.com/app#appuploadfiles/3a213a52-fb69-6e75-7228-30f3355ecc6d","A R Lean Solutions Ltd")</f>
      </c>
      <c r="B3906" s="3" t="s">
        <v>387</v>
      </c>
      <c r="C3906" s="4">
        <v>12</v>
      </c>
    </row>
    <row r="3907">
      <c r="A3907" s="5">
        <f>HYPERLINK("https://app-web.statementrec.com/app#appuploadfiles/3a213a90-eb85-3c6a-8597-fca9a3c5d727","Chase CC")</f>
      </c>
      <c r="B3907" s="3" t="s">
        <v>58</v>
      </c>
      <c r="C3907" s="4">
        <v>12</v>
      </c>
    </row>
    <row r="3908">
      <c r="A3908" s="5">
        <f>HYPERLINK("https://app-web.statementrec.com/app#appuploadfiles/3a213a95-07c7-269a-617b-893b41baf8c1","02605-KahDamien")</f>
      </c>
      <c r="B3908" s="3" t="s">
        <v>749</v>
      </c>
      <c r="C3908" s="4">
        <v>437</v>
      </c>
    </row>
    <row r="3909">
      <c r="A3909" s="5">
        <f>HYPERLINK("https://app-web.statementrec.com/app#appuploadfiles/3a213aa6-e327-abe0-1a04-8f7b95c85db7","Nedas Holdings ( PTY) Ltd")</f>
      </c>
      <c r="B3909" s="3" t="s">
        <v>326</v>
      </c>
      <c r="C3909" s="4">
        <v>17</v>
      </c>
    </row>
    <row r="3910">
      <c r="A3910" s="5">
        <f>HYPERLINK("https://app-web.statementrec.com/app#appuploadfiles/3a213acd-fc80-4491-c187-a2598bdf4ce7","507661 N.T. LTD.")</f>
      </c>
      <c r="B3910" s="3" t="s">
        <v>750</v>
      </c>
      <c r="C3910" s="4">
        <v>141</v>
      </c>
    </row>
    <row r="3911">
      <c r="A3911" s="5">
        <f>HYPERLINK("https://app-web.statementrec.com/app#appuploadfiles/3a213ad7-2016-4de7-39f0-049ebed82dd5","Gosiel Pty Ltd")</f>
      </c>
      <c r="B3911" s="3" t="s">
        <v>751</v>
      </c>
      <c r="C3911" s="4">
        <v>6</v>
      </c>
    </row>
    <row r="3912">
      <c r="A3912" s="5">
        <f>HYPERLINK("https://app-web.statementrec.com/app#appuploadfiles/3a213b03-517c-152d-0162-6b917f507238","AABE")</f>
      </c>
      <c r="B3912" s="3" t="s">
        <v>46</v>
      </c>
      <c r="C3912" s="4">
        <v>18</v>
      </c>
    </row>
    <row r="3913">
      <c r="A3913" s="5">
        <f>HYPERLINK("https://app-web.statementrec.com/app#appuploadfiles/3a213b04-d162-98d1-c7f0-7079b6a97257","AABE General")</f>
      </c>
      <c r="B3913" s="3" t="s">
        <v>40</v>
      </c>
      <c r="C3913" s="4">
        <v>25</v>
      </c>
    </row>
    <row r="3914">
      <c r="A3914" s="5">
        <f>HYPERLINK("https://app-web.statementrec.com/app#appuploadfiles/3a213b05-d451-78dc-8145-57a03c9a02fe","AABE Endowment")</f>
      </c>
      <c r="B3914" s="3" t="s">
        <v>124</v>
      </c>
      <c r="C3914" s="4">
        <v>15</v>
      </c>
    </row>
    <row r="3915">
      <c r="A3915" s="5">
        <f>HYPERLINK("https://app-web.statementrec.com/app#appuploadfiles/3a213b82-9628-8779-4421-b48d2ccef4e3","ARPIT RATHI")</f>
      </c>
      <c r="B3915" s="3" t="s">
        <v>181</v>
      </c>
      <c r="C3915" s="4">
        <v>4</v>
      </c>
    </row>
    <row r="3916">
      <c r="A3916" s="5">
        <f>HYPERLINK("https://app-web.statementrec.com/app#appuploadfiles/3a213c14-c27f-5398-747f-b4e94bfc6f29","Thaismile Trading Limited")</f>
      </c>
      <c r="B3916" s="3" t="s">
        <v>17</v>
      </c>
      <c r="C3916" s="4">
        <v>44</v>
      </c>
    </row>
    <row r="3917">
      <c r="A3917" s="5">
        <f>HYPERLINK("https://app-web.statementrec.com/app#appuploadfiles/3a213c97-e089-b940-2c0c-104763eae167","*GADABOYS TRANSPORT AND LOGISTICS")</f>
      </c>
      <c r="B3917" s="3" t="s">
        <v>80</v>
      </c>
      <c r="C3917" s="4">
        <v>190</v>
      </c>
    </row>
    <row r="3918">
      <c r="A3918" s="5">
        <f>HYPERLINK("https://app-web.statementrec.com/app#appuploadfiles/3a213cad-c443-b308-418c-7574183650f4","HARRY'S STATS")</f>
      </c>
      <c r="B3918" s="3" t="s">
        <v>139</v>
      </c>
      <c r="C3918" s="4">
        <v>8</v>
      </c>
    </row>
    <row r="3919">
      <c r="A3919" s="5">
        <f>HYPERLINK("https://app-web.statementrec.com/app#appuploadfiles/3a213cae-8770-4747-947a-218b2cb2c400","Crowson")</f>
      </c>
      <c r="B3919" s="3" t="s">
        <v>114</v>
      </c>
      <c r="C3919" s="4">
        <v>124</v>
      </c>
    </row>
    <row r="3920">
      <c r="A3920" s="5">
        <f>HYPERLINK("https://app-web.statementrec.com/app#appuploadfiles/3a213cb9-201d-7500-56c8-655d6f65166e","IAIN WATT HAULAGE LTD.")</f>
      </c>
      <c r="B3920" s="3" t="s">
        <v>17</v>
      </c>
      <c r="C3920" s="4">
        <v>10</v>
      </c>
    </row>
    <row r="3921">
      <c r="A3921" s="5">
        <f>HYPERLINK("https://app-web.statementrec.com/app#appuploadfiles/3a213cbb-f3dd-5456-2113-36cc88c64fcf","FASTVIEW360 LIMITED")</f>
      </c>
      <c r="B3921" s="3" t="s">
        <v>18</v>
      </c>
      <c r="C3921" s="4">
        <v>115</v>
      </c>
    </row>
    <row r="3922">
      <c r="A3922" s="5">
        <f>HYPERLINK("https://app-web.statementrec.com/app#appuploadfiles/3a213cc6-a749-fa71-92d4-ce85bc628feb","Mr D Signh")</f>
      </c>
      <c r="B3922" s="3" t="s">
        <v>428</v>
      </c>
      <c r="C3922" s="4">
        <v>16</v>
      </c>
    </row>
    <row r="3923">
      <c r="A3923" s="5">
        <f>HYPERLINK("https://app-web.statementrec.com/app#appuploadfiles/3a213ce4-5b66-cfc5-4da8-91ff40f50c75","AEROTECH ABRASIVES GROUP LIMITED")</f>
      </c>
      <c r="B3923" s="3" t="s">
        <v>17</v>
      </c>
      <c r="C3923" s="4">
        <v>21</v>
      </c>
    </row>
    <row r="3924">
      <c r="A3924" s="5">
        <f>HYPERLINK("https://app-web.statementrec.com/app#appuploadfiles/3a213cf0-1263-5b6e-830d-133ee149ea2b","Neil Minihane")</f>
      </c>
      <c r="B3924" s="3" t="s">
        <v>10</v>
      </c>
      <c r="C3924" s="4">
        <v>4</v>
      </c>
    </row>
    <row r="3925">
      <c r="A3925" s="5">
        <f>HYPERLINK("https://app-web.statementrec.com/app#appuploadfiles/3a213cf1-ecc6-29cb-20a3-d8e741c8f020","MUSCLEWORKS LIMITED")</f>
      </c>
      <c r="B3925" s="3" t="s">
        <v>12</v>
      </c>
      <c r="C3925" s="4">
        <v>4</v>
      </c>
    </row>
    <row r="3926">
      <c r="A3926" s="5">
        <f>HYPERLINK("https://app-web.statementrec.com/app#appuploadfiles/3a213cf4-688a-9a9f-f69b-b52d749fa467","HATIGEN CONSULTING SERVICES LIMITED")</f>
      </c>
      <c r="B3926" s="3" t="s">
        <v>17</v>
      </c>
      <c r="C3926" s="4">
        <v>35</v>
      </c>
    </row>
    <row r="3927">
      <c r="A3927" s="5">
        <f>HYPERLINK("https://app-web.statementrec.com/app#appuploadfiles/3a213cf5-c13b-a553-adae-b6d0a1633186","Dr Shaun Austin - Virgin Business Savings")</f>
      </c>
      <c r="B3927" s="3" t="s">
        <v>29</v>
      </c>
      <c r="C3927" s="4">
        <v>17</v>
      </c>
    </row>
    <row r="3928">
      <c r="A3928" s="5">
        <f>HYPERLINK("https://app-web.statementrec.com/app#appuploadfiles/3a213cf8-3970-3a3b-9490-7f04986112ff","Sam Skidmore 0577")</f>
      </c>
      <c r="B3928" s="3" t="s">
        <v>752</v>
      </c>
      <c r="C3928" s="4">
        <v>37</v>
      </c>
    </row>
    <row r="3929">
      <c r="A3929" s="5">
        <f>HYPERLINK("https://app-web.statementrec.com/app#appuploadfiles/3a213cfa-0dcc-da58-a79b-0fe86a4372b5","Bespoke Construction Build")</f>
      </c>
      <c r="B3929" s="3" t="s">
        <v>15</v>
      </c>
      <c r="C3929" s="4">
        <v>11</v>
      </c>
    </row>
    <row r="3930">
      <c r="A3930" s="5">
        <f>HYPERLINK("https://app-web.statementrec.com/app#appuploadfiles/3a213cfa-0ed0-40db-1668-a213e2820cfa","ICYBERDEFENCE LIMITED")</f>
      </c>
      <c r="B3930" s="3" t="s">
        <v>753</v>
      </c>
      <c r="C3930" s="4">
        <v>8</v>
      </c>
    </row>
    <row r="3931">
      <c r="A3931" s="5">
        <f>HYPERLINK("https://app-web.statementrec.com/app#appuploadfiles/3a213d09-e19f-fb48-ec01-6a5578d12517","RUNNINGBIRD LIMITED")</f>
      </c>
      <c r="B3931" s="3" t="s">
        <v>43</v>
      </c>
      <c r="C3931" s="4">
        <v>6</v>
      </c>
    </row>
    <row r="3932">
      <c r="A3932" s="5">
        <f>HYPERLINK("https://app-web.statementrec.com/app#appuploadfiles/3a213d19-a885-7e5c-957b-4d3ae275a7b4","Adecyn Children's Home")</f>
      </c>
      <c r="B3932" s="3" t="s">
        <v>13</v>
      </c>
      <c r="C3932" s="4">
        <v>227</v>
      </c>
    </row>
    <row r="3933">
      <c r="A3933" s="5">
        <f>HYPERLINK("https://app-web.statementrec.com/app#appuploadfiles/3a213d29-a8bd-f8d4-6c75-7102787c9075","JBL Plumbing &amp; Heating")</f>
      </c>
      <c r="B3933" s="3" t="s">
        <v>11</v>
      </c>
      <c r="C3933" s="4">
        <v>14</v>
      </c>
    </row>
    <row r="3934">
      <c r="A3934" s="5">
        <f>HYPERLINK("https://app-web.statementrec.com/app#appuploadfiles/3a213d5b-637e-61e2-9749-17a145415cac","Farbon Bank Statement April 26 VAT")</f>
      </c>
      <c r="B3934" s="3" t="s">
        <v>15</v>
      </c>
      <c r="C3934" s="4">
        <v>7</v>
      </c>
    </row>
    <row r="3935">
      <c r="A3935" s="5">
        <f>HYPERLINK("https://app-web.statementrec.com/app#appuploadfiles/3a213d67-ccdd-dcc1-dc0b-19499556302e","Diane Barnes T/A Purrfect Cattery")</f>
      </c>
      <c r="B3935" s="3" t="s">
        <v>12</v>
      </c>
      <c r="C3935" s="4">
        <v>31</v>
      </c>
    </row>
    <row r="3936">
      <c r="A3936" s="5">
        <f>HYPERLINK("https://app-web.statementrec.com/app#appuploadfiles/3a213d6c-0359-6ffe-ad38-e7df8d36101f","2025BrendanStack")</f>
      </c>
      <c r="B3936" s="3" t="s">
        <v>10</v>
      </c>
      <c r="C3936" s="4">
        <v>12</v>
      </c>
    </row>
    <row r="3937">
      <c r="A3937" s="5">
        <f>HYPERLINK("https://app-web.statementrec.com/app#appuploadfiles/3a213d73-c091-75b4-3a9d-370ca52f6014","Linguistic Resolutions")</f>
      </c>
      <c r="B3937" s="3" t="s">
        <v>19</v>
      </c>
      <c r="C3937" s="4">
        <v>36</v>
      </c>
    </row>
    <row r="3938">
      <c r="A3938" s="5">
        <f>HYPERLINK("https://app-web.statementrec.com/app#appuploadfiles/3a213d7b-761b-4ec5-05da-57db7058471d","Beau-T Clinic Stockton Heath Ltd")</f>
      </c>
      <c r="B3938" s="3" t="s">
        <v>26</v>
      </c>
      <c r="C3938" s="4">
        <v>18</v>
      </c>
    </row>
    <row r="3939">
      <c r="A3939" s="5">
        <f>HYPERLINK("https://app-web.statementrec.com/app#appuploadfiles/3a213d90-acb0-da09-1e22-74060738a71f","Barlcays 08.05.2026")</f>
      </c>
      <c r="B3939" s="3" t="s">
        <v>18</v>
      </c>
      <c r="C3939" s="4">
        <v>40</v>
      </c>
    </row>
    <row r="3940">
      <c r="A3940" s="5">
        <f>HYPERLINK("https://app-web.statementrec.com/app#appuploadfiles/3a213d9d-560c-7f34-cb74-3bcb485a1128","AIB 094 25.2.2026 - 25.3.2026")</f>
      </c>
      <c r="B3940" s="3" t="s">
        <v>15</v>
      </c>
      <c r="C3940" s="4">
        <v>2</v>
      </c>
    </row>
    <row r="3941">
      <c r="A3941" s="5">
        <f>HYPERLINK("https://app-web.statementrec.com/app#appuploadfiles/3a213d9e-6e5c-940b-64ec-57f3f6d8a591","AIB 094 25.3.2026 - 24.4.2026")</f>
      </c>
      <c r="B3941" s="3" t="s">
        <v>10</v>
      </c>
      <c r="C3941" s="4">
        <v>1</v>
      </c>
    </row>
    <row r="3942">
      <c r="A3942" s="5">
        <f>HYPERLINK("https://app-web.statementrec.com/app#appuploadfiles/3a213da7-f517-a0e9-26fe-dfeddc8a9dde","SHT Pilot")</f>
      </c>
      <c r="B3942" s="3" t="s">
        <v>754</v>
      </c>
      <c r="C3942" s="4">
        <v>22</v>
      </c>
    </row>
    <row r="3943">
      <c r="A3943" s="5">
        <f>HYPERLINK("https://app-web.statementrec.com/app#appuploadfiles/3a213db4-10f7-d64f-5845-a8f67399645c","BOISASE")</f>
      </c>
      <c r="B3943" s="3" t="s">
        <v>3</v>
      </c>
      <c r="C3943" s="4">
        <v>5</v>
      </c>
    </row>
    <row r="3944">
      <c r="A3944" s="5">
        <f>HYPERLINK("https://app-web.statementrec.com/app#appuploadfiles/3a213db9-7222-462c-b8c7-c0bbd6a422c1","NOBLE HEALTHCARE LIMITED")</f>
      </c>
      <c r="B3944" s="3" t="s">
        <v>13</v>
      </c>
      <c r="C3944" s="4">
        <v>4</v>
      </c>
    </row>
    <row r="3945">
      <c r="A3945" s="5">
        <f>HYPERLINK("https://app-web.statementrec.com/app#appuploadfiles/3a213dc1-eb10-7a0a-f832-82d2b7742027","Irwins Ltd 2025")</f>
      </c>
      <c r="B3945" s="3" t="s">
        <v>12</v>
      </c>
      <c r="C3945" s="4">
        <v>24</v>
      </c>
    </row>
    <row r="3946">
      <c r="A3946" s="5">
        <f>HYPERLINK("https://app-web.statementrec.com/app#appuploadfiles/3a213dcf-1edb-12f9-27cb-97b6c8794780","ECL02 - Elloughton Construction Ltd")</f>
      </c>
      <c r="B3946" s="3" t="s">
        <v>139</v>
      </c>
      <c r="C3946" s="4">
        <v>17</v>
      </c>
    </row>
    <row r="3947">
      <c r="A3947" s="5">
        <f>HYPERLINK("https://app-web.statementrec.com/app#appuploadfiles/3a213de4-952d-5e82-b09e-55eea09a510e","May 26")</f>
      </c>
      <c r="B3947" s="3" t="s">
        <v>29</v>
      </c>
      <c r="C3947" s="4">
        <v>4</v>
      </c>
    </row>
    <row r="3948">
      <c r="A3948" s="5">
        <f>HYPERLINK("https://app-web.statementrec.com/app#appuploadfiles/3a213de8-321e-71e5-174e-c1b5c182fdaf","NITYA")</f>
      </c>
      <c r="B3948" s="3" t="s">
        <v>755</v>
      </c>
      <c r="C3948" s="4">
        <v>86</v>
      </c>
    </row>
    <row r="3949">
      <c r="A3949" s="5">
        <f>HYPERLINK("https://app-web.statementrec.com/app#appuploadfiles/3a213df0-0cf5-0eee-4ae9-6de0abcd44d5","LIPRAL TRADING (PTY) LTD")</f>
      </c>
      <c r="B3949" s="3" t="s">
        <v>80</v>
      </c>
      <c r="C3949" s="4">
        <v>4</v>
      </c>
    </row>
    <row r="3950">
      <c r="A3950" s="5">
        <f>HYPERLINK("https://app-web.statementrec.com/app#appuploadfiles/3a213df1-4b3b-bd9e-eb88-b97e75f5dd35","TJ Tutors")</f>
      </c>
      <c r="B3950" s="3" t="s">
        <v>84</v>
      </c>
      <c r="C3950" s="4">
        <v>8</v>
      </c>
    </row>
    <row r="3951">
      <c r="A3951" s="5">
        <f>HYPERLINK("https://app-web.statementrec.com/app#appuploadfiles/3a213df2-dc37-d0c4-aa60-56dae7f2dd68","Ahmad Said")</f>
      </c>
      <c r="B3951" s="3" t="s">
        <v>75</v>
      </c>
      <c r="C3951" s="4">
        <v>50</v>
      </c>
    </row>
    <row r="3952">
      <c r="A3952" s="5">
        <f>HYPERLINK("https://app-web.statementrec.com/app#appuploadfiles/3a213e0b-e02e-1164-22ef-a66fa75f343b","O'Neill Housing")</f>
      </c>
      <c r="B3952" s="3" t="s">
        <v>10</v>
      </c>
      <c r="C3952" s="4">
        <v>6</v>
      </c>
    </row>
    <row r="3953">
      <c r="A3953" s="5">
        <f>HYPERLINK("https://app-web.statementrec.com/app#appuploadfiles/3a213e0c-2ba2-696a-c6db-53ebca824deb","MUSCLE FOODS LIMITED")</f>
      </c>
      <c r="B3953" s="3" t="s">
        <v>665</v>
      </c>
      <c r="C3953" s="4">
        <v>402</v>
      </c>
    </row>
    <row r="3954">
      <c r="A3954" s="5">
        <f>HYPERLINK("https://app-web.statementrec.com/app#appuploadfiles/3a213e14-9ad9-909d-11be-c542d7c309a3","MR CHRONO LIMITED")</f>
      </c>
      <c r="B3954" s="3" t="s">
        <v>43</v>
      </c>
      <c r="C3954" s="4">
        <v>13</v>
      </c>
    </row>
    <row r="3955">
      <c r="A3955" s="5">
        <f>HYPERLINK("https://app-web.statementrec.com/app#appuploadfiles/3a213e19-2be4-55cb-43eb-04761bbb88f5","Dai Shazhad")</f>
      </c>
      <c r="B3955" s="3" t="s">
        <v>30</v>
      </c>
      <c r="C3955" s="4">
        <v>2</v>
      </c>
    </row>
    <row r="3956">
      <c r="A3956" s="5">
        <f>HYPERLINK("https://app-web.statementrec.com/app#appuploadfiles/3a213e1f-3c8c-82a2-a625-7efefe408385","MJGILL")</f>
      </c>
      <c r="B3956" s="3" t="s">
        <v>17</v>
      </c>
      <c r="C3956" s="4">
        <v>51</v>
      </c>
    </row>
    <row r="3957">
      <c r="A3957" s="5">
        <f>HYPERLINK("https://app-web.statementrec.com/app#appuploadfiles/3a213e22-7d3f-dd99-6952-e9311756258f","2026 accounts")</f>
      </c>
      <c r="B3957" s="3" t="s">
        <v>17</v>
      </c>
      <c r="C3957" s="4">
        <v>126</v>
      </c>
    </row>
    <row r="3958">
      <c r="A3958" s="5">
        <f>HYPERLINK("https://app-web.statementrec.com/app#appuploadfiles/3a213e35-9ee5-b554-d30f-822f033450b6","UNITAS MANAGEMENT CONSULTING LTD")</f>
      </c>
      <c r="B3958" s="3" t="s">
        <v>26</v>
      </c>
      <c r="C3958" s="4">
        <v>46</v>
      </c>
    </row>
    <row r="3959">
      <c r="A3959" s="5">
        <f>HYPERLINK("https://app-web.statementrec.com/app#appuploadfiles/3a213e35-fca6-bd52-bb44-7380d9084f67","BankMay25")</f>
      </c>
      <c r="B3959" s="3" t="s">
        <v>15</v>
      </c>
      <c r="C3959" s="4">
        <v>4</v>
      </c>
    </row>
    <row r="3960">
      <c r="A3960" s="5">
        <f>HYPERLINK("https://app-web.statementrec.com/app#appuploadfiles/3a213e38-0c5a-502d-ab56-35611618241b","2026-Apr")</f>
      </c>
      <c r="B3960" s="3" t="s">
        <v>15</v>
      </c>
      <c r="C3960" s="4">
        <v>7</v>
      </c>
    </row>
    <row r="3961">
      <c r="A3961" s="5">
        <f>HYPERLINK("https://app-web.statementrec.com/app#appuploadfiles/3a213e54-59ea-d0f2-71c9-9c7a2b613c81","2026 capital one jan 18 to apr 16 2026")</f>
      </c>
      <c r="B3961" s="3" t="s">
        <v>140</v>
      </c>
      <c r="C3961" s="4">
        <v>12</v>
      </c>
    </row>
    <row r="3962">
      <c r="A3962" s="5">
        <f>HYPERLINK("https://app-web.statementrec.com/app#appuploadfiles/3a213e5b-1046-e7df-fd0f-4d356ff7324d","LIDER CONSTRUCTION LTD")</f>
      </c>
      <c r="B3962" s="3" t="s">
        <v>17</v>
      </c>
      <c r="C3962" s="4">
        <v>40</v>
      </c>
    </row>
    <row r="3963">
      <c r="A3963" s="5">
        <f>HYPERLINK("https://app-web.statementrec.com/app#appuploadfiles/3a213e6b-a690-cc05-1770-2c8969a34855","Blenmere Homes Limited")</f>
      </c>
      <c r="B3963" s="3" t="s">
        <v>43</v>
      </c>
      <c r="C3963" s="4">
        <v>3</v>
      </c>
    </row>
    <row r="3964">
      <c r="A3964" s="5">
        <f>HYPERLINK("https://app-web.statementrec.com/app#appuploadfiles/3a213e6e-7865-3ff8-2f6a-b42d9abc07f2","FEB")</f>
      </c>
      <c r="B3964" s="3" t="s">
        <v>144</v>
      </c>
      <c r="C3964" s="4">
        <v>3</v>
      </c>
    </row>
    <row r="3965">
      <c r="A3965" s="5">
        <f>HYPERLINK("https://app-web.statementrec.com/app#appuploadfiles/3a213e6e-d292-33cc-04d3-36529f874150","MAR")</f>
      </c>
      <c r="B3965" s="3" t="s">
        <v>242</v>
      </c>
      <c r="C3965" s="4">
        <v>5</v>
      </c>
    </row>
    <row r="3966">
      <c r="A3966" s="5">
        <f>HYPERLINK("https://app-web.statementrec.com/app#appuploadfiles/3a213e71-ffd6-850e-5284-c42be375d764","RALUKA ENTERPRISE (PTY) LTD")</f>
      </c>
      <c r="B3966" s="3" t="s">
        <v>118</v>
      </c>
      <c r="C3966" s="4">
        <v>3</v>
      </c>
    </row>
    <row r="3967">
      <c r="A3967" s="5">
        <f>HYPERLINK("https://app-web.statementrec.com/app#appuploadfiles/3a213e86-c03c-c517-d8e2-7123d8696800","31 March 2026")</f>
      </c>
      <c r="B3967" s="3" t="s">
        <v>12</v>
      </c>
      <c r="C3967" s="4">
        <v>62</v>
      </c>
    </row>
    <row r="3968">
      <c r="A3968" s="5">
        <f>HYPERLINK("https://app-web.statementrec.com/app#appuploadfiles/3a213e91-c39f-1d39-8e13-1e54925525b8","FNB Private Wealth Account")</f>
      </c>
      <c r="B3968" s="3" t="s">
        <v>80</v>
      </c>
      <c r="C3968" s="4">
        <v>32</v>
      </c>
    </row>
    <row r="3969">
      <c r="A3969" s="5">
        <f>HYPERLINK("https://app-web.statementrec.com/app#appuploadfiles/3a213ec4-347e-2d69-b008-b123c53af4a2","215 Ontario Inc.")</f>
      </c>
      <c r="B3969" s="3" t="s">
        <v>756</v>
      </c>
      <c r="C3969" s="4">
        <v>108</v>
      </c>
    </row>
    <row r="3970">
      <c r="A3970" s="5">
        <f>HYPERLINK("https://app-web.statementrec.com/app#appuploadfiles/3a213ec5-6988-5e27-6edd-5b6379e0da38","MSF BOOKKEEPING &amp; TAXES")</f>
      </c>
      <c r="B3970" s="3" t="s">
        <v>326</v>
      </c>
      <c r="C3970" s="4">
        <v>14</v>
      </c>
    </row>
    <row r="3971">
      <c r="A3971" s="5">
        <f>HYPERLINK("https://app-web.statementrec.com/app#appuploadfiles/3a213eca-2202-7ee1-ce06-f5b53440e3b8","GINIEJMART")</f>
      </c>
      <c r="B3971" s="3" t="s">
        <v>185</v>
      </c>
      <c r="C3971" s="4">
        <v>6</v>
      </c>
    </row>
    <row r="3972">
      <c r="A3972" s="5">
        <f>HYPERLINK("https://app-web.statementrec.com/app#appuploadfiles/3a213ed8-dd07-5c7d-48c9-c8a84ce8a497","25th Sept 2025-24th March 2026")</f>
      </c>
      <c r="B3972" s="3" t="s">
        <v>270</v>
      </c>
      <c r="C3972" s="4">
        <v>13</v>
      </c>
    </row>
    <row r="3973">
      <c r="A3973" s="5">
        <f>HYPERLINK("https://app-web.statementrec.com/app#appuploadfiles/3a213f02-006b-c699-a917-7aabe0b5d9d8","april26")</f>
      </c>
      <c r="B3973" s="3" t="s">
        <v>56</v>
      </c>
      <c r="C3973" s="4">
        <v>5</v>
      </c>
    </row>
    <row r="3974">
      <c r="A3974" s="5">
        <f>HYPERLINK("https://app-web.statementrec.com/app#appuploadfiles/3a213f60-0376-aa2f-4235-45ca345345c5","Its MC Nails")</f>
      </c>
      <c r="B3974" s="3" t="s">
        <v>757</v>
      </c>
      <c r="C3974" s="4">
        <v>11</v>
      </c>
    </row>
    <row r="3975">
      <c r="A3975" s="5">
        <f>HYPERLINK("https://app-web.statementrec.com/app#appuploadfiles/3a213f75-bb86-9170-d035-3b2e52251fd1","J&amp;C Interests, LLC")</f>
      </c>
      <c r="B3975" s="3" t="s">
        <v>26</v>
      </c>
      <c r="C3975" s="4">
        <v>4</v>
      </c>
    </row>
    <row r="3976">
      <c r="A3976" s="5">
        <f>HYPERLINK("https://app-web.statementrec.com/app#appuploadfiles/3a213f76-cc85-264f-c44d-bc6d3c4305e1","Denila Inc.")</f>
      </c>
      <c r="B3976" s="3" t="s">
        <v>758</v>
      </c>
      <c r="C3976" s="4">
        <v>24</v>
      </c>
    </row>
    <row r="3977">
      <c r="A3977" s="5">
        <f>HYPERLINK("https://app-web.statementrec.com/app#appuploadfiles/3a21400e-9543-db63-16d0-74f12ad621e9","2025 Credit Card Safi &amp; Sadat")</f>
      </c>
      <c r="B3977" s="3" t="s">
        <v>40</v>
      </c>
      <c r="C3977" s="4">
        <v>4</v>
      </c>
    </row>
    <row r="3978">
      <c r="A3978" s="5">
        <f>HYPERLINK("https://app-web.statementrec.com/app#appuploadfiles/3a21422c-f0bc-9ff9-70d9-f93f50334166","CMK Electrical")</f>
      </c>
      <c r="B3978" s="3" t="s">
        <v>11</v>
      </c>
      <c r="C3978" s="4">
        <v>69</v>
      </c>
    </row>
    <row r="3979">
      <c r="A3979" s="5">
        <f>HYPERLINK("https://app-web.statementrec.com/app#appuploadfiles/3a2142fb-95e1-e500-dd9c-70ff5860448f","Ignite 2025 LOC 2017")</f>
      </c>
      <c r="B3979" s="3" t="s">
        <v>181</v>
      </c>
      <c r="C3979" s="4">
        <v>2</v>
      </c>
    </row>
    <row r="3980">
      <c r="A3980" s="5">
        <f>HYPERLINK("https://app-web.statementrec.com/app#appuploadfiles/3a2142fb-ff1a-68eb-6dd8-a03dffac94fc","Ignite Visa 1015")</f>
      </c>
      <c r="B3980" s="3" t="s">
        <v>56</v>
      </c>
      <c r="C3980" s="4">
        <v>29</v>
      </c>
    </row>
    <row r="3981">
      <c r="A3981" s="5">
        <f>HYPERLINK("https://app-web.statementrec.com/app#appuploadfiles/3a214305-0e1e-5035-2ed5-fdc8149cb729","Great Northern Safety Bank 2024")</f>
      </c>
      <c r="B3981" s="3" t="s">
        <v>181</v>
      </c>
      <c r="C3981" s="4">
        <v>2</v>
      </c>
    </row>
    <row r="3982">
      <c r="A3982" s="5">
        <f>HYPERLINK("https://app-web.statementrec.com/app#appuploadfiles/3a21431d-cb52-59c6-693c-97f509936b21","YYT 2025 Visa")</f>
      </c>
      <c r="B3982" s="3" t="s">
        <v>466</v>
      </c>
      <c r="C3982" s="4">
        <v>3</v>
      </c>
    </row>
    <row r="3983">
      <c r="A3983" s="5">
        <f>HYPERLINK("https://app-web.statementrec.com/app#appuploadfiles/3a2147dc-b853-f064-64f9-2702d6ef4956","Khans' Shipping and Logistics")</f>
      </c>
      <c r="B3983" s="3" t="s">
        <v>236</v>
      </c>
      <c r="C3983" s="4">
        <v>3</v>
      </c>
    </row>
    <row r="3984">
      <c r="A3984" s="5">
        <f>HYPERLINK("https://app-web.statementrec.com/app#appuploadfiles/3a21487a-040d-811b-1c9a-0752a309ea41","01 Feb 2026 - 30 April 2026")</f>
      </c>
      <c r="B3984" s="3" t="s">
        <v>33</v>
      </c>
      <c r="C3984" s="4">
        <v>12</v>
      </c>
    </row>
    <row r="3985">
      <c r="A3985" s="5">
        <f>HYPERLINK("https://app-web.statementrec.com/app#appuploadfiles/3a214886-1e37-1dcf-fcfc-582c441ecb7c","Andy Wareing")</f>
      </c>
      <c r="B3985" s="3" t="s">
        <v>29</v>
      </c>
      <c r="C3985" s="4">
        <v>2</v>
      </c>
    </row>
    <row r="3986">
      <c r="A3986" s="5">
        <f>HYPERLINK("https://app-web.statementrec.com/app#appuploadfiles/3a2148ab-345e-363c-af8b-b80fb55d3f24","02-04 USB")</f>
      </c>
      <c r="B3986" s="3" t="s">
        <v>759</v>
      </c>
      <c r="C3986" s="4">
        <v>2</v>
      </c>
    </row>
    <row r="3987">
      <c r="A3987" s="5">
        <f>HYPERLINK("https://app-web.statementrec.com/app#appuploadfiles/3a21490b-f151-223b-f4fc-ca015e84077f","DRY 24")</f>
      </c>
      <c r="B3987" s="3" t="s">
        <v>760</v>
      </c>
      <c r="C3987" s="4">
        <v>16</v>
      </c>
    </row>
    <row r="3988">
      <c r="A3988" s="5">
        <f>HYPERLINK("https://app-web.statementrec.com/app#appuploadfiles/3a214965-edc0-5717-876a-29a637b91d32","1Q26")</f>
      </c>
      <c r="B3988" s="3" t="s">
        <v>465</v>
      </c>
      <c r="C3988" s="4">
        <v>18</v>
      </c>
    </row>
    <row r="3989">
      <c r="A3989" s="5">
        <f>HYPERLINK("https://app-web.statementrec.com/app#appuploadfiles/3a2149d3-3a32-87f8-d609-54439b5461ae","Stanley Groundworks")</f>
      </c>
      <c r="B3989" s="3" t="s">
        <v>70</v>
      </c>
      <c r="C3989" s="4">
        <v>67</v>
      </c>
    </row>
    <row r="3990">
      <c r="A3990" s="5">
        <f>HYPERLINK("https://app-web.statementrec.com/app#appuploadfiles/3a214a28-c2b5-33b6-4386-7d1b43340906","AIB Visa April 2026")</f>
      </c>
      <c r="B3990" s="3" t="s">
        <v>10</v>
      </c>
      <c r="C3990" s="4">
        <v>3</v>
      </c>
    </row>
    <row r="3991">
      <c r="A3991" s="5">
        <f>HYPERLINK("https://app-web.statementrec.com/app#appuploadfiles/3a214b02-92fe-80e7-4f8e-cd545398452e","Taelos")</f>
      </c>
      <c r="B3991" s="3" t="s">
        <v>16</v>
      </c>
      <c r="C3991" s="4">
        <v>20</v>
      </c>
    </row>
    <row r="3992">
      <c r="A3992" s="5">
        <f>HYPERLINK("https://app-web.statementrec.com/app#appuploadfiles/3a214bde-a89e-b027-9b6c-dfcff7f1641c","Dr Shiraz A Patel")</f>
      </c>
      <c r="B3992" s="3" t="s">
        <v>118</v>
      </c>
      <c r="C3992" s="4">
        <v>68</v>
      </c>
    </row>
    <row r="3993">
      <c r="A3993" s="5">
        <f>HYPERLINK("https://app-web.statementrec.com/app#appuploadfiles/3a214c30-afeb-b2d3-169d-e10aeae6f9eb","CAFE DU VAN CATERING LIMITED")</f>
      </c>
      <c r="B3993" s="3" t="s">
        <v>17</v>
      </c>
      <c r="C3993" s="4">
        <v>44</v>
      </c>
    </row>
    <row r="3994">
      <c r="A3994" s="5">
        <f>HYPERLINK("https://app-web.statementrec.com/app#appuploadfiles/3a214c32-b134-6169-660f-d102727b39b7","PGO (TRADE) UK LIMITED")</f>
      </c>
      <c r="B3994" s="3" t="s">
        <v>17</v>
      </c>
      <c r="C3994" s="4">
        <v>69</v>
      </c>
    </row>
    <row r="3995">
      <c r="A3995" s="5">
        <f>HYPERLINK("https://app-web.statementrec.com/app#appuploadfiles/3a214c47-7e11-1eb5-1540-8809a5c906ff","LTH CASH &amp; CARRY LIMITED")</f>
      </c>
      <c r="B3995" s="3" t="s">
        <v>17</v>
      </c>
      <c r="C3995" s="4">
        <v>150</v>
      </c>
    </row>
    <row r="3996">
      <c r="A3996" s="5">
        <f>HYPERLINK("https://app-web.statementrec.com/app#appuploadfiles/3a214c4e-148e-f7a1-44c4-aed215c7cf76","45593-25")</f>
      </c>
      <c r="B3996" s="3" t="s">
        <v>10</v>
      </c>
      <c r="C3996" s="4">
        <v>26</v>
      </c>
    </row>
    <row r="3997">
      <c r="A3997" s="5">
        <f>HYPERLINK("https://app-web.statementrec.com/app#appuploadfiles/3a214c57-36e4-81a2-4959-b9fe553f4fa5","Alan Peterson")</f>
      </c>
      <c r="B3997" s="3" t="s">
        <v>40</v>
      </c>
      <c r="C3997" s="4">
        <v>1</v>
      </c>
    </row>
    <row r="3998">
      <c r="A3998" s="5">
        <f>HYPERLINK("https://app-web.statementrec.com/app#appuploadfiles/3a214c58-c6ef-ac69-13e8-9a1290b44432","G.R.C. MAINTENANCE LIMITED")</f>
      </c>
      <c r="B3998" s="3" t="s">
        <v>17</v>
      </c>
      <c r="C3998" s="4">
        <v>43</v>
      </c>
    </row>
    <row r="3999">
      <c r="A3999" s="5">
        <f>HYPERLINK("https://app-web.statementrec.com/app#appuploadfiles/3a214c5a-31d6-002d-cea9-2da08533ef86","OXUS CARS LTD")</f>
      </c>
      <c r="B3999" s="3" t="s">
        <v>17</v>
      </c>
      <c r="C3999" s="4">
        <v>10</v>
      </c>
    </row>
    <row r="4000">
      <c r="A4000" s="5">
        <f>HYPERLINK("https://app-web.statementrec.com/app#appuploadfiles/3a214c60-e747-72c8-42ad-579b7b75aca3","March April Ronan McGrath")</f>
      </c>
      <c r="B4000" s="3" t="s">
        <v>56</v>
      </c>
      <c r="C4000" s="4">
        <v>4</v>
      </c>
    </row>
    <row r="4001">
      <c r="A4001" s="5">
        <f>HYPERLINK("https://app-web.statementrec.com/app#appuploadfiles/3a214c6c-5bca-5036-7a62-fde4e89c0f23","VCH International Ltd")</f>
      </c>
      <c r="B4001" s="3" t="s">
        <v>406</v>
      </c>
      <c r="C4001" s="4">
        <v>12</v>
      </c>
    </row>
    <row r="4002">
      <c r="A4002" s="5">
        <f>HYPERLINK("https://app-web.statementrec.com/app#appuploadfiles/3a214c72-5d56-6919-cd36-d66ff954e351","Galway United FC")</f>
      </c>
      <c r="B4002" s="3" t="s">
        <v>10</v>
      </c>
      <c r="C4002" s="4">
        <v>2</v>
      </c>
    </row>
    <row r="4003">
      <c r="A4003" s="5">
        <f>HYPERLINK("https://app-web.statementrec.com/app#appuploadfiles/3a214c7c-d54c-53f4-6e89-939debf08dff","Mega Haul")</f>
      </c>
      <c r="B4003" s="3" t="s">
        <v>38</v>
      </c>
      <c r="C4003" s="4">
        <v>8</v>
      </c>
    </row>
    <row r="4004">
      <c r="A4004" s="5">
        <f>HYPERLINK("https://app-web.statementrec.com/app#appuploadfiles/3a214c96-d8c3-d574-bea5-3adb76ad4d95","2026")</f>
      </c>
      <c r="B4004" s="3" t="s">
        <v>3</v>
      </c>
      <c r="C4004" s="4">
        <v>12</v>
      </c>
    </row>
    <row r="4005">
      <c r="A4005" s="5">
        <f>HYPERLINK("https://app-web.statementrec.com/app#appuploadfiles/3a214cb6-2367-658d-395a-fc878837877d","Bespoke Brokers")</f>
      </c>
      <c r="B4005" s="3" t="s">
        <v>153</v>
      </c>
      <c r="C4005" s="4">
        <v>5</v>
      </c>
    </row>
    <row r="4006">
      <c r="A4006" s="5">
        <f>HYPERLINK("https://app-web.statementrec.com/app#appuploadfiles/3a214cbb-5c00-c932-b324-12dbd652f1ff","FM Leeds Limited")</f>
      </c>
      <c r="B4006" s="3" t="s">
        <v>13</v>
      </c>
      <c r="C4006" s="4">
        <v>178</v>
      </c>
    </row>
    <row r="4007">
      <c r="A4007" s="5">
        <f>HYPERLINK("https://app-web.statementrec.com/app#appuploadfiles/3a214cd8-47f9-d05e-2b90-aaa998a7964e","Ameena Callender")</f>
      </c>
      <c r="B4007" s="3" t="s">
        <v>16</v>
      </c>
      <c r="C4007" s="4">
        <v>6</v>
      </c>
    </row>
    <row r="4008">
      <c r="A4008" s="5">
        <f>HYPERLINK("https://app-web.statementrec.com/app#appuploadfiles/3a214ce5-620d-a0fb-ed33-694465b4af3b","Barclaycard Feb to Apr 2026")</f>
      </c>
      <c r="B4008" s="3" t="s">
        <v>18</v>
      </c>
      <c r="C4008" s="4">
        <v>4</v>
      </c>
    </row>
    <row r="4009">
      <c r="A4009" s="5">
        <f>HYPERLINK("https://app-web.statementrec.com/app#appuploadfiles/3a214cee-4ad5-b307-9800-70815086c9b3","508 March - May 2026")</f>
      </c>
      <c r="B4009" s="3" t="s">
        <v>17</v>
      </c>
      <c r="C4009" s="4">
        <v>4</v>
      </c>
    </row>
    <row r="4010">
      <c r="A4010" s="5">
        <f>HYPERLINK("https://app-web.statementrec.com/app#appuploadfiles/3a214cee-f569-4231-ca0e-d7e889bb55a8","698 March - May 2026")</f>
      </c>
      <c r="B4010" s="3" t="s">
        <v>17</v>
      </c>
      <c r="C4010" s="4">
        <v>8</v>
      </c>
    </row>
    <row r="4011">
      <c r="A4011" s="5">
        <f>HYPERLINK("https://app-web.statementrec.com/app#appuploadfiles/3a214cf2-8f82-4a30-508c-df4220152ae3","JP TRANSPORT BHAM LTD")</f>
      </c>
      <c r="B4011" s="3" t="s">
        <v>17</v>
      </c>
      <c r="C4011" s="4">
        <v>17</v>
      </c>
    </row>
    <row r="4012">
      <c r="A4012" s="5">
        <f>HYPERLINK("https://app-web.statementrec.com/app#appuploadfiles/3a214cf6-c3d3-f17a-7290-aa4638d52a86","George Smith sole trade")</f>
      </c>
      <c r="B4012" s="3" t="s">
        <v>84</v>
      </c>
      <c r="C4012" s="4">
        <v>25</v>
      </c>
    </row>
    <row r="4013">
      <c r="A4013" s="5">
        <f>HYPERLINK("https://app-web.statementrec.com/app#appuploadfiles/3a214cfb-9a40-7f4f-ae59-317984018852","All Seeing Interactive Ltd")</f>
      </c>
      <c r="B4013" s="3" t="s">
        <v>12</v>
      </c>
      <c r="C4013" s="4">
        <v>9</v>
      </c>
    </row>
    <row r="4014">
      <c r="A4014" s="5">
        <f>HYPERLINK("https://app-web.statementrec.com/app#appuploadfiles/3a214d04-4bd6-ea73-282d-4405693d7de3","FOW807 - April Bank")</f>
      </c>
      <c r="B4014" s="3" t="s">
        <v>316</v>
      </c>
      <c r="C4014" s="4">
        <v>3</v>
      </c>
    </row>
    <row r="4015">
      <c r="A4015" s="5">
        <f>HYPERLINK("https://app-web.statementrec.com/app#appuploadfiles/3a214d1f-48f9-2ac4-093b-50808c40eff6","04.02.26 to  31.03.26")</f>
      </c>
      <c r="B4015" s="3" t="s">
        <v>13</v>
      </c>
      <c r="C4015" s="4">
        <v>4</v>
      </c>
    </row>
    <row r="4016">
      <c r="A4016" s="5">
        <f>HYPERLINK("https://app-web.statementrec.com/app#appuploadfiles/3a214d24-dc58-e693-7698-bf755238cc6d","FRESHERY UK LIMITED")</f>
      </c>
      <c r="B4016" s="3" t="s">
        <v>13</v>
      </c>
      <c r="C4016" s="4">
        <v>179</v>
      </c>
    </row>
    <row r="4017">
      <c r="A4017" s="5">
        <f>HYPERLINK("https://app-web.statementrec.com/app#appuploadfiles/3a214d25-27b0-6f8a-e68e-e46ad924d911","Mac-H Construction Ltd")</f>
      </c>
      <c r="B4017" s="3" t="s">
        <v>3</v>
      </c>
      <c r="C4017" s="4">
        <v>10</v>
      </c>
    </row>
    <row r="4018">
      <c r="A4018" s="5">
        <f>HYPERLINK("https://app-web.statementrec.com/app#appuploadfiles/3a214d2b-36d4-18c8-368f-518c6a7bc5f3","Sambo Granite")</f>
      </c>
      <c r="B4018" s="3" t="s">
        <v>38</v>
      </c>
      <c r="C4018" s="4">
        <v>208</v>
      </c>
    </row>
    <row r="4019">
      <c r="A4019" s="5">
        <f>HYPERLINK("https://app-web.statementrec.com/app#appuploadfiles/3a214d37-25ea-6b75-0819-3064c3e7e8c0","Brian Cotter 2026 Jan to April")</f>
      </c>
      <c r="B4019" s="3" t="s">
        <v>3</v>
      </c>
      <c r="C4019" s="4">
        <v>4</v>
      </c>
    </row>
    <row r="4020">
      <c r="A4020" s="5">
        <f>HYPERLINK("https://app-web.statementrec.com/app#appuploadfiles/3a214d3f-7805-1263-4b66-8de0e7b8b4c5","INTRO-TEK-26")</f>
      </c>
      <c r="B4020" s="3" t="s">
        <v>118</v>
      </c>
      <c r="C4020" s="4">
        <v>17</v>
      </c>
    </row>
    <row r="4021">
      <c r="A4021" s="5">
        <f>HYPERLINK("https://app-web.statementrec.com/app#appuploadfiles/3a214d46-4aef-11eb-4561-b4a388d8925c","30.11.2025")</f>
      </c>
      <c r="B4021" s="3" t="s">
        <v>17</v>
      </c>
      <c r="C4021" s="4">
        <v>10</v>
      </c>
    </row>
    <row r="4022">
      <c r="A4022" s="5">
        <f>HYPERLINK("https://app-web.statementrec.com/app#appuploadfiles/3a214d66-cf3f-b148-1048-64576c004587","15437")</f>
      </c>
      <c r="B4022" s="3" t="s">
        <v>47</v>
      </c>
      <c r="C4022" s="4">
        <v>4</v>
      </c>
    </row>
    <row r="4023">
      <c r="A4023" s="5">
        <f>HYPERLINK("https://app-web.statementrec.com/app#appuploadfiles/3a214d7c-223a-d404-09b8-bf5a8ab6f111","THYME EUROPE LIMITED")</f>
      </c>
      <c r="B4023" s="3" t="s">
        <v>15</v>
      </c>
      <c r="C4023" s="4">
        <v>5</v>
      </c>
    </row>
    <row r="4024">
      <c r="A4024" s="5">
        <f>HYPERLINK("https://app-web.statementrec.com/app#appuploadfiles/3a214d89-a79d-c149-5cf5-a09a7cad8909","Pawpalsco Ltd")</f>
      </c>
      <c r="B4024" s="3" t="s">
        <v>10</v>
      </c>
      <c r="C4024" s="4">
        <v>57</v>
      </c>
    </row>
    <row r="4025">
      <c r="A4025" s="5">
        <f>HYPERLINK("https://app-web.statementrec.com/app#appuploadfiles/3a214d9e-6550-f7f5-97f1-83b77619edd5","Hydra 3D Ltd")</f>
      </c>
      <c r="B4025" s="3" t="s">
        <v>43</v>
      </c>
      <c r="C4025" s="4">
        <v>6</v>
      </c>
    </row>
    <row r="4026">
      <c r="A4026" s="5">
        <f>HYPERLINK("https://app-web.statementrec.com/app#appuploadfiles/3a214d9f-56e8-95bf-c0cc-a5a6c49cbcd1","Ope Meat Distributions (Pty) Ltd")</f>
      </c>
      <c r="B4026" s="3" t="s">
        <v>290</v>
      </c>
      <c r="C4026" s="4">
        <v>6</v>
      </c>
    </row>
    <row r="4027">
      <c r="A4027" s="5">
        <f>HYPERLINK("https://app-web.statementrec.com/app#appuploadfiles/3a214da4-2d9f-4fba-ff62-2396f6c57161","Derbyshire Vision")</f>
      </c>
      <c r="B4027" s="3" t="s">
        <v>12</v>
      </c>
      <c r="C4027" s="4">
        <v>7</v>
      </c>
    </row>
    <row r="4028">
      <c r="A4028" s="5">
        <f>HYPERLINK("https://app-web.statementrec.com/app#appuploadfiles/3a214dab-18e0-2dfb-7660-bec1ef8524c2","ADR Ground Care Ltd")</f>
      </c>
      <c r="B4028" s="3" t="s">
        <v>10</v>
      </c>
      <c r="C4028" s="4">
        <v>14</v>
      </c>
    </row>
    <row r="4029">
      <c r="A4029" s="5">
        <f>HYPERLINK("https://app-web.statementrec.com/app#appuploadfiles/3a214daf-dd8f-274a-85ab-cfac446160d5","Pot Statements")</f>
      </c>
      <c r="B4029" s="3" t="s">
        <v>567</v>
      </c>
      <c r="C4029" s="4">
        <v>4</v>
      </c>
    </row>
    <row r="4030">
      <c r="A4030" s="5">
        <f>HYPERLINK("https://app-web.statementrec.com/app#appuploadfiles/3a214db0-1744-7fae-d638-e017db477730","Savings Statement")</f>
      </c>
      <c r="B4030" s="3" t="s">
        <v>567</v>
      </c>
      <c r="C4030" s="4">
        <v>2</v>
      </c>
    </row>
    <row r="4031">
      <c r="A4031" s="5">
        <f>HYPERLINK("https://app-web.statementrec.com/app#appuploadfiles/3a214db5-b9ef-1e65-acf9-264698d6d101","CHK 8098")</f>
      </c>
      <c r="B4031" s="3" t="s">
        <v>59</v>
      </c>
      <c r="C4031" s="4">
        <v>38</v>
      </c>
    </row>
    <row r="4032">
      <c r="A4032" s="5">
        <f>HYPERLINK("https://app-web.statementrec.com/app#appuploadfiles/3a214dd6-8770-beb1-bd63-c9cbb0e30fd3","Dermologic Ltd")</f>
      </c>
      <c r="B4032" s="3" t="s">
        <v>84</v>
      </c>
      <c r="C4032" s="4">
        <v>7</v>
      </c>
    </row>
    <row r="4033">
      <c r="A4033" s="5">
        <f>HYPERLINK("https://app-web.statementrec.com/app#appuploadfiles/3a214de3-d236-2809-da58-46692ba72e06","09.04.25-01.04.26 AC141")</f>
      </c>
      <c r="B4033" s="3" t="s">
        <v>84</v>
      </c>
      <c r="C4033" s="4">
        <v>34</v>
      </c>
    </row>
    <row r="4034">
      <c r="A4034" s="5">
        <f>HYPERLINK("https://app-web.statementrec.com/app#appuploadfiles/3a214de4-81e1-04c9-bf0a-e8c2d3d5902e","09.04.25-01.04.26 AIB 067")</f>
      </c>
      <c r="B4034" s="3" t="s">
        <v>10</v>
      </c>
      <c r="C4034" s="4">
        <v>36</v>
      </c>
    </row>
    <row r="4035">
      <c r="A4035" s="5">
        <f>HYPERLINK("https://app-web.statementrec.com/app#appuploadfiles/3a214de8-afa7-0772-3589-4e755980afb9","Rotherham Roofing")</f>
      </c>
      <c r="B4035" s="3" t="s">
        <v>17</v>
      </c>
      <c r="C4035" s="4">
        <v>2</v>
      </c>
    </row>
    <row r="4036">
      <c r="A4036" s="5">
        <f>HYPERLINK("https://app-web.statementrec.com/app#appuploadfiles/3a214df9-70e1-2a35-1177-191328cce0e7","NR7")</f>
      </c>
      <c r="B4036" s="3" t="s">
        <v>12</v>
      </c>
      <c r="C4036" s="4">
        <v>7</v>
      </c>
    </row>
    <row r="4037">
      <c r="A4037" s="5">
        <f>HYPERLINK("https://app-web.statementrec.com/app#appuploadfiles/3a214dfd-0f22-5ec2-04ce-3c5572de9188","Indigo Ventures LLC")</f>
      </c>
      <c r="B4037" s="3" t="s">
        <v>47</v>
      </c>
      <c r="C4037" s="4">
        <v>4</v>
      </c>
    </row>
    <row r="4038">
      <c r="A4038" s="5">
        <f>HYPERLINK("https://app-web.statementrec.com/app#appuploadfiles/3a214dfe-8a7b-a516-896d-8ae2ec09ca3a","Indigo LP")</f>
      </c>
      <c r="B4038" s="3" t="s">
        <v>256</v>
      </c>
      <c r="C4038" s="4">
        <v>2</v>
      </c>
    </row>
    <row r="4039">
      <c r="A4039" s="5">
        <f>HYPERLINK("https://app-web.statementrec.com/app#appuploadfiles/3a214e00-3eb9-e628-c0a1-6b9143dd3ed3","Tunitech")</f>
      </c>
      <c r="B4039" s="3" t="s">
        <v>761</v>
      </c>
      <c r="C4039" s="4">
        <v>76</v>
      </c>
    </row>
    <row r="4040">
      <c r="A4040" s="5">
        <f>HYPERLINK("https://app-web.statementrec.com/app#appuploadfiles/3a214e03-edea-7f14-81c3-3ccd757ddb46","CLCU 1.5-18.5")</f>
      </c>
      <c r="B4040" s="3" t="s">
        <v>47</v>
      </c>
      <c r="C4040" s="4">
        <v>5</v>
      </c>
    </row>
    <row r="4041">
      <c r="A4041" s="5">
        <f>HYPERLINK("https://app-web.statementrec.com/app#appuploadfiles/3a214e0c-b10d-e66c-492d-1296f3f6e4a3","Madaket Limited")</f>
      </c>
      <c r="B4041" s="3" t="s">
        <v>17</v>
      </c>
      <c r="C4041" s="4">
        <v>32</v>
      </c>
    </row>
    <row r="4042">
      <c r="A4042" s="5">
        <f>HYPERLINK("https://app-web.statementrec.com/app#appuploadfiles/3a214e0c-ebec-d09a-83e6-3231147dc463","7004303 - Revolut")</f>
      </c>
      <c r="B4042" s="3" t="s">
        <v>26</v>
      </c>
      <c r="C4042" s="4">
        <v>16</v>
      </c>
    </row>
    <row r="4043">
      <c r="A4043" s="5">
        <f>HYPERLINK("https://app-web.statementrec.com/app#appuploadfiles/3a214e1d-325d-9bd5-74ed-d4a12d01022c","Kgori Training Solutions")</f>
      </c>
      <c r="B4043" s="3" t="s">
        <v>290</v>
      </c>
      <c r="C4043" s="4">
        <v>24</v>
      </c>
    </row>
    <row r="4044">
      <c r="A4044" s="5">
        <f>HYPERLINK("https://app-web.statementrec.com/app#appuploadfiles/3a214e2a-e424-19f0-b472-17e2598bb3f8","D&amp;G Properties Limited")</f>
      </c>
      <c r="B4044" s="3" t="s">
        <v>12</v>
      </c>
      <c r="C4044" s="4">
        <v>40</v>
      </c>
    </row>
    <row r="4045">
      <c r="A4045" s="5">
        <f>HYPERLINK("https://app-web.statementrec.com/app#appuploadfiles/3a214e54-8067-7e26-c811-4fa9a0149615","Excelsior Complex Plaza Inc")</f>
      </c>
      <c r="B4045" s="3" t="s">
        <v>58</v>
      </c>
      <c r="C4045" s="4">
        <v>26</v>
      </c>
    </row>
    <row r="4046">
      <c r="A4046" s="5">
        <f>HYPERLINK("https://app-web.statementrec.com/app#appuploadfiles/3a214e5b-bdd7-1aa4-38c1-9063db4ad2ed","SLOVENSKE LAKOCINKY LTD")</f>
      </c>
      <c r="B4046" s="3" t="s">
        <v>12</v>
      </c>
      <c r="C4046" s="4">
        <v>54</v>
      </c>
    </row>
    <row r="4047">
      <c r="A4047" s="5">
        <f>HYPERLINK("https://app-web.statementrec.com/app#appuploadfiles/3a214ea2-1e81-7bea-6bb2-621734360141","Clandeboye Yoghurt Euro")</f>
      </c>
      <c r="B4047" s="3" t="s">
        <v>40</v>
      </c>
      <c r="C4047" s="4">
        <v>2</v>
      </c>
    </row>
    <row r="4048">
      <c r="A4048" s="5">
        <f>HYPERLINK("https://app-web.statementrec.com/app#appuploadfiles/3a214edd-9afd-41b6-f63a-baae7f64ce55","2005947 AB NATYLA CHQ TD 2025 PERSONAL")</f>
      </c>
      <c r="B4048" s="3" t="s">
        <v>185</v>
      </c>
      <c r="C4048" s="4">
        <v>13</v>
      </c>
    </row>
    <row r="4049">
      <c r="A4049" s="5">
        <f>HYPERLINK("https://app-web.statementrec.com/app#appuploadfiles/3a214eec-0d2f-5596-b57b-ad8e6cf3a28e","Harari Amana Fund")</f>
      </c>
      <c r="B4049" s="3" t="s">
        <v>762</v>
      </c>
      <c r="C4049" s="4">
        <v>34</v>
      </c>
    </row>
    <row r="4050">
      <c r="A4050" s="5">
        <f>HYPERLINK("https://app-web.statementrec.com/app#appuploadfiles/3a214f50-b9d5-66fe-70d5-0f1d2a401800","Checking")</f>
      </c>
      <c r="B4050" s="3" t="s">
        <v>763</v>
      </c>
      <c r="C4050" s="4">
        <v>25</v>
      </c>
    </row>
    <row r="4051">
      <c r="A4051" s="5">
        <f>HYPERLINK("https://app-web.statementrec.com/app#appuploadfiles/3a214f5e-d723-3f98-0441-bbf2d27a8cba","SHARP EDGE Q1 2026 JAN TO MARCH ATB")</f>
      </c>
      <c r="B4051" s="3" t="s">
        <v>326</v>
      </c>
      <c r="C4051" s="4">
        <v>18</v>
      </c>
    </row>
    <row r="4052">
      <c r="A4052" s="5">
        <f>HYPERLINK("https://app-web.statementrec.com/app#appuploadfiles/3a214f62-0d35-50f7-1bf0-a411f0cdd1d7","02578-MaloneLisa")</f>
      </c>
      <c r="B4052" s="3" t="s">
        <v>640</v>
      </c>
      <c r="C4052" s="4">
        <v>268</v>
      </c>
    </row>
    <row r="4053">
      <c r="A4053" s="5">
        <f>HYPERLINK("https://app-web.statementrec.com/app#appuploadfiles/3a214f6d-cd90-a645-57f4-a39d7fae2702","SHARP EDGE Q1 2026 JAN TO MARCH ATB MC")</f>
      </c>
      <c r="B4053" s="3" t="s">
        <v>154</v>
      </c>
      <c r="C4053" s="4">
        <v>12</v>
      </c>
    </row>
    <row r="4054">
      <c r="A4054" s="5">
        <f>HYPERLINK("https://app-web.statementrec.com/app#appuploadfiles/3a214f8e-6e00-e1b5-c0ce-5b675acf029d","2023-2024 Tax Year")</f>
      </c>
      <c r="B4054" s="3" t="s">
        <v>58</v>
      </c>
      <c r="C4054" s="4">
        <v>28</v>
      </c>
    </row>
    <row r="4055">
      <c r="A4055" s="5">
        <f>HYPERLINK("https://app-web.statementrec.com/app#appuploadfiles/3a214fa2-8fa9-15a0-d3b3-cdd94ee1913d","Venecia Hall 2025")</f>
      </c>
      <c r="B4055" s="3" t="s">
        <v>58</v>
      </c>
      <c r="C4055" s="4">
        <v>8</v>
      </c>
    </row>
    <row r="4056">
      <c r="A4056" s="5">
        <f>HYPERLINK("https://app-web.statementrec.com/app#appuploadfiles/3a214fa7-a3d8-4805-6705-55c9e7272e09","TAX YEAR 2023")</f>
      </c>
      <c r="B4056" s="3" t="s">
        <v>764</v>
      </c>
      <c r="C4056" s="4">
        <v>68</v>
      </c>
    </row>
    <row r="4057">
      <c r="A4057" s="5">
        <f>HYPERLINK("https://app-web.statementrec.com/app#appuploadfiles/3a214fed-33cc-3583-4955-75f6e88070f7","MC Menz &amp; SM Smith")</f>
      </c>
      <c r="B4057" s="3" t="s">
        <v>153</v>
      </c>
      <c r="C4057" s="4">
        <v>3</v>
      </c>
    </row>
    <row r="4058">
      <c r="A4058" s="5">
        <f>HYPERLINK("https://app-web.statementrec.com/app#appuploadfiles/3a215027-579e-8376-c764-786eeb0a3450","Abtaal Pte Ltd")</f>
      </c>
      <c r="B4058" s="3" t="s">
        <v>78</v>
      </c>
      <c r="C4058" s="4">
        <v>2</v>
      </c>
    </row>
    <row r="4059">
      <c r="A4059" s="5">
        <f>HYPERLINK("https://app-web.statementrec.com/app#appuploadfiles/3a2150d9-6f5c-522e-a143-371ee7f70fb5","04.30.2026-3853")</f>
      </c>
      <c r="B4059" s="3" t="s">
        <v>58</v>
      </c>
      <c r="C4059" s="4">
        <v>2</v>
      </c>
    </row>
    <row r="4060">
      <c r="A4060" s="5">
        <f>HYPERLINK("https://app-web.statementrec.com/app#appuploadfiles/3a215109-31cc-d96f-e32d-6c3addf369ec","Future FX")</f>
      </c>
      <c r="B4060" s="3" t="s">
        <v>264</v>
      </c>
      <c r="C4060" s="4">
        <v>1</v>
      </c>
    </row>
    <row r="4061">
      <c r="A4061" s="5">
        <f>HYPERLINK("https://app-web.statementrec.com/app#appuploadfiles/3a215132-fa3c-853e-3e06-72549afd5f07","James Humphries")</f>
      </c>
      <c r="B4061" s="3" t="s">
        <v>73</v>
      </c>
      <c r="C4061" s="4">
        <v>96</v>
      </c>
    </row>
    <row r="4062">
      <c r="A4062" s="5">
        <f>HYPERLINK("https://app-web.statementrec.com/app#appuploadfiles/3a215155-ae85-325d-a601-868fc8b610de","BBQ Land Ltd")</f>
      </c>
      <c r="B4062" s="3" t="s">
        <v>15</v>
      </c>
      <c r="C4062" s="4">
        <v>4</v>
      </c>
    </row>
    <row r="4063">
      <c r="A4063" s="5">
        <f>HYPERLINK("https://app-web.statementrec.com/app#appuploadfiles/3a215156-b730-72c5-3362-64d24e1ddc44","GTL002 - GTL Homes Limited")</f>
      </c>
      <c r="B4063" s="3" t="s">
        <v>29</v>
      </c>
      <c r="C4063" s="4">
        <v>4</v>
      </c>
    </row>
    <row r="4064">
      <c r="A4064" s="5">
        <f>HYPERLINK("https://app-web.statementrec.com/app#appuploadfiles/3a215164-0bfa-89bc-576b-bd71cf256799","Type It Write Limited")</f>
      </c>
      <c r="B4064" s="3" t="s">
        <v>18</v>
      </c>
      <c r="C4064" s="4">
        <v>4</v>
      </c>
    </row>
    <row r="4065">
      <c r="A4065" s="5">
        <f>HYPERLINK("https://app-web.statementrec.com/app#appuploadfiles/3a21516a-a97c-c96c-7ffb-7a92a2be7371","ST LEKHULENI")</f>
      </c>
      <c r="B4065" s="3" t="s">
        <v>118</v>
      </c>
      <c r="C4065" s="4">
        <v>12</v>
      </c>
    </row>
    <row r="4066">
      <c r="A4066" s="5">
        <f>HYPERLINK("https://app-web.statementrec.com/app#appuploadfiles/3a21517c-f829-f25d-65fe-745541ad1a14","Walnut Gardens Ltd")</f>
      </c>
      <c r="B4066" s="3" t="s">
        <v>33</v>
      </c>
      <c r="C4066" s="4">
        <v>4</v>
      </c>
    </row>
    <row r="4067">
      <c r="A4067" s="5">
        <f>HYPERLINK("https://app-web.statementrec.com/app#appuploadfiles/3a21517f-8333-84f9-db81-53380f37958e","Snoppits Property Agency")</f>
      </c>
      <c r="B4067" s="3" t="s">
        <v>18</v>
      </c>
      <c r="C4067" s="4">
        <v>26</v>
      </c>
    </row>
    <row r="4068">
      <c r="A4068" s="5">
        <f>HYPERLINK("https://app-web.statementrec.com/app#appuploadfiles/3a215193-d6d0-3bc6-c918-1810178bd4de","The Wharton Trust")</f>
      </c>
      <c r="B4068" s="3" t="s">
        <v>765</v>
      </c>
      <c r="C4068" s="4">
        <v>3</v>
      </c>
    </row>
    <row r="4069">
      <c r="A4069" s="5">
        <f>HYPERLINK("https://app-web.statementrec.com/app#appuploadfiles/3a215195-0442-5d6c-3d93-7478636d4194","berwick street properties")</f>
      </c>
      <c r="B4069" s="3" t="s">
        <v>54</v>
      </c>
      <c r="C4069" s="4">
        <v>2</v>
      </c>
    </row>
    <row r="4070">
      <c r="A4070" s="5">
        <f>HYPERLINK("https://app-web.statementrec.com/app#appuploadfiles/3a215195-978e-2e7d-1033-b8e9dcc9d164","Iterum Solutions")</f>
      </c>
      <c r="B4070" s="3" t="s">
        <v>18</v>
      </c>
      <c r="C4070" s="4">
        <v>4</v>
      </c>
    </row>
    <row r="4071">
      <c r="A4071" s="5">
        <f>HYPERLINK("https://app-web.statementrec.com/app#appuploadfiles/3a215197-d03f-3a6c-cdda-e80ee4dd8d8d","7004794 - BOI 4707")</f>
      </c>
      <c r="B4071" s="3" t="s">
        <v>3</v>
      </c>
      <c r="C4071" s="4">
        <v>16</v>
      </c>
    </row>
    <row r="4072">
      <c r="A4072" s="5">
        <f>HYPERLINK("https://app-web.statementrec.com/app#appuploadfiles/3a21519a-e7c6-7f70-2ab0-c0ba9dbb46f4","Seefin Studio Limited")</f>
      </c>
      <c r="B4072" s="3" t="s">
        <v>11</v>
      </c>
      <c r="C4072" s="4">
        <v>11</v>
      </c>
    </row>
    <row r="4073">
      <c r="A4073" s="5">
        <f>HYPERLINK("https://app-web.statementrec.com/app#appuploadfiles/3a21519b-9a26-dfbb-814e-b4eb4663bf2e","HOSTCOMM LIMITED")</f>
      </c>
      <c r="B4073" s="3" t="s">
        <v>17</v>
      </c>
      <c r="C4073" s="4">
        <v>77</v>
      </c>
    </row>
    <row r="4074">
      <c r="A4074" s="5">
        <f>HYPERLINK("https://app-web.statementrec.com/app#appuploadfiles/3a21519f-a3eb-8c62-4eb7-dd34795d31ac","MMMultitude")</f>
      </c>
      <c r="B4074" s="3" t="s">
        <v>11</v>
      </c>
      <c r="C4074" s="4">
        <v>23</v>
      </c>
    </row>
    <row r="4075">
      <c r="A4075" s="5">
        <f>HYPERLINK("https://app-web.statementrec.com/app#appuploadfiles/3a2151a0-2fd3-d8d8-2c87-ef302aee1983","Sterlet properties camden 1")</f>
      </c>
      <c r="B4075" s="3" t="s">
        <v>12</v>
      </c>
      <c r="C4075" s="4">
        <v>1</v>
      </c>
    </row>
    <row r="4076">
      <c r="A4076" s="5">
        <f>HYPERLINK("https://app-web.statementrec.com/app#appuploadfiles/3a2151a7-260f-1c6f-214d-28a6d6820534","M70 Ach Limited")</f>
      </c>
      <c r="B4076" s="3" t="s">
        <v>40</v>
      </c>
      <c r="C4076" s="4">
        <v>128</v>
      </c>
    </row>
    <row r="4077">
      <c r="A4077" s="5">
        <f>HYPERLINK("https://app-web.statementrec.com/app#appuploadfiles/3a2151a9-fe0a-21ae-2c84-c6c9834fc6f2","SEY507 - April Bank")</f>
      </c>
      <c r="B4077" s="3" t="s">
        <v>15</v>
      </c>
      <c r="C4077" s="4">
        <v>4</v>
      </c>
    </row>
    <row r="4078">
      <c r="A4078" s="5">
        <f>HYPERLINK("https://app-web.statementrec.com/app#appuploadfiles/3a2151ac-4e7d-d676-b2b7-da992cf03c64","MAGMA SECURITY SOLUTIONS LTD")</f>
      </c>
      <c r="B4078" s="3" t="s">
        <v>168</v>
      </c>
      <c r="C4078" s="4">
        <v>6</v>
      </c>
    </row>
    <row r="4079">
      <c r="A4079" s="5">
        <f>HYPERLINK("https://app-web.statementrec.com/app#appuploadfiles/3a2151ad-1dd9-7e8f-6ac0-f9cf4a5b3ffa","James Bopp")</f>
      </c>
      <c r="B4079" s="3" t="s">
        <v>17</v>
      </c>
      <c r="C4079" s="4">
        <v>4</v>
      </c>
    </row>
    <row r="4080">
      <c r="A4080" s="5">
        <f>HYPERLINK("https://app-web.statementrec.com/app#appuploadfiles/3a2151ad-e9e9-cc4c-f71e-2622e5986e55","Sandra McCormick")</f>
      </c>
      <c r="B4080" s="3" t="s">
        <v>12</v>
      </c>
      <c r="C4080" s="4">
        <v>14</v>
      </c>
    </row>
    <row r="4081">
      <c r="A4081" s="5">
        <f>HYPERLINK("https://app-web.statementrec.com/app#appuploadfiles/3a2151b9-f50f-2612-2552-ead1c28de92b","Tamara Muhammed")</f>
      </c>
      <c r="B4081" s="3" t="s">
        <v>766</v>
      </c>
      <c r="C4081" s="4">
        <v>292</v>
      </c>
    </row>
    <row r="4082">
      <c r="A4082" s="5">
        <f>HYPERLINK("https://app-web.statementrec.com/app#appuploadfiles/3a2151bf-b799-de31-064f-3042a1f9c201","ABI Resources")</f>
      </c>
      <c r="B4082" s="3" t="s">
        <v>144</v>
      </c>
      <c r="C4082" s="4">
        <v>4</v>
      </c>
    </row>
    <row r="4083">
      <c r="A4083" s="5">
        <f>HYPERLINK("https://app-web.statementrec.com/app#appuploadfiles/3a2151c2-e9f9-eac9-618e-e5a5efc0dd8d","Patten Landscapes &amp; Groundworks Limited")</f>
      </c>
      <c r="B4083" s="3" t="s">
        <v>56</v>
      </c>
      <c r="C4083" s="4">
        <v>27</v>
      </c>
    </row>
    <row r="4084">
      <c r="A4084" s="5">
        <f>HYPERLINK("https://app-web.statementrec.com/app#appuploadfiles/3a2151c5-6c73-08e9-0d6a-ca44da1e8ce2","F.S Polygraph")</f>
      </c>
      <c r="B4084" s="3" t="s">
        <v>80</v>
      </c>
      <c r="C4084" s="4">
        <v>51</v>
      </c>
    </row>
    <row r="4085">
      <c r="A4085" s="5">
        <f>HYPERLINK("https://app-web.statementrec.com/app#appuploadfiles/3a2151d7-7c16-475b-eb4c-c0049df70807","05/04/2026")</f>
      </c>
      <c r="B4085" s="3" t="s">
        <v>12</v>
      </c>
      <c r="C4085" s="4">
        <v>2</v>
      </c>
    </row>
    <row r="4086">
      <c r="A4086" s="5">
        <f>HYPERLINK("https://app-web.statementrec.com/app#appuploadfiles/3a2151db-6371-3075-d90d-11769f6b4373","Brikie")</f>
      </c>
      <c r="B4086" s="3" t="s">
        <v>21</v>
      </c>
      <c r="C4086" s="4">
        <v>1</v>
      </c>
    </row>
    <row r="4087">
      <c r="A4087" s="5">
        <f>HYPERLINK("https://app-web.statementrec.com/app#appuploadfiles/3a2151df-9435-38fd-d6fc-53ae66737969","Rhys Cadogan")</f>
      </c>
      <c r="B4087" s="3" t="s">
        <v>123</v>
      </c>
      <c r="C4087" s="4">
        <v>3</v>
      </c>
    </row>
    <row r="4088">
      <c r="A4088" s="5">
        <f>HYPERLINK("https://app-web.statementrec.com/app#appuploadfiles/3a2151e9-3742-f238-ab3a-a2f954f5c482","Francois Frederik Loose")</f>
      </c>
      <c r="B4088" s="3" t="s">
        <v>3</v>
      </c>
      <c r="C4088" s="4">
        <v>3</v>
      </c>
    </row>
    <row r="4089">
      <c r="A4089" s="5">
        <f>HYPERLINK("https://app-web.statementrec.com/app#appuploadfiles/3a2151f2-5ed9-8eb5-6a3d-688c089c1aff","Bank Statements 05.04.26")</f>
      </c>
      <c r="B4089" s="3" t="s">
        <v>73</v>
      </c>
      <c r="C4089" s="4">
        <v>19</v>
      </c>
    </row>
    <row r="4090">
      <c r="A4090" s="5">
        <f>HYPERLINK("https://app-web.statementrec.com/app#appuploadfiles/3a2151f5-e6de-7304-b0ca-384b043daad4","Eden Community Cafe CIC")</f>
      </c>
      <c r="B4090" s="3" t="s">
        <v>151</v>
      </c>
      <c r="C4090" s="4">
        <v>1</v>
      </c>
    </row>
    <row r="4091">
      <c r="A4091" s="5">
        <f>HYPERLINK("https://app-web.statementrec.com/app#appuploadfiles/3a21520c-89b1-e8c6-5849-3d8a5c5ef351","William Scott Wilson")</f>
      </c>
      <c r="B4091" s="3" t="s">
        <v>19</v>
      </c>
      <c r="C4091" s="4">
        <v>16</v>
      </c>
    </row>
    <row r="4092">
      <c r="A4092" s="5">
        <f>HYPERLINK("https://app-web.statementrec.com/app#appuploadfiles/3a215210-4297-700d-d337-fbbf420176b3","Creative Support Solutions Limited")</f>
      </c>
      <c r="B4092" s="3" t="s">
        <v>13</v>
      </c>
      <c r="C4092" s="4">
        <v>1261</v>
      </c>
    </row>
    <row r="4093">
      <c r="A4093" s="5">
        <f>HYPERLINK("https://app-web.statementrec.com/app#appuploadfiles/3a21521f-7179-bc79-84c4-2bf21c65a8f1","Ambrose Stafford Ltd.")</f>
      </c>
      <c r="B4093" s="3" t="s">
        <v>19</v>
      </c>
      <c r="C4093" s="4">
        <v>8</v>
      </c>
    </row>
    <row r="4094">
      <c r="A4094" s="5">
        <f>HYPERLINK("https://app-web.statementrec.com/app#appuploadfiles/3a21522a-2794-043b-8087-99576632edd2","131847 - Butchr. Ltd")</f>
      </c>
      <c r="B4094" s="3" t="s">
        <v>716</v>
      </c>
      <c r="C4094" s="4">
        <v>757</v>
      </c>
    </row>
    <row r="4095">
      <c r="A4095" s="5">
        <f>HYPERLINK("https://app-web.statementrec.com/app#appuploadfiles/3a21522a-f929-fb87-5cce-57ad632a3b41","ck-interiors limited")</f>
      </c>
      <c r="B4095" s="3" t="s">
        <v>29</v>
      </c>
      <c r="C4095" s="4">
        <v>5</v>
      </c>
    </row>
    <row r="4096">
      <c r="A4096" s="5">
        <f>HYPERLINK("https://app-web.statementrec.com/app#appuploadfiles/3a21523c-1273-56e0-7c7b-d4861600040f","Innovation &amp;")</f>
      </c>
      <c r="B4096" s="3" t="s">
        <v>29</v>
      </c>
      <c r="C4096" s="4">
        <v>1</v>
      </c>
    </row>
    <row r="4097">
      <c r="A4097" s="5">
        <f>HYPERLINK("https://app-web.statementrec.com/app#appuploadfiles/3a21524c-a750-96aa-ec25-9004ad8551d2","Gaurav Vasisth MPC")</f>
      </c>
      <c r="B4097" s="3" t="s">
        <v>158</v>
      </c>
      <c r="C4097" s="4">
        <v>2</v>
      </c>
    </row>
    <row r="4098">
      <c r="A4098" s="5">
        <f>HYPERLINK("https://app-web.statementrec.com/app#appuploadfiles/3a215254-a3a2-37c6-27c9-7f42272bfabc","JE Mar May")</f>
      </c>
      <c r="B4098" s="3" t="s">
        <v>767</v>
      </c>
      <c r="C4098" s="4">
        <v>3</v>
      </c>
    </row>
    <row r="4099">
      <c r="A4099" s="5">
        <f>HYPERLINK("https://app-web.statementrec.com/app#appuploadfiles/3a215260-bb2c-b03e-7fda-e8326832ed03","LONDON'S PRIDE LTD")</f>
      </c>
      <c r="B4099" s="3" t="s">
        <v>17</v>
      </c>
      <c r="C4099" s="4">
        <v>13</v>
      </c>
    </row>
    <row r="4100">
      <c r="A4100" s="5">
        <f>HYPERLINK("https://app-web.statementrec.com/app#appuploadfiles/3a215264-4942-751e-0751-1f9fffa50f6d","2025")</f>
      </c>
      <c r="B4100" s="3" t="s">
        <v>75</v>
      </c>
      <c r="C4100" s="4">
        <v>36</v>
      </c>
    </row>
    <row r="4101">
      <c r="A4101" s="5">
        <f>HYPERLINK("https://app-web.statementrec.com/app#appuploadfiles/3a215271-665d-d7f4-2649-0e8e78da3e2a","HJW MAREE -WAG 'N BIETJIE BOERDERY")</f>
      </c>
      <c r="B4101" s="3" t="s">
        <v>38</v>
      </c>
      <c r="C4101" s="4">
        <v>8</v>
      </c>
    </row>
    <row r="4102">
      <c r="A4102" s="5">
        <f>HYPERLINK("https://app-web.statementrec.com/app#appuploadfiles/3a215277-2170-cfe2-e1e4-944dfd439c66","Zan Company")</f>
      </c>
      <c r="B4102" s="3" t="s">
        <v>768</v>
      </c>
      <c r="C4102" s="4">
        <v>69</v>
      </c>
    </row>
    <row r="4103">
      <c r="A4103" s="5">
        <f>HYPERLINK("https://app-web.statementrec.com/app#appuploadfiles/3a215290-078f-0efe-b901-66ec873fade9","Février 2026 à Avril 2026")</f>
      </c>
      <c r="B4103" s="3" t="s">
        <v>769</v>
      </c>
      <c r="C4103" s="4">
        <v>14</v>
      </c>
    </row>
    <row r="4104">
      <c r="A4104" s="5">
        <f>HYPERLINK("https://app-web.statementrec.com/app#appuploadfiles/3a215293-beff-e8aa-14e1-676582bfe358","J Blake")</f>
      </c>
      <c r="B4104" s="3" t="s">
        <v>770</v>
      </c>
      <c r="C4104" s="4">
        <v>10</v>
      </c>
    </row>
    <row r="4105">
      <c r="A4105" s="5">
        <f>HYPERLINK("https://app-web.statementrec.com/app#appuploadfiles/3a21529a-0d0d-aa7b-a7e1-b3533cef9b08","17 Apr 26 - 15 May 26")</f>
      </c>
      <c r="B4105" s="3" t="s">
        <v>48</v>
      </c>
      <c r="C4105" s="4">
        <v>4</v>
      </c>
    </row>
    <row r="4106">
      <c r="A4106" s="5">
        <f>HYPERLINK("https://app-web.statementrec.com/app#appuploadfiles/3a21529b-aea9-bfe9-bff1-57655f8994ed","MD Law, Regency Garden Buildings Limited")</f>
      </c>
      <c r="B4106" s="3" t="s">
        <v>17</v>
      </c>
      <c r="C4106" s="4">
        <v>96</v>
      </c>
    </row>
    <row r="4107">
      <c r="A4107" s="5">
        <f>HYPERLINK("https://app-web.statementrec.com/app#appuploadfiles/3a21529e-be03-7dc1-69ee-2e5c7443df0e","5 May 26 -15 May 26")</f>
      </c>
      <c r="B4107" s="3" t="s">
        <v>48</v>
      </c>
      <c r="C4107" s="4">
        <v>2</v>
      </c>
    </row>
    <row r="4108">
      <c r="A4108" s="5">
        <f>HYPERLINK("https://app-web.statementrec.com/app#appuploadfiles/3a2152a3-a99f-5984-c206-e49c7cce6433","Rockhill")</f>
      </c>
      <c r="B4108" s="3" t="s">
        <v>47</v>
      </c>
      <c r="C4108" s="4">
        <v>12</v>
      </c>
    </row>
    <row r="4109">
      <c r="A4109" s="5">
        <f>HYPERLINK("https://app-web.statementrec.com/app#appuploadfiles/3a2152a5-18c6-8b25-9ca1-b26d7cd2841f","Morespace Construction Group Ltd")</f>
      </c>
      <c r="B4109" s="3" t="s">
        <v>11</v>
      </c>
      <c r="C4109" s="4">
        <v>12</v>
      </c>
    </row>
    <row r="4110">
      <c r="A4110" s="5">
        <f>HYPERLINK("https://app-web.statementrec.com/app#appuploadfiles/3a2152a5-348f-90e3-2da7-51f0e73a38e7","James Bull")</f>
      </c>
      <c r="B4110" s="3" t="s">
        <v>292</v>
      </c>
      <c r="C4110" s="4">
        <v>228</v>
      </c>
    </row>
    <row r="4111">
      <c r="A4111" s="5">
        <f>HYPERLINK("https://app-web.statementrec.com/app#appuploadfiles/3a2152ae-e7ef-cb21-d25e-bbc9a0134f3f","PNP EVENTS LTD")</f>
      </c>
      <c r="B4111" s="3" t="s">
        <v>17</v>
      </c>
      <c r="C4111" s="4">
        <v>80</v>
      </c>
    </row>
    <row r="4112">
      <c r="A4112" s="5">
        <f>HYPERLINK("https://app-web.statementrec.com/app#appuploadfiles/3a2152b5-16e7-2418-2e93-0c0e97504a16","Round Robin Interactive Limited")</f>
      </c>
      <c r="B4112" s="3" t="s">
        <v>26</v>
      </c>
      <c r="C4112" s="4">
        <v>4</v>
      </c>
    </row>
    <row r="4113">
      <c r="A4113" s="5">
        <f>HYPERLINK("https://app-web.statementrec.com/app#appuploadfiles/3a2152c6-bde7-15df-c6bd-1b9ee0de1ca9","MD")</f>
      </c>
      <c r="B4113" s="3" t="s">
        <v>12</v>
      </c>
      <c r="C4113" s="4">
        <v>20</v>
      </c>
    </row>
    <row r="4114">
      <c r="A4114" s="5">
        <f>HYPERLINK("https://app-web.statementrec.com/app#appuploadfiles/3a2152d0-155a-6f63-2950-bb9d5b29f699","G352 Grieveson 25/26")</f>
      </c>
      <c r="B4114" s="3" t="s">
        <v>123</v>
      </c>
      <c r="C4114" s="4">
        <v>21</v>
      </c>
    </row>
    <row r="4115">
      <c r="A4115" s="5">
        <f>HYPERLINK("https://app-web.statementrec.com/app#appuploadfiles/3a2152dc-bbd7-3e54-88e2-26627fa9723e","Poseidon Training Ltd")</f>
      </c>
      <c r="B4115" s="3" t="s">
        <v>26</v>
      </c>
      <c r="C4115" s="4">
        <v>2</v>
      </c>
    </row>
    <row r="4116">
      <c r="A4116" s="5">
        <f>HYPERLINK("https://app-web.statementrec.com/app#appuploadfiles/3a2152e3-e523-ff3a-9aa0-eebc9621c771","ISMOSYS MANAGEMENT LIMITED")</f>
      </c>
      <c r="B4116" s="3" t="s">
        <v>86</v>
      </c>
      <c r="C4116" s="4">
        <v>13</v>
      </c>
    </row>
    <row r="4117">
      <c r="A4117" s="5">
        <f>HYPERLINK("https://app-web.statementrec.com/app#appuploadfiles/3a2152e8-9fe1-f141-2f69-4269623b9df5","31.03.26")</f>
      </c>
      <c r="B4117" s="3" t="s">
        <v>21</v>
      </c>
      <c r="C4117" s="4">
        <v>59</v>
      </c>
    </row>
    <row r="4118">
      <c r="A4118" s="5">
        <f>HYPERLINK("https://app-web.statementrec.com/app#appuploadfiles/3a2152ee-c65a-9910-bd9c-24ac04b99399","A0011")</f>
      </c>
      <c r="B4118" s="3" t="s">
        <v>10</v>
      </c>
      <c r="C4118" s="4">
        <v>7</v>
      </c>
    </row>
    <row r="4119">
      <c r="A4119" s="5">
        <f>HYPERLINK("https://app-web.statementrec.com/app#appuploadfiles/3a215301-8908-d8e1-ecf4-8869f9f90bec","CSK BUILDING CONTRACTORS LTD")</f>
      </c>
      <c r="B4119" s="3" t="s">
        <v>70</v>
      </c>
      <c r="C4119" s="4">
        <v>54</v>
      </c>
    </row>
    <row r="4120">
      <c r="A4120" s="5">
        <f>HYPERLINK("https://app-web.statementrec.com/app#appuploadfiles/3a21530b-88f5-974a-7fdb-9f69b5b5e21a","J0006")</f>
      </c>
      <c r="B4120" s="3" t="s">
        <v>10</v>
      </c>
      <c r="C4120" s="4">
        <v>33</v>
      </c>
    </row>
    <row r="4121">
      <c r="A4121" s="5">
        <f>HYPERLINK("https://app-web.statementrec.com/app#appuploadfiles/3a215316-9410-2ed8-b54a-bc01fac1b21f","Delacruz Chiropractic LLC")</f>
      </c>
      <c r="B4121" s="3" t="s">
        <v>40</v>
      </c>
      <c r="C4121" s="4">
        <v>62</v>
      </c>
    </row>
    <row r="4122">
      <c r="A4122" s="5">
        <f>HYPERLINK("https://app-web.statementrec.com/app#appuploadfiles/3a215319-1385-4f9a-f458-3a4911197c53","Kirandeep Bus Acc Apr 2026")</f>
      </c>
      <c r="B4122" s="3" t="s">
        <v>17</v>
      </c>
      <c r="C4122" s="4">
        <v>4</v>
      </c>
    </row>
    <row r="4123">
      <c r="A4123" s="5">
        <f>HYPERLINK("https://app-web.statementrec.com/app#appuploadfiles/3a21532b-f771-10bf-0f6f-bbbbba977d7d","April-26")</f>
      </c>
      <c r="B4123" s="3" t="s">
        <v>326</v>
      </c>
      <c r="C4123" s="4">
        <v>3</v>
      </c>
    </row>
    <row r="4124">
      <c r="A4124" s="5">
        <f>HYPERLINK("https://app-web.statementrec.com/app#appuploadfiles/3a21532e-0817-da1a-158c-5d74624ab392","Février, mars, avril 2026")</f>
      </c>
      <c r="B4124" s="3" t="s">
        <v>185</v>
      </c>
      <c r="C4124" s="4">
        <v>21</v>
      </c>
    </row>
    <row r="4125">
      <c r="A4125" s="5">
        <f>HYPERLINK("https://app-web.statementrec.com/app#appuploadfiles/3a21534a-eeec-c30d-2c0b-c0bb38bbc383","TD visa")</f>
      </c>
      <c r="B4125" s="3" t="s">
        <v>17</v>
      </c>
      <c r="C4125" s="4">
        <v>18</v>
      </c>
    </row>
    <row r="4126">
      <c r="A4126" s="5">
        <f>HYPERLINK("https://app-web.statementrec.com/app#appuploadfiles/3a21534b-c453-c4bf-c645-540cd877ae94","marge")</f>
      </c>
      <c r="B4126" s="3" t="s">
        <v>47</v>
      </c>
      <c r="C4126" s="4">
        <v>13</v>
      </c>
    </row>
    <row r="4127">
      <c r="A4127" s="5">
        <f>HYPERLINK("https://app-web.statementrec.com/app#appuploadfiles/3a21538b-8999-f29d-1910-462825eb6d59","Capital one 2628")</f>
      </c>
      <c r="B4127" s="3" t="s">
        <v>140</v>
      </c>
      <c r="C4127" s="4">
        <v>13</v>
      </c>
    </row>
    <row r="4128">
      <c r="A4128" s="5">
        <f>HYPERLINK("https://app-web.statementrec.com/app#appuploadfiles/3a2153a1-a716-6f03-8924-5442dca11415","Jason Arbuck")</f>
      </c>
      <c r="B4128" s="3" t="s">
        <v>40</v>
      </c>
      <c r="C4128" s="4">
        <v>52</v>
      </c>
    </row>
    <row r="4129">
      <c r="A4129" s="5">
        <f>HYPERLINK("https://app-web.statementrec.com/app#appuploadfiles/3a2153ae-21d9-b2cb-b346-37fddca66744","Redfish Chicken")</f>
      </c>
      <c r="B4129" s="3" t="s">
        <v>412</v>
      </c>
      <c r="C4129" s="4">
        <v>4</v>
      </c>
    </row>
    <row r="4130">
      <c r="A4130" s="5">
        <f>HYPERLINK("https://app-web.statementrec.com/app#appuploadfiles/3a2153dd-4d15-2b2d-dc72-253a68bfe1d2","Rogos Window Cleaning")</f>
      </c>
      <c r="B4130" s="3" t="s">
        <v>47</v>
      </c>
      <c r="C4130" s="4">
        <v>33</v>
      </c>
    </row>
    <row r="4131">
      <c r="A4131" s="5">
        <f>HYPERLINK("https://app-web.statementrec.com/app#appuploadfiles/3a215418-6f15-f132-aff0-baccb0ce64af","Free Heel Holdings Ltd.")</f>
      </c>
      <c r="B4131" s="3" t="s">
        <v>185</v>
      </c>
      <c r="C4131" s="4">
        <v>12</v>
      </c>
    </row>
    <row r="4132">
      <c r="A4132" s="5">
        <f>HYPERLINK("https://app-web.statementrec.com/app#appuploadfiles/3a21542f-9120-d9bd-a579-c15054eee36d","Maria 25 26")</f>
      </c>
      <c r="B4132" s="3" t="s">
        <v>771</v>
      </c>
      <c r="C4132" s="4">
        <v>8</v>
      </c>
    </row>
    <row r="4133">
      <c r="A4133" s="5">
        <f>HYPERLINK("https://app-web.statementrec.com/app#appuploadfiles/3a215510-db0f-a2f9-5da0-fe199b648041","Thetha Secondary School")</f>
      </c>
      <c r="B4133" s="3" t="s">
        <v>772</v>
      </c>
      <c r="C4133" s="4">
        <v>15</v>
      </c>
    </row>
    <row r="4134">
      <c r="A4134" s="5">
        <f>HYPERLINK("https://app-web.statementrec.com/app#appuploadfiles/3a215527-ef8e-4bab-2263-9e60a8540f06","Bluestar Nominees Pty Ltd")</f>
      </c>
      <c r="B4134" s="3" t="s">
        <v>773</v>
      </c>
      <c r="C4134" s="4">
        <v>7</v>
      </c>
    </row>
    <row r="4135">
      <c r="A4135" s="5">
        <f>HYPERLINK("https://app-web.statementrec.com/app#appuploadfiles/3a215676-90da-e5c8-a197-eebb51174a75","OMRE CO LTD.")</f>
      </c>
      <c r="B4135" s="3" t="s">
        <v>774</v>
      </c>
      <c r="C4135" s="4">
        <v>79</v>
      </c>
    </row>
    <row r="4136">
      <c r="A4136" s="5">
        <f>HYPERLINK("https://app-web.statementrec.com/app#appuploadfiles/3a215677-71ac-ced0-6f41-d5f67bd208f9","MPUMALANGA PROVINCIAL SOCIAL WORKER")</f>
      </c>
      <c r="B4136" s="3" t="s">
        <v>120</v>
      </c>
      <c r="C4136" s="4">
        <v>5</v>
      </c>
    </row>
    <row r="4137">
      <c r="A4137" s="5">
        <f>HYPERLINK("https://app-web.statementrec.com/app#appuploadfiles/3a215677-721a-e437-a89e-d84806a764a9","Bank Statements 29.04.26")</f>
      </c>
      <c r="B4137" s="3" t="s">
        <v>18</v>
      </c>
      <c r="C4137" s="4">
        <v>21</v>
      </c>
    </row>
    <row r="4138">
      <c r="A4138" s="5">
        <f>HYPERLINK("https://app-web.statementrec.com/app#appuploadfiles/3a215682-4408-c533-9821-87f9b228db82","04.30.2026-1400")</f>
      </c>
      <c r="B4138" s="3" t="s">
        <v>775</v>
      </c>
      <c r="C4138" s="4">
        <v>3</v>
      </c>
    </row>
    <row r="4139">
      <c r="A4139" s="5">
        <f>HYPERLINK("https://app-web.statementrec.com/app#appuploadfiles/3a21569b-7a10-e776-64e2-2eae2527a123","LRB KESWICK LIMITED")</f>
      </c>
      <c r="B4139" s="3" t="s">
        <v>17</v>
      </c>
      <c r="C4139" s="4">
        <v>45</v>
      </c>
    </row>
    <row r="4140">
      <c r="A4140" s="5">
        <f>HYPERLINK("https://app-web.statementrec.com/app#appuploadfiles/3a2156b2-9b4a-1613-977a-5a1b39283c0d","ALPHA DANE LIMITED")</f>
      </c>
      <c r="B4140" s="3" t="s">
        <v>17</v>
      </c>
      <c r="C4140" s="4">
        <v>61</v>
      </c>
    </row>
    <row r="4141">
      <c r="A4141" s="5">
        <f>HYPERLINK("https://app-web.statementrec.com/app#appuploadfiles/3a2156b9-79c7-f1bb-8feb-9766010bc964","GLAZE WINDOWS &amp; DOORS LTD")</f>
      </c>
      <c r="B4141" s="3" t="s">
        <v>70</v>
      </c>
      <c r="C4141" s="4">
        <v>29</v>
      </c>
    </row>
    <row r="4142">
      <c r="A4142" s="5">
        <f>HYPERLINK("https://app-web.statementrec.com/app#appuploadfiles/3a2156ba-fea8-c3e1-672b-ae7ae53286fe","ALM2025")</f>
      </c>
      <c r="B4142" s="3" t="s">
        <v>17</v>
      </c>
      <c r="C4142" s="4">
        <v>7</v>
      </c>
    </row>
    <row r="4143">
      <c r="A4143" s="5">
        <f>HYPERLINK("https://app-web.statementrec.com/app#appuploadfiles/3a2156bc-2174-0d25-b594-512d92aee91d","Agrichip")</f>
      </c>
      <c r="B4143" s="3" t="s">
        <v>264</v>
      </c>
      <c r="C4143" s="4">
        <v>74</v>
      </c>
    </row>
    <row r="4144">
      <c r="A4144" s="5">
        <f>HYPERLINK("https://app-web.statementrec.com/app#appuploadfiles/3a2156c0-e5e9-bac1-088c-db198f044540","Bus 446 2026")</f>
      </c>
      <c r="B4144" s="3" t="s">
        <v>13</v>
      </c>
      <c r="C4144" s="4">
        <v>5</v>
      </c>
    </row>
    <row r="4145">
      <c r="A4145" s="5">
        <f>HYPERLINK("https://app-web.statementrec.com/app#appuploadfiles/3a2156c8-a203-bcf3-aae9-7672f51022fd","Kealan Daly")</f>
      </c>
      <c r="B4145" s="3" t="s">
        <v>19</v>
      </c>
      <c r="C4145" s="4">
        <v>30</v>
      </c>
    </row>
    <row r="4146">
      <c r="A4146" s="5">
        <f>HYPERLINK("https://app-web.statementrec.com/app#appuploadfiles/3a2156c9-12f1-45ab-9f12-cd9c49bd0527","2025")</f>
      </c>
      <c r="B4146" s="3" t="s">
        <v>36</v>
      </c>
      <c r="C4146" s="4">
        <v>21</v>
      </c>
    </row>
    <row r="4147">
      <c r="A4147" s="5">
        <f>HYPERLINK("https://app-web.statementrec.com/app#appuploadfiles/3a2156d2-d57b-2189-e85f-d255d4fbd01d","Allison Broadwood")</f>
      </c>
      <c r="B4147" s="3" t="s">
        <v>168</v>
      </c>
      <c r="C4147" s="4">
        <v>59</v>
      </c>
    </row>
    <row r="4148">
      <c r="A4148" s="5">
        <f>HYPERLINK("https://app-web.statementrec.com/app#appuploadfiles/3a2156de-2f5e-9148-9cab-89676b4fafec","Grub! Street Food Limited")</f>
      </c>
      <c r="B4148" s="3" t="s">
        <v>776</v>
      </c>
      <c r="C4148" s="4">
        <v>12</v>
      </c>
    </row>
    <row r="4149">
      <c r="A4149" s="5">
        <f>HYPERLINK("https://app-web.statementrec.com/app#appuploadfiles/3a2156e0-4aea-348d-1181-bfcadaef9abf","Michael McGoldrick")</f>
      </c>
      <c r="B4149" s="3" t="s">
        <v>3</v>
      </c>
      <c r="C4149" s="4">
        <v>85</v>
      </c>
    </row>
    <row r="4150">
      <c r="A4150" s="5">
        <f>HYPERLINK("https://app-web.statementrec.com/app#appuploadfiles/3a2156e8-c58d-94e1-7e98-df2f8ce9713d","NWP Consulting Ltd")</f>
      </c>
      <c r="B4150" s="3" t="s">
        <v>56</v>
      </c>
      <c r="C4150" s="4">
        <v>2</v>
      </c>
    </row>
    <row r="4151">
      <c r="A4151" s="5">
        <f>HYPERLINK("https://app-web.statementrec.com/app#appuploadfiles/3a2156f8-2605-4736-5338-81a8abf593d6","1122C Bank Statement_83802752")</f>
      </c>
      <c r="B4151" s="3" t="s">
        <v>24</v>
      </c>
      <c r="C4151" s="4">
        <v>92</v>
      </c>
    </row>
    <row r="4152">
      <c r="A4152" s="5">
        <f>HYPERLINK("https://app-web.statementrec.com/app#appuploadfiles/3a2156fb-4e68-dee9-4b59-2e3a618158ee","Jawhari Real state")</f>
      </c>
      <c r="B4152" s="3" t="s">
        <v>265</v>
      </c>
      <c r="C4152" s="4">
        <v>6</v>
      </c>
    </row>
    <row r="4153">
      <c r="A4153" s="5">
        <f>HYPERLINK("https://app-web.statementrec.com/app#appuploadfiles/3a2156fd-c513-7624-687c-00876ac0c1e8","Danny Wenham")</f>
      </c>
      <c r="B4153" s="3" t="s">
        <v>19</v>
      </c>
      <c r="C4153" s="4">
        <v>28</v>
      </c>
    </row>
    <row r="4154">
      <c r="A4154" s="5">
        <f>HYPERLINK("https://app-web.statementrec.com/app#appuploadfiles/3a215703-7a86-4101-f8e4-4e29aceae687","Kayleigh Roach")</f>
      </c>
      <c r="B4154" s="3" t="s">
        <v>18</v>
      </c>
      <c r="C4154" s="4">
        <v>5</v>
      </c>
    </row>
    <row r="4155">
      <c r="A4155" s="5">
        <f>HYPERLINK("https://app-web.statementrec.com/app#appuploadfiles/3a215708-d7f4-63da-2194-3c7cb00e9a60","Deyzel Promotions t/a Dekor2000 Kby")</f>
      </c>
      <c r="B4155" s="3" t="s">
        <v>118</v>
      </c>
      <c r="C4155" s="4">
        <v>27</v>
      </c>
    </row>
    <row r="4156">
      <c r="A4156" s="5">
        <f>HYPERLINK("https://app-web.statementrec.com/app#appuploadfiles/3a215722-2c10-42f0-84d5-45730c199123","Piping Tools Limited")</f>
      </c>
      <c r="B4156" s="3" t="s">
        <v>17</v>
      </c>
      <c r="C4156" s="4">
        <v>7</v>
      </c>
    </row>
    <row r="4157">
      <c r="A4157" s="5">
        <f>HYPERLINK("https://app-web.statementrec.com/app#appuploadfiles/3a21572b-dbf6-bd55-6599-b8fee49aa1d9","April 2026 Qtr - 18.04.26 - 18.05.26")</f>
      </c>
      <c r="B4157" s="3" t="s">
        <v>33</v>
      </c>
      <c r="C4157" s="4">
        <v>12</v>
      </c>
    </row>
    <row r="4158">
      <c r="A4158" s="5">
        <f>HYPERLINK("https://app-web.statementrec.com/app#appuploadfiles/3a215733-a7dd-521f-a63d-0d9d57740764","Jastero Investment (Pty) Ltd")</f>
      </c>
      <c r="B4158" s="3" t="s">
        <v>18</v>
      </c>
      <c r="C4158" s="4">
        <v>17</v>
      </c>
    </row>
    <row r="4159">
      <c r="A4159" s="5">
        <f>HYPERLINK("https://app-web.statementrec.com/app#appuploadfiles/3a21573a-97ee-3782-fb8a-7138a3721968","BLETECH")</f>
      </c>
      <c r="B4159" s="3" t="s">
        <v>46</v>
      </c>
      <c r="C4159" s="4">
        <v>33</v>
      </c>
    </row>
    <row r="4160">
      <c r="A4160" s="5">
        <f>HYPERLINK("https://app-web.statementrec.com/app#appuploadfiles/3a215742-986c-feee-7a71-3b1e71d4baf4","Grant Carruthers")</f>
      </c>
      <c r="B4160" s="3" t="s">
        <v>15</v>
      </c>
      <c r="C4160" s="4">
        <v>5</v>
      </c>
    </row>
    <row r="4161">
      <c r="A4161" s="5">
        <f>HYPERLINK("https://app-web.statementrec.com/app#appuploadfiles/3a215748-dd38-3485-281e-1615a684dd5c","0426")</f>
      </c>
      <c r="B4161" s="3" t="s">
        <v>12</v>
      </c>
      <c r="C4161" s="4">
        <v>2</v>
      </c>
    </row>
    <row r="4162">
      <c r="A4162" s="5">
        <f>HYPERLINK("https://app-web.statementrec.com/app#appuploadfiles/3a21576d-3471-eacf-d1f0-aa67a3bfa670","Rosemary")</f>
      </c>
      <c r="B4162" s="3" t="s">
        <v>414</v>
      </c>
      <c r="C4162" s="4">
        <v>6</v>
      </c>
    </row>
    <row r="4163">
      <c r="A4163" s="5">
        <f>HYPERLINK("https://app-web.statementrec.com/app#appuploadfiles/3a215770-3809-dbb0-c896-b8d6c702bcb2","Joanne Robinson")</f>
      </c>
      <c r="B4163" s="3" t="s">
        <v>21</v>
      </c>
      <c r="C4163" s="4">
        <v>30</v>
      </c>
    </row>
    <row r="4164">
      <c r="A4164" s="5">
        <f>HYPERLINK("https://app-web.statementrec.com/app#appuploadfiles/3a21577f-feaa-2475-e56e-4e0c93c66bed","Brodys")</f>
      </c>
      <c r="B4164" s="3" t="s">
        <v>70</v>
      </c>
      <c r="C4164" s="4">
        <v>37</v>
      </c>
    </row>
    <row r="4165">
      <c r="A4165" s="5">
        <f>HYPERLINK("https://app-web.statementrec.com/app#appuploadfiles/3a215789-ce20-d5eb-658c-3d8dcf6cb0ad","2019 - 2020")</f>
      </c>
      <c r="B4165" s="3" t="s">
        <v>118</v>
      </c>
      <c r="C4165" s="4">
        <v>15</v>
      </c>
    </row>
    <row r="4166">
      <c r="A4166" s="5">
        <f>HYPERLINK("https://app-web.statementrec.com/app#appuploadfiles/3a215790-a04d-6f9e-69d4-dc5931dc3a70","April 2026")</f>
      </c>
      <c r="B4166" s="3" t="s">
        <v>70</v>
      </c>
      <c r="C4166" s="4">
        <v>2</v>
      </c>
    </row>
    <row r="4167">
      <c r="A4167" s="5">
        <f>HYPERLINK("https://app-web.statementrec.com/app#appuploadfiles/3a215796-ee75-5e7f-9768-0ea65deb3919","Year End 31/08/25")</f>
      </c>
      <c r="B4167" s="3" t="s">
        <v>75</v>
      </c>
      <c r="C4167" s="4">
        <v>14</v>
      </c>
    </row>
    <row r="4168">
      <c r="A4168" s="5">
        <f>HYPERLINK("https://app-web.statementrec.com/app#appuploadfiles/3a2157a3-eba1-7766-ca46-75dd62577810","ABSA 4113020331 - 2026")</f>
      </c>
      <c r="B4168" s="3" t="s">
        <v>38</v>
      </c>
      <c r="C4168" s="4">
        <v>2</v>
      </c>
    </row>
    <row r="4169">
      <c r="A4169" s="5">
        <f>HYPERLINK("https://app-web.statementrec.com/app#appuploadfiles/3a2157ae-e90e-8e95-d8e7-b0559242a2a7","SALI SIDFORD")</f>
      </c>
      <c r="B4169" s="3" t="s">
        <v>10</v>
      </c>
      <c r="C4169" s="4">
        <v>9</v>
      </c>
    </row>
    <row r="4170">
      <c r="A4170" s="5">
        <f>HYPERLINK("https://app-web.statementrec.com/app#appuploadfiles/3a2157af-7019-10b8-8d7d-328555baaa25","Deals For You Ltd")</f>
      </c>
      <c r="B4170" s="3" t="s">
        <v>17</v>
      </c>
      <c r="C4170" s="4">
        <v>8</v>
      </c>
    </row>
    <row r="4171">
      <c r="A4171" s="5">
        <f>HYPERLINK("https://app-web.statementrec.com/app#appuploadfiles/3a2157b9-68d0-e6b2-335a-3903432a6c4d","ANNETTE PATERAKIS LTD")</f>
      </c>
      <c r="B4171" s="3" t="s">
        <v>43</v>
      </c>
      <c r="C4171" s="4">
        <v>17</v>
      </c>
    </row>
    <row r="4172">
      <c r="A4172" s="5">
        <f>HYPERLINK("https://app-web.statementrec.com/app#appuploadfiles/3a2157bc-b023-f3c0-653c-fc1fe3048bd8","Revoult Savings")</f>
      </c>
      <c r="B4172" s="3" t="s">
        <v>11</v>
      </c>
      <c r="C4172" s="4">
        <v>3</v>
      </c>
    </row>
    <row r="4173">
      <c r="A4173" s="5">
        <f>HYPERLINK("https://app-web.statementrec.com/app#appuploadfiles/3a2157bf-f9af-1d48-4d00-cf7b6bca84e0","Luke Morrin 2025")</f>
      </c>
      <c r="B4173" s="3" t="s">
        <v>75</v>
      </c>
      <c r="C4173" s="4">
        <v>25</v>
      </c>
    </row>
    <row r="4174">
      <c r="A4174" s="5">
        <f>HYPERLINK("https://app-web.statementrec.com/app#appuploadfiles/3a2157c4-c001-afd9-1f53-d47e6e7f7c7a","Luke Morrin VAT 2026")</f>
      </c>
      <c r="B4174" s="3" t="s">
        <v>86</v>
      </c>
      <c r="C4174" s="4">
        <v>9</v>
      </c>
    </row>
    <row r="4175">
      <c r="A4175" s="5">
        <f>HYPERLINK("https://app-web.statementrec.com/app#appuploadfiles/3a2157ef-5a75-219d-dbd4-6fe0be9110c2","D Oxtoby (OXT02)")</f>
      </c>
      <c r="B4175" s="3" t="s">
        <v>331</v>
      </c>
      <c r="C4175" s="4">
        <v>9</v>
      </c>
    </row>
    <row r="4176">
      <c r="A4176" s="5">
        <f>HYPERLINK("https://app-web.statementrec.com/app#appuploadfiles/3a2157f1-9819-f732-ef0b-fa401d09bd9c","Napier Engineers Ltd 2025")</f>
      </c>
      <c r="B4176" s="3" t="s">
        <v>3</v>
      </c>
      <c r="C4176" s="4">
        <v>14</v>
      </c>
    </row>
    <row r="4177">
      <c r="A4177" s="5">
        <f>HYPERLINK("https://app-web.statementrec.com/app#appuploadfiles/3a2157f4-b1b2-8e65-7064-27868ed97f1a","Dukes Manor Management Co")</f>
      </c>
      <c r="B4177" s="3" t="s">
        <v>17</v>
      </c>
      <c r="C4177" s="4">
        <v>12</v>
      </c>
    </row>
    <row r="4178">
      <c r="A4178" s="5">
        <f>HYPERLINK("https://app-web.statementrec.com/app#appuploadfiles/3a215803-e560-4dfd-1b31-ee97ebc1b94b","April 2026 Bnk Stmt")</f>
      </c>
      <c r="B4178" s="3" t="s">
        <v>777</v>
      </c>
      <c r="C4178" s="4">
        <v>4</v>
      </c>
    </row>
    <row r="4179">
      <c r="A4179" s="5">
        <f>HYPERLINK("https://app-web.statementrec.com/app#appuploadfiles/3a215807-d65e-4fcd-073a-2a5469835705","Andrews P E")</f>
      </c>
      <c r="B4179" s="3" t="s">
        <v>19</v>
      </c>
      <c r="C4179" s="4">
        <v>38</v>
      </c>
    </row>
    <row r="4180">
      <c r="A4180" s="5">
        <f>HYPERLINK("https://app-web.statementrec.com/app#appuploadfiles/3a215810-5a77-5675-d1b9-49e0e9a7a603","CATERING &amp; BEVERAGE SERVICES LIMITED")</f>
      </c>
      <c r="B4180" s="3" t="s">
        <v>21</v>
      </c>
      <c r="C4180" s="4">
        <v>31</v>
      </c>
    </row>
    <row r="4181">
      <c r="A4181" s="5">
        <f>HYPERLINK("https://app-web.statementrec.com/app#appuploadfiles/3a21581b-c96c-d79b-5124-b49f8efc2920","Joanne Jackson")</f>
      </c>
      <c r="B4181" s="3" t="s">
        <v>242</v>
      </c>
      <c r="C4181" s="4">
        <v>19</v>
      </c>
    </row>
    <row r="4182">
      <c r="A4182" s="5">
        <f>HYPERLINK("https://app-web.statementrec.com/app#appuploadfiles/3a215822-21de-23aa-ad6a-a1d10ef9ac32","Visa July 2025-April 2026")</f>
      </c>
      <c r="B4182" s="3" t="s">
        <v>30</v>
      </c>
      <c r="C4182" s="4">
        <v>2</v>
      </c>
    </row>
    <row r="4183">
      <c r="A4183" s="5">
        <f>HYPERLINK("https://app-web.statementrec.com/app#appuploadfiles/3a215827-3fc1-d5d7-32d3-b1f39feaee7c","KOHTRAFFICSERVICES LTD")</f>
      </c>
      <c r="B4183" s="3" t="s">
        <v>11</v>
      </c>
      <c r="C4183" s="4">
        <v>13</v>
      </c>
    </row>
    <row r="4184">
      <c r="A4184" s="5">
        <f>HYPERLINK("https://app-web.statementrec.com/app#appuploadfiles/3a21582f-11d7-a672-8870-3c4d793e3062","Avril 2026")</f>
      </c>
      <c r="B4184" s="3" t="s">
        <v>778</v>
      </c>
      <c r="C4184" s="4">
        <v>14</v>
      </c>
    </row>
    <row r="4185">
      <c r="A4185" s="5">
        <f>HYPERLINK("https://app-web.statementrec.com/app#appuploadfiles/3a215834-92e2-6d77-2c7d-b7377f92fed0","SYSTEM OF ACC &amp; TAX SERV LLC")</f>
      </c>
      <c r="B4185" s="3" t="s">
        <v>58</v>
      </c>
      <c r="C4185" s="4">
        <v>14</v>
      </c>
    </row>
    <row r="4186">
      <c r="A4186" s="5">
        <f>HYPERLINK("https://app-web.statementrec.com/app#appuploadfiles/3a21583d-38f4-3561-8e98-84b048e89b86","Revolut Mar/Apr 2026")</f>
      </c>
      <c r="B4186" s="3" t="s">
        <v>11</v>
      </c>
      <c r="C4186" s="4">
        <v>7</v>
      </c>
    </row>
    <row r="4187">
      <c r="A4187" s="5">
        <f>HYPERLINK("https://app-web.statementrec.com/app#appuploadfiles/3a215840-9725-a274-48c0-f35e2140d0cf","MCH (SOUTHERN) LTD")</f>
      </c>
      <c r="B4187" s="3" t="s">
        <v>15</v>
      </c>
      <c r="C4187" s="4">
        <v>28</v>
      </c>
    </row>
    <row r="4188">
      <c r="A4188" s="5">
        <f>HYPERLINK("https://app-web.statementrec.com/app#appuploadfiles/3a215846-b089-1839-ac18-d85afdf3aa9d","Swyft Deliveries Ltd")</f>
      </c>
      <c r="B4188" s="3" t="s">
        <v>779</v>
      </c>
      <c r="C4188" s="4">
        <v>6</v>
      </c>
    </row>
    <row r="4189">
      <c r="A4189" s="5">
        <f>HYPERLINK("https://app-web.statementrec.com/app#appuploadfiles/3a21585a-d419-ecf0-ea70-e1614322c861","BCIA")</f>
      </c>
      <c r="B4189" s="3" t="s">
        <v>412</v>
      </c>
      <c r="C4189" s="4">
        <v>6</v>
      </c>
    </row>
    <row r="4190">
      <c r="A4190" s="5">
        <f>HYPERLINK("https://app-web.statementrec.com/app#appuploadfiles/3a21588e-c86a-205c-f33d-d86a438d1f52","Diffee Bobcat Services")</f>
      </c>
      <c r="B4190" s="3" t="s">
        <v>780</v>
      </c>
      <c r="C4190" s="4">
        <v>73</v>
      </c>
    </row>
    <row r="4191">
      <c r="A4191" s="5">
        <f>HYPERLINK("https://app-web.statementrec.com/app#appuploadfiles/3a215899-7505-6304-d12e-ae2de078ba44","Lynn Kelly 25")</f>
      </c>
      <c r="B4191" s="3" t="s">
        <v>75</v>
      </c>
      <c r="C4191" s="4">
        <v>14</v>
      </c>
    </row>
    <row r="4192">
      <c r="A4192" s="5">
        <f>HYPERLINK("https://app-web.statementrec.com/app#appuploadfiles/3a21589f-1f75-7e70-0711-69ba5e7e7725","The Algilani Law Fim LLC")</f>
      </c>
      <c r="B4192" s="3" t="s">
        <v>466</v>
      </c>
      <c r="C4192" s="4">
        <v>6</v>
      </c>
    </row>
    <row r="4193">
      <c r="A4193" s="5">
        <f>HYPERLINK("https://app-web.statementrec.com/app#appuploadfiles/3a2158a7-3fa9-7831-f315-82ada5473439","2026-01 a 2026-04")</f>
      </c>
      <c r="B4193" s="3" t="s">
        <v>56</v>
      </c>
      <c r="C4193" s="4">
        <v>13</v>
      </c>
    </row>
    <row r="4194">
      <c r="A4194" s="5">
        <f>HYPERLINK("https://app-web.statementrec.com/app#appuploadfiles/3a2158a8-87ab-0709-8d7b-f3b96fec1619","mars 2026")</f>
      </c>
      <c r="B4194" s="3" t="s">
        <v>466</v>
      </c>
      <c r="C4194" s="4">
        <v>4</v>
      </c>
    </row>
    <row r="4195">
      <c r="A4195" s="5">
        <f>HYPERLINK("https://app-web.statementrec.com/app#appuploadfiles/3a2158ed-d8d9-487b-873d-52832fc4ce87","0426_Capela_Visa_Apr_26")</f>
      </c>
      <c r="B4195" s="3" t="s">
        <v>294</v>
      </c>
      <c r="C4195" s="4">
        <v>10</v>
      </c>
    </row>
    <row r="4196">
      <c r="A4196" s="5">
        <f>HYPERLINK("https://app-web.statementrec.com/app#appuploadfiles/3a2158f4-1947-9a1c-359d-a354ceee2e53","TJL Bookkeeping")</f>
      </c>
      <c r="B4196" s="3" t="s">
        <v>40</v>
      </c>
      <c r="C4196" s="4">
        <v>2</v>
      </c>
    </row>
    <row r="4197">
      <c r="A4197" s="5">
        <f>HYPERLINK("https://app-web.statementrec.com/app#appuploadfiles/3a215909-db10-fb9e-8b04-15e192c91767","Mohit sharma")</f>
      </c>
      <c r="B4197" s="3" t="s">
        <v>16</v>
      </c>
      <c r="C4197" s="4">
        <v>2</v>
      </c>
    </row>
    <row r="4198">
      <c r="A4198" s="5">
        <f>HYPERLINK("https://app-web.statementrec.com/app#appuploadfiles/3a215980-09a7-233c-e0fb-23baef3f6760","MP Foodie Events Limited")</f>
      </c>
      <c r="B4198" s="3" t="s">
        <v>26</v>
      </c>
      <c r="C4198" s="4">
        <v>3</v>
      </c>
    </row>
    <row r="4199">
      <c r="A4199" s="5">
        <f>HYPERLINK("https://app-web.statementrec.com/app#appuploadfiles/3a215987-c763-3402-223c-3e66bb3205e7","Sweeney May'26")</f>
      </c>
      <c r="B4199" s="3" t="s">
        <v>19</v>
      </c>
      <c r="C4199" s="4">
        <v>4</v>
      </c>
    </row>
    <row r="4200">
      <c r="A4200" s="5">
        <f>HYPERLINK("https://app-web.statementrec.com/app#appuploadfiles/3a21599a-f848-4178-3e46-f5f156a01e8b","02576-Original El Charro 1, LLC")</f>
      </c>
      <c r="B4200" s="3" t="s">
        <v>781</v>
      </c>
      <c r="C4200" s="4">
        <v>99</v>
      </c>
    </row>
    <row r="4201">
      <c r="A4201" s="5">
        <f>HYPERLINK("https://app-web.statementrec.com/app#appuploadfiles/3a21599d-2800-7c26-2e19-84523989d60d","1956CC 04-11")</f>
      </c>
      <c r="B4201" s="3" t="s">
        <v>46</v>
      </c>
      <c r="C4201" s="4">
        <v>8</v>
      </c>
    </row>
    <row r="4202">
      <c r="A4202" s="5">
        <f>HYPERLINK("https://app-web.statementrec.com/app#appuploadfiles/3a21599e-0773-cc7b-f4c0-8b72edea4530","2960 CC April-06")</f>
      </c>
      <c r="B4202" s="3" t="s">
        <v>16</v>
      </c>
      <c r="C4202" s="4">
        <v>8</v>
      </c>
    </row>
    <row r="4203">
      <c r="A4203" s="5">
        <f>HYPERLINK("https://app-web.statementrec.com/app#appuploadfiles/3a215a32-82be-0a8e-829e-b8c69c25aacf","T Neale Jan-Mar26")</f>
      </c>
      <c r="B4203" s="3" t="s">
        <v>56</v>
      </c>
      <c r="C4203" s="4">
        <v>5</v>
      </c>
    </row>
    <row r="4204">
      <c r="A4204" s="5">
        <f>HYPERLINK("https://app-web.statementrec.com/app#appuploadfiles/3a215a5c-6d23-9c08-5819-2822a075d1dd","A1 Autism Consultants LLC")</f>
      </c>
      <c r="B4204" s="3" t="s">
        <v>782</v>
      </c>
      <c r="C4204" s="4">
        <v>40</v>
      </c>
    </row>
    <row r="4205">
      <c r="A4205" s="5">
        <f>HYPERLINK("https://app-web.statementrec.com/app#appuploadfiles/3a215a7d-085e-1cb8-2165-791d8db9d591","MCC")</f>
      </c>
      <c r="B4205" s="3" t="s">
        <v>466</v>
      </c>
      <c r="C4205" s="4">
        <v>37</v>
      </c>
    </row>
    <row r="4206">
      <c r="A4206" s="5">
        <f>HYPERLINK("https://app-web.statementrec.com/app#appuploadfiles/3a215b4d-601e-568a-a06c-4b63784c20bf","Mega Haul")</f>
      </c>
      <c r="B4206" s="3" t="s">
        <v>38</v>
      </c>
      <c r="C4206" s="4">
        <v>8</v>
      </c>
    </row>
    <row r="4207">
      <c r="A4207" s="5">
        <f>HYPERLINK("https://app-web.statementrec.com/app#appuploadfiles/3a215b50-58e0-e74e-eaba-b2ef2e0059c0","FerFam Pty Ltd")</f>
      </c>
      <c r="B4207" s="3" t="s">
        <v>206</v>
      </c>
      <c r="C4207" s="4">
        <v>24</v>
      </c>
    </row>
    <row r="4208">
      <c r="A4208" s="5">
        <f>HYPERLINK("https://app-web.statementrec.com/app#appuploadfiles/3a215b7d-46a8-88d1-e275-590b8b87f737","MMH Group L.L.C-FZ")</f>
      </c>
      <c r="B4208" s="3" t="s">
        <v>783</v>
      </c>
      <c r="C4208" s="4">
        <v>4</v>
      </c>
    </row>
    <row r="4209">
      <c r="A4209" s="5">
        <f>HYPERLINK("https://app-web.statementrec.com/app#appuploadfiles/3a215b7d-995e-1497-613c-54230593fcc7","FB Commercial L.L.C-FZ")</f>
      </c>
      <c r="B4209" s="3" t="s">
        <v>783</v>
      </c>
      <c r="C4209" s="4">
        <v>5</v>
      </c>
    </row>
    <row r="4210">
      <c r="A4210" s="5">
        <f>HYPERLINK("https://app-web.statementrec.com/app#appuploadfiles/3a215b7e-b801-8106-5194-211276fada26","Bhader Sandhu")</f>
      </c>
      <c r="B4210" s="3" t="s">
        <v>784</v>
      </c>
      <c r="C4210" s="4">
        <v>148</v>
      </c>
    </row>
    <row r="4211">
      <c r="A4211" s="5">
        <f>HYPERLINK("https://app-web.statementrec.com/app#appuploadfiles/3a215b86-82cb-879a-7df8-754d174a7c4c","April 24 - March 25")</f>
      </c>
      <c r="B4211" s="3" t="s">
        <v>80</v>
      </c>
      <c r="C4211" s="4">
        <v>14</v>
      </c>
    </row>
    <row r="4212">
      <c r="A4212" s="5">
        <f>HYPERLINK("https://app-web.statementrec.com/app#appuploadfiles/3a215bb0-5579-1f4e-f92d-7ca4cce1a900","March 2023- 6 March 2024")</f>
      </c>
      <c r="B4212" s="3" t="s">
        <v>80</v>
      </c>
      <c r="C4212" s="4">
        <v>10</v>
      </c>
    </row>
    <row r="4213">
      <c r="A4213" s="5">
        <f>HYPERLINK("https://app-web.statementrec.com/app#appuploadfiles/3a215bbf-e629-cd7f-a10c-1e1a4395e7f9","Jobwise Limited")</f>
      </c>
      <c r="B4213" s="3" t="s">
        <v>17</v>
      </c>
      <c r="C4213" s="4">
        <v>4</v>
      </c>
    </row>
    <row r="4214">
      <c r="A4214" s="5">
        <f>HYPERLINK("https://app-web.statementrec.com/app#appuploadfiles/3a215bc3-4a96-bd7d-ab0a-dd5f70bf1be7","Pomade  Realtors Limited")</f>
      </c>
      <c r="B4214" s="3" t="s">
        <v>785</v>
      </c>
      <c r="C4214" s="4">
        <v>24</v>
      </c>
    </row>
    <row r="4215">
      <c r="A4215" s="5">
        <f>HYPERLINK("https://app-web.statementrec.com/app#appuploadfiles/3a215bdb-1b75-4e0f-e867-9be61831f8e5","CA Cosmetics 2025")</f>
      </c>
      <c r="B4215" s="3" t="s">
        <v>10</v>
      </c>
      <c r="C4215" s="4">
        <v>58</v>
      </c>
    </row>
    <row r="4216">
      <c r="A4216" s="5">
        <f>HYPERLINK("https://app-web.statementrec.com/app#appuploadfiles/3a215bde-b1ac-fd1f-d7ba-965bbb8b2f20","Boca Construction Ltd")</f>
      </c>
      <c r="B4216" s="3" t="s">
        <v>52</v>
      </c>
      <c r="C4216" s="4">
        <v>12</v>
      </c>
    </row>
    <row r="4217">
      <c r="A4217" s="5">
        <f>HYPERLINK("https://app-web.statementrec.com/app#appuploadfiles/3a215bdf-e8b7-c624-d575-080643cf6e17","The Plough")</f>
      </c>
      <c r="B4217" s="3" t="s">
        <v>786</v>
      </c>
      <c r="C4217" s="4">
        <v>16</v>
      </c>
    </row>
    <row r="4218">
      <c r="A4218" s="5">
        <f>HYPERLINK("https://app-web.statementrec.com/app#appuploadfiles/3a215be3-270f-a303-570d-015bd7718c6e","The Academy Hair &amp; Beauty Ltd")</f>
      </c>
      <c r="B4218" s="3" t="s">
        <v>63</v>
      </c>
      <c r="C4218" s="4">
        <v>20</v>
      </c>
    </row>
    <row r="4219">
      <c r="A4219" s="5">
        <f>HYPERLINK("https://app-web.statementrec.com/app#appuploadfiles/3a215be4-064b-f007-ff85-f54fb7f4003d","24-7 CCTV Security Ltd")</f>
      </c>
      <c r="B4219" s="3" t="s">
        <v>17</v>
      </c>
      <c r="C4219" s="4">
        <v>11</v>
      </c>
    </row>
    <row r="4220">
      <c r="A4220" s="5">
        <f>HYPERLINK("https://app-web.statementrec.com/app#appuploadfiles/3a215be5-2c40-2a76-c089-476dc2fa13e4","Imagine Care Limited")</f>
      </c>
      <c r="B4220" s="3" t="s">
        <v>30</v>
      </c>
      <c r="C4220" s="4">
        <v>20</v>
      </c>
    </row>
    <row r="4221">
      <c r="A4221" s="5">
        <f>HYPERLINK("https://app-web.statementrec.com/app#appuploadfiles/3a215bed-9f05-ece7-ecd3-130ea1436fc0","05/04/2026")</f>
      </c>
      <c r="B4221" s="3" t="s">
        <v>370</v>
      </c>
      <c r="C4221" s="4">
        <v>17</v>
      </c>
    </row>
    <row r="4222">
      <c r="A4222" s="5">
        <f>HYPERLINK("https://app-web.statementrec.com/app#appuploadfiles/3a215bee-a2b9-7b26-f53c-d64388c57af7","01.02.26 - 30.04.26")</f>
      </c>
      <c r="B4222" s="3" t="s">
        <v>15</v>
      </c>
      <c r="C4222" s="4">
        <v>11</v>
      </c>
    </row>
    <row r="4223">
      <c r="A4223" s="5">
        <f>HYPERLINK("https://app-web.statementrec.com/app#appuploadfiles/3a215bf1-3da8-2173-b24c-b3fa6479eeac","NO 1 CARAVAN BUYERS UK LTD")</f>
      </c>
      <c r="B4223" s="3" t="s">
        <v>12</v>
      </c>
      <c r="C4223" s="4">
        <v>2</v>
      </c>
    </row>
    <row r="4224">
      <c r="A4224" s="5">
        <f>HYPERLINK("https://app-web.statementrec.com/app#appuploadfiles/3a215c03-d4c5-ee41-a0ea-eeb138cc9d2b","Adrian Hawel")</f>
      </c>
      <c r="B4224" s="3" t="s">
        <v>168</v>
      </c>
      <c r="C4224" s="4">
        <v>12</v>
      </c>
    </row>
    <row r="4225">
      <c r="A4225" s="5">
        <f>HYPERLINK("https://app-web.statementrec.com/app#appuploadfiles/3a215c04-596c-ec9e-76a2-610ed772d741","HOMEMOVE LETTING LTD")</f>
      </c>
      <c r="B4225" s="3" t="s">
        <v>17</v>
      </c>
      <c r="C4225" s="4">
        <v>4</v>
      </c>
    </row>
    <row r="4226">
      <c r="A4226" s="5">
        <f>HYPERLINK("https://app-web.statementrec.com/app#appuploadfiles/3a215c14-a069-476f-cf55-b4729986f008","Ophthalmology Innovations Ltd")</f>
      </c>
      <c r="B4226" s="3" t="s">
        <v>787</v>
      </c>
      <c r="C4226" s="4">
        <v>32</v>
      </c>
    </row>
    <row r="4227">
      <c r="A4227" s="5">
        <f>HYPERLINK("https://app-web.statementrec.com/app#appuploadfiles/3a215c1b-46b0-cf38-09ea-1800cc4616b3","AMP37 Ltd")</f>
      </c>
      <c r="B4227" s="3" t="s">
        <v>26</v>
      </c>
      <c r="C4227" s="4">
        <v>30</v>
      </c>
    </row>
    <row r="4228">
      <c r="A4228" s="5">
        <f>HYPERLINK("https://app-web.statementrec.com/app#appuploadfiles/3a215c1d-eff9-3d0f-0a21-015fd2a6e908","Y/E 31.03.2026")</f>
      </c>
      <c r="B4228" s="3" t="s">
        <v>15</v>
      </c>
      <c r="C4228" s="4">
        <v>11</v>
      </c>
    </row>
    <row r="4229">
      <c r="A4229" s="5">
        <f>HYPERLINK("https://app-web.statementrec.com/app#appuploadfiles/3a215c22-6a4b-ab1a-adac-86813cc4cb76","Renovate with MJ")</f>
      </c>
      <c r="B4229" s="3" t="s">
        <v>21</v>
      </c>
      <c r="C4229" s="4">
        <v>10</v>
      </c>
    </row>
    <row r="4230">
      <c r="A4230" s="5">
        <f>HYPERLINK("https://app-web.statementrec.com/app#appuploadfiles/3a215c32-1dde-019e-5baa-2579a046ce24","May 2026")</f>
      </c>
      <c r="B4230" s="3" t="s">
        <v>17</v>
      </c>
      <c r="C4230" s="4">
        <v>29</v>
      </c>
    </row>
    <row r="4231">
      <c r="A4231" s="5">
        <f>HYPERLINK("https://app-web.statementrec.com/app#appuploadfiles/3a215c32-b430-9f1e-d725-4deabe05eb00","Fieldmaster")</f>
      </c>
      <c r="B4231" s="3" t="s">
        <v>3</v>
      </c>
      <c r="C4231" s="4">
        <v>3</v>
      </c>
    </row>
    <row r="4232">
      <c r="A4232" s="5">
        <f>HYPERLINK("https://app-web.statementrec.com/app#appuploadfiles/3a215c32-efa8-38b6-69e2-e37a8274222f","Wigginton Fields Residents Association")</f>
      </c>
      <c r="B4232" s="3" t="s">
        <v>18</v>
      </c>
      <c r="C4232" s="4">
        <v>4</v>
      </c>
    </row>
    <row r="4233">
      <c r="A4233" s="5">
        <f>HYPERLINK("https://app-web.statementrec.com/app#appuploadfiles/3a215c55-cd41-2896-f63a-f36c822351b7","Allan Akers")</f>
      </c>
      <c r="B4233" s="3" t="s">
        <v>168</v>
      </c>
      <c r="C4233" s="4">
        <v>8</v>
      </c>
    </row>
    <row r="4234">
      <c r="A4234" s="5">
        <f>HYPERLINK("https://app-web.statementrec.com/app#appuploadfiles/3a215c58-130a-3615-a922-9d11327f2964","missing transactions feb 2026")</f>
      </c>
      <c r="B4234" s="3" t="s">
        <v>17</v>
      </c>
      <c r="C4234" s="4">
        <v>1</v>
      </c>
    </row>
    <row r="4235">
      <c r="A4235" s="5">
        <f>HYPERLINK("https://app-web.statementrec.com/app#appuploadfiles/3a215c62-fb4f-040c-e3e1-1da6b36e6ca3","021 kesha 2026")</f>
      </c>
      <c r="B4235" s="3" t="s">
        <v>10</v>
      </c>
      <c r="C4235" s="4">
        <v>12</v>
      </c>
    </row>
    <row r="4236">
      <c r="A4236" s="5">
        <f>HYPERLINK("https://app-web.statementrec.com/app#appuploadfiles/3a215c65-b4b9-cead-e7b8-3068bdab4b27","294 kesha 2026")</f>
      </c>
      <c r="B4236" s="3" t="s">
        <v>10</v>
      </c>
      <c r="C4236" s="4">
        <v>6</v>
      </c>
    </row>
    <row r="4237">
      <c r="A4237" s="5">
        <f>HYPERLINK("https://app-web.statementrec.com/app#appuploadfiles/3a215c6d-a0eb-7539-1b9a-67aab2d91a06","XN GLOBAL SYSTEMS LIMITED")</f>
      </c>
      <c r="B4237" s="3" t="s">
        <v>18</v>
      </c>
      <c r="C4237" s="4">
        <v>16</v>
      </c>
    </row>
    <row r="4238">
      <c r="A4238" s="5">
        <f>HYPERLINK("https://app-web.statementrec.com/app#appuploadfiles/3a215c7e-c5bb-6b63-26cb-a950a65789e9","01.04.2026 to 11.05.2026")</f>
      </c>
      <c r="B4238" s="3" t="s">
        <v>788</v>
      </c>
      <c r="C4238" s="4">
        <v>10</v>
      </c>
    </row>
    <row r="4239">
      <c r="A4239" s="5">
        <f>HYPERLINK("https://app-web.statementrec.com/app#appuploadfiles/3a215c8a-02d3-5477-1f33-b2c6c20fa4bc","June 25 - May 26")</f>
      </c>
      <c r="B4239" s="3" t="s">
        <v>80</v>
      </c>
      <c r="C4239" s="4">
        <v>5</v>
      </c>
    </row>
    <row r="4240">
      <c r="A4240" s="5">
        <f>HYPERLINK("https://app-web.statementrec.com/app#appuploadfiles/3a215c8e-d8ca-5651-2e95-11c073e0ec3f","Tuffbag Ltd")</f>
      </c>
      <c r="B4240" s="3" t="s">
        <v>12</v>
      </c>
      <c r="C4240" s="4">
        <v>12</v>
      </c>
    </row>
    <row r="4241">
      <c r="A4241" s="5">
        <f>HYPERLINK("https://app-web.statementrec.com/app#appuploadfiles/3a215c99-75ff-6f64-e9f8-616e22af7ab7","0304 THE HOME DEPOT")</f>
      </c>
      <c r="B4241" s="3" t="s">
        <v>30</v>
      </c>
      <c r="C4241" s="4">
        <v>4</v>
      </c>
    </row>
    <row r="4242">
      <c r="A4242" s="5">
        <f>HYPERLINK("https://app-web.statementrec.com/app#appuploadfiles/3a215c9a-b4c2-5065-9fe9-4ecb3d63d0bb","Access &amp; Lifting Solutions Ltd")</f>
      </c>
      <c r="B4242" s="3" t="s">
        <v>84</v>
      </c>
      <c r="C4242" s="4">
        <v>124</v>
      </c>
    </row>
    <row r="4243">
      <c r="A4243" s="5">
        <f>HYPERLINK("https://app-web.statementrec.com/app#appuploadfiles/3a215ca1-3d59-64ab-181a-a003d2425b77","Nick Jeans T/A Gas and Plumbing Services")</f>
      </c>
      <c r="B4243" s="3" t="s">
        <v>18</v>
      </c>
      <c r="C4243" s="4">
        <v>58</v>
      </c>
    </row>
    <row r="4244">
      <c r="A4244" s="5">
        <f>HYPERLINK("https://app-web.statementrec.com/app#appuploadfiles/3a215ca4-b932-0741-2e24-133cef9fa900","Andrew Green")</f>
      </c>
      <c r="B4244" s="3" t="s">
        <v>19</v>
      </c>
      <c r="C4244" s="4">
        <v>43</v>
      </c>
    </row>
    <row r="4245">
      <c r="A4245" s="5">
        <f>HYPERLINK("https://app-web.statementrec.com/app#appuploadfiles/3a215cae-b4c6-79f1-6f4c-bb75237c778e","FOREST ROCK SYSTEMS LTD.")</f>
      </c>
      <c r="B4245" s="3" t="s">
        <v>18</v>
      </c>
      <c r="C4245" s="4">
        <v>8</v>
      </c>
    </row>
    <row r="4246">
      <c r="A4246" s="5">
        <f>HYPERLINK("https://app-web.statementrec.com/app#appuploadfiles/3a215ccb-63e0-9f0b-0962-b32eb49363e5","0426")</f>
      </c>
      <c r="B4246" s="3" t="s">
        <v>17</v>
      </c>
      <c r="C4246" s="4">
        <v>5</v>
      </c>
    </row>
    <row r="4247">
      <c r="A4247" s="5">
        <f>HYPERLINK("https://app-web.statementrec.com/app#appuploadfiles/3a215ccf-bbb1-3d0d-cc4e-ca64b82c9295","May 2026")</f>
      </c>
      <c r="B4247" s="3" t="s">
        <v>789</v>
      </c>
      <c r="C4247" s="4">
        <v>14</v>
      </c>
    </row>
    <row r="4248">
      <c r="A4248" s="5">
        <f>HYPERLINK("https://app-web.statementrec.com/app#appuploadfiles/3a215cd3-1c58-c087-b667-f3029d2279de","Radiana")</f>
      </c>
      <c r="B4248" s="3" t="s">
        <v>17</v>
      </c>
      <c r="C4248" s="4">
        <v>16</v>
      </c>
    </row>
    <row r="4249">
      <c r="A4249" s="5">
        <f>HYPERLINK("https://app-web.statementrec.com/app#appuploadfiles/3a215ce3-c9ed-0005-d414-6686c8ae9689","EDJ VNTGE LTD1")</f>
      </c>
      <c r="B4249" s="3" t="s">
        <v>790</v>
      </c>
      <c r="C4249" s="4">
        <v>6</v>
      </c>
    </row>
    <row r="4250">
      <c r="A4250" s="5">
        <f>HYPERLINK("https://app-web.statementrec.com/app#appuploadfiles/3a215cef-7e66-32de-8937-93a250526d18","MIEKA LTD")</f>
      </c>
      <c r="B4250" s="3" t="s">
        <v>15</v>
      </c>
      <c r="C4250" s="4">
        <v>12</v>
      </c>
    </row>
    <row r="4251">
      <c r="A4251" s="5">
        <f>HYPERLINK("https://app-web.statementrec.com/app#appuploadfiles/3a215cf3-8ce4-1821-4b01-eedbd59526ca","JT BUSINESS COACHING &amp; CONSULTING LTD")</f>
      </c>
      <c r="B4251" s="3" t="s">
        <v>168</v>
      </c>
      <c r="C4251" s="4">
        <v>30</v>
      </c>
    </row>
    <row r="4252">
      <c r="A4252" s="5">
        <f>HYPERLINK("https://app-web.statementrec.com/app#appuploadfiles/3a215cf6-7f75-3a32-6273-2bf6b0ed5ee6","Credit 2026")</f>
      </c>
      <c r="B4252" s="3" t="s">
        <v>791</v>
      </c>
      <c r="C4252" s="4">
        <v>21</v>
      </c>
    </row>
    <row r="4253">
      <c r="A4253" s="5">
        <f>HYPERLINK("https://app-web.statementrec.com/app#appuploadfiles/3a215cfa-1923-66da-e2f1-94be2a33bf09","Sept - Oct 2025")</f>
      </c>
      <c r="B4253" s="3" t="s">
        <v>80</v>
      </c>
      <c r="C4253" s="4">
        <v>3</v>
      </c>
    </row>
    <row r="4254">
      <c r="A4254" s="5">
        <f>HYPERLINK("https://app-web.statementrec.com/app#appuploadfiles/3a215cfd-2372-1672-4e16-5a66b03ceba7","Fév à avr 2026")</f>
      </c>
      <c r="B4254" s="3" t="s">
        <v>185</v>
      </c>
      <c r="C4254" s="4">
        <v>16</v>
      </c>
    </row>
    <row r="4255">
      <c r="A4255" s="5">
        <f>HYPERLINK("https://app-web.statementrec.com/app#appuploadfiles/3a215cff-41e4-a5ba-3577-b09017a20901","DSWPROPERTY LTD")</f>
      </c>
      <c r="B4255" s="3" t="s">
        <v>168</v>
      </c>
      <c r="C4255" s="4">
        <v>16</v>
      </c>
    </row>
    <row r="4256">
      <c r="A4256" s="5">
        <f>HYPERLINK("https://app-web.statementrec.com/app#appuploadfiles/3a215d00-cd81-2d3c-1727-ca6fed401910","Fév à avr 2026")</f>
      </c>
      <c r="B4256" s="3" t="s">
        <v>158</v>
      </c>
      <c r="C4256" s="4">
        <v>18</v>
      </c>
    </row>
    <row r="4257">
      <c r="A4257" s="5">
        <f>HYPERLINK("https://app-web.statementrec.com/app#appuploadfiles/3a215d05-4e33-b874-9a95-0d2bed16a7f2","Fév à avr 2026")</f>
      </c>
      <c r="B4257" s="3" t="s">
        <v>158</v>
      </c>
      <c r="C4257" s="4">
        <v>19</v>
      </c>
    </row>
    <row r="4258">
      <c r="A4258" s="5">
        <f>HYPERLINK("https://app-web.statementrec.com/app#appuploadfiles/3a215d06-ec9c-bf3d-7aca-0c9f4006adec","James Avery")</f>
      </c>
      <c r="B4258" s="3" t="s">
        <v>792</v>
      </c>
      <c r="C4258" s="4">
        <v>23</v>
      </c>
    </row>
    <row r="4259">
      <c r="A4259" s="5">
        <f>HYPERLINK("https://app-web.statementrec.com/app#appuploadfiles/3a215d07-56f5-d28a-54d9-a978d53d6f7d","High Echelon PC")</f>
      </c>
      <c r="B4259" s="3" t="s">
        <v>793</v>
      </c>
      <c r="C4259" s="4">
        <v>8</v>
      </c>
    </row>
    <row r="4260">
      <c r="A4260" s="5">
        <f>HYPERLINK("https://app-web.statementrec.com/app#appuploadfiles/3a215d0e-0ea4-5ca1-3fe1-245a85856eac","bank to 31.3.26")</f>
      </c>
      <c r="B4260" s="3" t="s">
        <v>33</v>
      </c>
      <c r="C4260" s="4">
        <v>4</v>
      </c>
    </row>
    <row r="4261">
      <c r="A4261" s="5">
        <f>HYPERLINK("https://app-web.statementrec.com/app#appuploadfiles/3a215d14-b84e-ff06-6048-7d32b2f16592","J0006")</f>
      </c>
      <c r="B4261" s="3" t="s">
        <v>10</v>
      </c>
      <c r="C4261" s="4">
        <v>8</v>
      </c>
    </row>
    <row r="4262">
      <c r="A4262" s="5">
        <f>HYPERLINK("https://app-web.statementrec.com/app#appuploadfiles/3a215d16-d64c-fca9-43e1-cb68fd523787","KBT Counseling and Consulting")</f>
      </c>
      <c r="B4262" s="3" t="s">
        <v>58</v>
      </c>
      <c r="C4262" s="4">
        <v>2</v>
      </c>
    </row>
    <row r="4263">
      <c r="A4263" s="5">
        <f>HYPERLINK("https://app-web.statementrec.com/app#appuploadfiles/3a215d18-70ac-3fdd-3e26-736dc51b957a","SUMMIT ASSET FINANCE LIMITED")</f>
      </c>
      <c r="B4263" s="3" t="s">
        <v>29</v>
      </c>
      <c r="C4263" s="4">
        <v>21</v>
      </c>
    </row>
    <row r="4264">
      <c r="A4264" s="5">
        <f>HYPERLINK("https://app-web.statementrec.com/app#appuploadfiles/3a215d2f-5146-acc7-7dfc-57ea5c880f26","52912-26MA")</f>
      </c>
      <c r="B4264" s="3" t="s">
        <v>15</v>
      </c>
      <c r="C4264" s="4">
        <v>8</v>
      </c>
    </row>
    <row r="4265">
      <c r="A4265" s="5">
        <f>HYPERLINK("https://app-web.statementrec.com/app#appuploadfiles/3a215d33-af70-11a0-2d72-bfe35067de9d","Fév à avr 2026")</f>
      </c>
      <c r="B4265" s="3" t="s">
        <v>86</v>
      </c>
      <c r="C4265" s="4">
        <v>8</v>
      </c>
    </row>
    <row r="4266">
      <c r="A4266" s="5">
        <f>HYPERLINK("https://app-web.statementrec.com/app#appuploadfiles/3a215d36-98f3-a69f-5ac2-69a62e67d4b3","Fév à avr 2026")</f>
      </c>
      <c r="B4266" s="3" t="s">
        <v>40</v>
      </c>
      <c r="C4266" s="4">
        <v>8</v>
      </c>
    </row>
    <row r="4267">
      <c r="A4267" s="5">
        <f>HYPERLINK("https://app-web.statementrec.com/app#appuploadfiles/3a215d40-4121-0c1a-1a35-80e2223e923c","42616 Tallon")</f>
      </c>
      <c r="B4267" s="3" t="s">
        <v>84</v>
      </c>
      <c r="C4267" s="4">
        <v>3</v>
      </c>
    </row>
    <row r="4268">
      <c r="A4268" s="5">
        <f>HYPERLINK("https://app-web.statementrec.com/app#appuploadfiles/3a215d40-cdae-a705-3578-37ccb1d81c34","FOREST ROCK SYSTEMS LTD..")</f>
      </c>
      <c r="B4268" s="3" t="s">
        <v>13</v>
      </c>
      <c r="C4268" s="4">
        <v>9</v>
      </c>
    </row>
    <row r="4269">
      <c r="A4269" s="5">
        <f>HYPERLINK("https://app-web.statementrec.com/app#appuploadfiles/3a215d48-ce60-27cc-5850-ef41513d75e6","Anselm Construction Ltd")</f>
      </c>
      <c r="B4269" s="3" t="s">
        <v>75</v>
      </c>
      <c r="C4269" s="4">
        <v>50</v>
      </c>
    </row>
    <row r="4270">
      <c r="A4270" s="5">
        <f>HYPERLINK("https://app-web.statementrec.com/app#appuploadfiles/3a215d4f-f355-6306-c8cc-ab17e48f112e","TS0028C Cloud Service Hosting LTD")</f>
      </c>
      <c r="B4270" s="3" t="s">
        <v>70</v>
      </c>
      <c r="C4270" s="4">
        <v>16</v>
      </c>
    </row>
    <row r="4271">
      <c r="A4271" s="5">
        <f>HYPERLINK("https://app-web.statementrec.com/app#appuploadfiles/3a215d54-98f0-7f0f-6d81-2d29907ce38f","Kieran Coakley Agri Ltd")</f>
      </c>
      <c r="B4271" s="3" t="s">
        <v>513</v>
      </c>
      <c r="C4271" s="4">
        <v>13</v>
      </c>
    </row>
    <row r="4272">
      <c r="A4272" s="5">
        <f>HYPERLINK("https://app-web.statementrec.com/app#appuploadfiles/3a215d79-6fc6-506c-be54-be075201d0d3","High Echelon PC")</f>
      </c>
      <c r="B4272" s="3" t="s">
        <v>794</v>
      </c>
      <c r="C4272" s="4">
        <v>8</v>
      </c>
    </row>
    <row r="4273">
      <c r="A4273" s="5">
        <f>HYPERLINK("https://app-web.statementrec.com/app#appuploadfiles/3a215d82-6f18-94f6-9c43-8f68cab532e1","JEDIMED WORLD")</f>
      </c>
      <c r="B4273" s="3" t="s">
        <v>47</v>
      </c>
      <c r="C4273" s="4">
        <v>12</v>
      </c>
    </row>
    <row r="4274">
      <c r="A4274" s="5">
        <f>HYPERLINK("https://app-web.statementrec.com/app#appuploadfiles/3a215d84-e619-31d0-8df6-a18b336b6232","Toni Lamb")</f>
      </c>
      <c r="B4274" s="3" t="s">
        <v>168</v>
      </c>
      <c r="C4274" s="4">
        <v>4</v>
      </c>
    </row>
    <row r="4275">
      <c r="A4275" s="5">
        <f>HYPERLINK("https://app-web.statementrec.com/app#appuploadfiles/3a215db5-6adc-86e9-7ce2-0e0cacd75fb5","Fielding Resources Ltd")</f>
      </c>
      <c r="B4275" s="3" t="s">
        <v>503</v>
      </c>
      <c r="C4275" s="4">
        <v>4</v>
      </c>
    </row>
    <row r="4276">
      <c r="A4276" s="5">
        <f>HYPERLINK("https://app-web.statementrec.com/app#appuploadfiles/3a215dcb-b436-d781-421e-bf80988cb64d","CC MAY 19")</f>
      </c>
      <c r="B4276" s="3" t="s">
        <v>58</v>
      </c>
      <c r="C4276" s="4">
        <v>6</v>
      </c>
    </row>
    <row r="4277">
      <c r="A4277" s="5">
        <f>HYPERLINK("https://app-web.statementrec.com/app#appuploadfiles/3a215dd5-b4ad-530d-52aa-d94ea904dca0","ITBS Corp")</f>
      </c>
      <c r="B4277" s="3" t="s">
        <v>795</v>
      </c>
      <c r="C4277" s="4">
        <v>47</v>
      </c>
    </row>
    <row r="4278">
      <c r="A4278" s="5">
        <f>HYPERLINK("https://app-web.statementrec.com/app#appuploadfiles/3a215de0-4b2b-bf1d-7693-5d1df27f3deb","Kathy Leblanc CPA inc.")</f>
      </c>
      <c r="B4278" s="3" t="s">
        <v>294</v>
      </c>
      <c r="C4278" s="4">
        <v>3</v>
      </c>
    </row>
    <row r="4279">
      <c r="A4279" s="5">
        <f>HYPERLINK("https://app-web.statementrec.com/app#appuploadfiles/3a215e0e-245f-9d5a-4274-b5c8ca0350bf","Revolut GBP - 30-04-2026")</f>
      </c>
      <c r="B4279" s="3" t="s">
        <v>26</v>
      </c>
      <c r="C4279" s="4">
        <v>4</v>
      </c>
    </row>
    <row r="4280">
      <c r="A4280" s="5">
        <f>HYPERLINK("https://app-web.statementrec.com/app#appuploadfiles/3a215e0e-8a99-e043-e5bc-7a1ced5dc15d","Currenxie - 30-04-26")</f>
      </c>
      <c r="B4280" s="3" t="s">
        <v>326</v>
      </c>
      <c r="C4280" s="4">
        <v>12</v>
      </c>
    </row>
    <row r="4281">
      <c r="A4281" s="5">
        <f>HYPERLINK("https://app-web.statementrec.com/app#appuploadfiles/3a215e2f-cb22-136e-a42a-e261a7bd1ffb","March-25")</f>
      </c>
      <c r="B4281" s="3" t="s">
        <v>56</v>
      </c>
      <c r="C4281" s="4">
        <v>5</v>
      </c>
    </row>
    <row r="4282">
      <c r="A4282" s="5">
        <f>HYPERLINK("https://app-web.statementrec.com/app#appuploadfiles/3a215efb-cebc-7e55-8f01-27fe9a0f83fb","Lahontan 052145 April 2026")</f>
      </c>
      <c r="B4282" s="3" t="s">
        <v>796</v>
      </c>
      <c r="C4282" s="4">
        <v>1</v>
      </c>
    </row>
    <row r="4283">
      <c r="A4283" s="5">
        <f>HYPERLINK("https://app-web.statementrec.com/app#appuploadfiles/3a215eff-daf4-45b6-517a-c8ff5096998f","TP Gifts &amp; Co.")</f>
      </c>
      <c r="B4283" s="3" t="s">
        <v>214</v>
      </c>
      <c r="C4283" s="4">
        <v>4</v>
      </c>
    </row>
    <row r="4284">
      <c r="A4284" s="5">
        <f>HYPERLINK("https://app-web.statementrec.com/app#appuploadfiles/3a215f06-a530-b139-e79b-6f389ea00f25","JHBerk 040562 April 25")</f>
      </c>
      <c r="B4284" s="3" t="s">
        <v>796</v>
      </c>
      <c r="C4284" s="4">
        <v>2</v>
      </c>
    </row>
    <row r="4285">
      <c r="A4285" s="5">
        <f>HYPERLINK("https://app-web.statementrec.com/app#appuploadfiles/3a215fe5-ca0c-005b-388c-4bfc19ec275f","Dandenong Gospel Hall March QTR BAS")</f>
      </c>
      <c r="B4285" s="3" t="s">
        <v>153</v>
      </c>
      <c r="C4285" s="4">
        <v>9</v>
      </c>
    </row>
    <row r="4286">
      <c r="A4286" s="5">
        <f>HYPERLINK("https://app-web.statementrec.com/app#appuploadfiles/3a21605e-9a18-da4a-dead-6a789d5add4a","Sakkie Mouton Trust")</f>
      </c>
      <c r="B4286" s="3" t="s">
        <v>121</v>
      </c>
      <c r="C4286" s="4">
        <v>2</v>
      </c>
    </row>
    <row r="4287">
      <c r="A4287" s="5">
        <f>HYPERLINK("https://app-web.statementrec.com/app#appuploadfiles/3a21606e-1bc2-71a0-a09d-e1e2d48d6f63","EV")</f>
      </c>
      <c r="B4287" s="3" t="s">
        <v>60</v>
      </c>
      <c r="C4287" s="4">
        <v>2</v>
      </c>
    </row>
    <row r="4288">
      <c r="A4288" s="5">
        <f>HYPERLINK("https://app-web.statementrec.com/app#appuploadfiles/3a2160ab-4e6c-8ed6-5db6-2cb7c49d4aca","DMS MEATS LIMITED")</f>
      </c>
      <c r="B4288" s="3" t="s">
        <v>22</v>
      </c>
      <c r="C4288" s="4">
        <v>42</v>
      </c>
    </row>
    <row r="4289">
      <c r="A4289" s="5">
        <f>HYPERLINK("https://app-web.statementrec.com/app#appuploadfiles/3a2160eb-c2f7-f97f-5ce3-15fbe5b1d400","25-26")</f>
      </c>
      <c r="B4289" s="3" t="s">
        <v>21</v>
      </c>
      <c r="C4289" s="4">
        <v>31</v>
      </c>
    </row>
    <row r="4290">
      <c r="A4290" s="5">
        <f>HYPERLINK("https://app-web.statementrec.com/app#appuploadfiles/3a2160ee-a286-aaf9-d068-08180e1609aa","NNK OVERSEAS LIMITED")</f>
      </c>
      <c r="B4290" s="3" t="s">
        <v>797</v>
      </c>
      <c r="C4290" s="4">
        <v>6</v>
      </c>
    </row>
    <row r="4291">
      <c r="A4291" s="5">
        <f>HYPERLINK("https://app-web.statementrec.com/app#appuploadfiles/3a2160ee-e6d8-4a94-2e21-d1c0b9902c8a","BELLMANS YARD GARAGE LTD")</f>
      </c>
      <c r="B4291" s="3" t="s">
        <v>18</v>
      </c>
      <c r="C4291" s="4">
        <v>2</v>
      </c>
    </row>
    <row r="4292">
      <c r="A4292" s="5">
        <f>HYPERLINK("https://app-web.statementrec.com/app#appuploadfiles/3a2160f1-189e-bdd6-26d0-7a32ec2f03cd","Premier Housing NW Ltd")</f>
      </c>
      <c r="B4292" s="3" t="s">
        <v>15</v>
      </c>
      <c r="C4292" s="4">
        <v>18</v>
      </c>
    </row>
    <row r="4293">
      <c r="A4293" s="5">
        <f>HYPERLINK("https://app-web.statementrec.com/app#appuploadfiles/3a216113-0fdc-42cc-e328-256677c993e5","DM3690 - J&amp;A Henry")</f>
      </c>
      <c r="B4293" s="3" t="s">
        <v>36</v>
      </c>
      <c r="C4293" s="4">
        <v>14</v>
      </c>
    </row>
    <row r="4294">
      <c r="A4294" s="5">
        <f>HYPERLINK("https://app-web.statementrec.com/app#appuploadfiles/3a216116-84d7-e256-6803-9d1e1aaf33dc","2025-26")</f>
      </c>
      <c r="B4294" s="3" t="s">
        <v>12</v>
      </c>
      <c r="C4294" s="4">
        <v>10</v>
      </c>
    </row>
    <row r="4295">
      <c r="A4295" s="5">
        <f>HYPERLINK("https://app-web.statementrec.com/app#appuploadfiles/3a21611c-358b-82c4-95f9-541a7d41f4b7","Sulla Al Mandeel")</f>
      </c>
      <c r="B4295" s="3" t="s">
        <v>798</v>
      </c>
      <c r="C4295" s="4">
        <v>27</v>
      </c>
    </row>
    <row r="4296">
      <c r="A4296" s="5">
        <f>HYPERLINK("https://app-web.statementrec.com/app#appuploadfiles/3a216121-aaba-94fe-f07e-82766fe5b70c","Bondarem")</f>
      </c>
      <c r="B4296" s="3" t="s">
        <v>3</v>
      </c>
      <c r="C4296" s="4">
        <v>4</v>
      </c>
    </row>
    <row r="4297">
      <c r="A4297" s="5">
        <f>HYPERLINK("https://app-web.statementrec.com/app#appuploadfiles/3a216132-ef4f-e8f6-0bae-953e0677e9bd","Laoise Sheehan Revolut April 2026")</f>
      </c>
      <c r="B4297" s="3" t="s">
        <v>11</v>
      </c>
      <c r="C4297" s="4">
        <v>5</v>
      </c>
    </row>
    <row r="4298">
      <c r="A4298" s="5">
        <f>HYPERLINK("https://app-web.statementrec.com/app#appuploadfiles/3a21613b-a49f-1862-7c2e-505eefa1ca4e","Oasis Manor Care Limited")</f>
      </c>
      <c r="B4298" s="3" t="s">
        <v>799</v>
      </c>
      <c r="C4298" s="4">
        <v>70</v>
      </c>
    </row>
    <row r="4299">
      <c r="A4299" s="5">
        <f>HYPERLINK("https://app-web.statementrec.com/app#appuploadfiles/3a21613e-5201-03ee-a71c-0421fd3da4fc","JFH - ptsb march to may 2026")</f>
      </c>
      <c r="B4299" s="3" t="s">
        <v>47</v>
      </c>
      <c r="C4299" s="4">
        <v>2</v>
      </c>
    </row>
    <row r="4300">
      <c r="A4300" s="5">
        <f>HYPERLINK("https://app-web.statementrec.com/app#appuploadfiles/3a216146-5646-04b5-8797-60a42e099da6","Osprey Delivery")</f>
      </c>
      <c r="B4300" s="3" t="s">
        <v>11</v>
      </c>
      <c r="C4300" s="4">
        <v>4</v>
      </c>
    </row>
    <row r="4301">
      <c r="A4301" s="5">
        <f>HYPERLINK("https://app-web.statementrec.com/app#appuploadfiles/3a216148-238d-e9a8-49a8-79b6eb64d8e8","Reflection Finish Ltd")</f>
      </c>
      <c r="B4301" s="3" t="s">
        <v>800</v>
      </c>
      <c r="C4301" s="4">
        <v>8</v>
      </c>
    </row>
    <row r="4302">
      <c r="A4302" s="5">
        <f>HYPERLINK("https://app-web.statementrec.com/app#appuploadfiles/3a21615b-957e-624a-7877-cce6c6ed4b14","Boo Labs")</f>
      </c>
      <c r="B4302" s="3" t="s">
        <v>12</v>
      </c>
      <c r="C4302" s="4">
        <v>13</v>
      </c>
    </row>
    <row r="4303">
      <c r="A4303" s="5">
        <f>HYPERLINK("https://app-web.statementrec.com/app#appuploadfiles/3a216161-caaa-0fe2-fa3c-b7fb166df0d7","18th missing bank")</f>
      </c>
      <c r="B4303" s="3" t="s">
        <v>18</v>
      </c>
      <c r="C4303" s="4">
        <v>1</v>
      </c>
    </row>
    <row r="4304">
      <c r="A4304" s="5">
        <f>HYPERLINK("https://app-web.statementrec.com/app#appuploadfiles/3a21617e-7b3e-90c7-1aec-06812d3f21c3","K168 Kilscoran Farm  Limited")</f>
      </c>
      <c r="B4304" s="3" t="s">
        <v>10</v>
      </c>
      <c r="C4304" s="4">
        <v>23</v>
      </c>
    </row>
    <row r="4305">
      <c r="A4305" s="5">
        <f>HYPERLINK("https://app-web.statementrec.com/app#appuploadfiles/3a216180-3d9d-eca8-e6b1-ca24c1ccef1e","Richards Bay Combined Seafarers Centre")</f>
      </c>
      <c r="B4305" s="3" t="s">
        <v>801</v>
      </c>
      <c r="C4305" s="4">
        <v>2</v>
      </c>
    </row>
    <row r="4306">
      <c r="A4306" s="5">
        <f>HYPERLINK("https://app-web.statementrec.com/app#appuploadfiles/3a216193-fedd-d950-557b-8f235e4cced8","2026")</f>
      </c>
      <c r="B4306" s="3" t="s">
        <v>84</v>
      </c>
      <c r="C4306" s="4">
        <v>2</v>
      </c>
    </row>
    <row r="4307">
      <c r="A4307" s="5">
        <f>HYPERLINK("https://app-web.statementrec.com/app#appuploadfiles/3a2161dc-a3a6-a55c-7fe7-1289ad72281f","SA 2025-26")</f>
      </c>
      <c r="B4307" s="3" t="s">
        <v>58</v>
      </c>
      <c r="C4307" s="4">
        <v>6</v>
      </c>
    </row>
    <row r="4308">
      <c r="A4308" s="5">
        <f>HYPERLINK("https://app-web.statementrec.com/app#appuploadfiles/3a2161de-596a-4a5a-c9bb-b87ca3c1e783","57305")</f>
      </c>
      <c r="B4308" s="3" t="s">
        <v>26</v>
      </c>
      <c r="C4308" s="4">
        <v>3</v>
      </c>
    </row>
    <row r="4309">
      <c r="A4309" s="5">
        <f>HYPERLINK("https://app-web.statementrec.com/app#appuploadfiles/3a2161e3-9686-45e8-b85a-42daca107b6d","Church Monuments Society")</f>
      </c>
      <c r="B4309" s="3" t="s">
        <v>17</v>
      </c>
      <c r="C4309" s="4">
        <v>30</v>
      </c>
    </row>
    <row r="4310">
      <c r="A4310" s="5">
        <f>HYPERLINK("https://app-web.statementrec.com/app#appuploadfiles/3a2161e9-ceeb-38c2-d5bf-a4e13ac5d453","Colin Kehoe")</f>
      </c>
      <c r="B4310" s="3" t="s">
        <v>3</v>
      </c>
      <c r="C4310" s="4">
        <v>20</v>
      </c>
    </row>
    <row r="4311">
      <c r="A4311" s="5">
        <f>HYPERLINK("https://app-web.statementrec.com/app#appuploadfiles/3a2161ee-9854-a959-9c38-18753c9f17f1","YE 31 March 2026")</f>
      </c>
      <c r="B4311" s="3" t="s">
        <v>10</v>
      </c>
      <c r="C4311" s="4">
        <v>55</v>
      </c>
    </row>
    <row r="4312">
      <c r="A4312" s="5">
        <f>HYPERLINK("https://app-web.statementrec.com/app#appuploadfiles/3a216203-846b-fea2-dc6e-b452527380ce","Savings 2025 (0014)")</f>
      </c>
      <c r="B4312" s="3" t="s">
        <v>181</v>
      </c>
      <c r="C4312" s="4">
        <v>12</v>
      </c>
    </row>
    <row r="4313">
      <c r="A4313" s="5">
        <f>HYPERLINK("https://app-web.statementrec.com/app#appuploadfiles/3a216205-f27e-706d-03ac-0492ded15914","sp bank stmt 20260430")</f>
      </c>
      <c r="B4313" s="3" t="s">
        <v>802</v>
      </c>
      <c r="C4313" s="4">
        <v>5</v>
      </c>
    </row>
    <row r="4314">
      <c r="A4314" s="5">
        <f>HYPERLINK("https://app-web.statementrec.com/app#appuploadfiles/3a216225-ea65-4dd9-18bd-b6c88af5726c","Gabi Gillessen")</f>
      </c>
      <c r="B4314" s="3" t="s">
        <v>75</v>
      </c>
      <c r="C4314" s="4">
        <v>26</v>
      </c>
    </row>
    <row r="4315">
      <c r="A4315" s="5">
        <f>HYPERLINK("https://app-web.statementrec.com/app#appuploadfiles/3a21622b-2dee-50d8-c079-46db45654136","superlative dining")</f>
      </c>
      <c r="B4315" s="3" t="s">
        <v>371</v>
      </c>
      <c r="C4315" s="4">
        <v>4</v>
      </c>
    </row>
    <row r="4316">
      <c r="A4316" s="5">
        <f>HYPERLINK("https://app-web.statementrec.com/app#appuploadfiles/3a21622d-a4d6-2429-a300-666d46852763","ORM ACCOUNTING SERVICES LIMITED")</f>
      </c>
      <c r="B4316" s="3" t="s">
        <v>17</v>
      </c>
      <c r="C4316" s="4">
        <v>127</v>
      </c>
    </row>
    <row r="4317">
      <c r="A4317" s="5">
        <f>HYPERLINK("https://app-web.statementrec.com/app#appuploadfiles/3a216231-79b2-3868-fcc8-e8559de395f3","Oscar Munro Ltd")</f>
      </c>
      <c r="B4317" s="3" t="s">
        <v>24</v>
      </c>
      <c r="C4317" s="4">
        <v>46</v>
      </c>
    </row>
    <row r="4318">
      <c r="A4318" s="5">
        <f>HYPERLINK("https://app-web.statementrec.com/app#appuploadfiles/3a216239-1a79-7b66-bca2-70c762dea74c","CHARTERS-REID SURVEYORS LTD")</f>
      </c>
      <c r="B4318" s="3" t="s">
        <v>803</v>
      </c>
      <c r="C4318" s="4">
        <v>15</v>
      </c>
    </row>
    <row r="4319">
      <c r="A4319" s="5">
        <f>HYPERLINK("https://app-web.statementrec.com/app#appuploadfiles/3a21624d-b02f-f3ad-0adc-7d92bbf7703d","Davilar Limited")</f>
      </c>
      <c r="B4319" s="3" t="s">
        <v>116</v>
      </c>
      <c r="C4319" s="4">
        <v>2</v>
      </c>
    </row>
    <row r="4320">
      <c r="A4320" s="5">
        <f>HYPERLINK("https://app-web.statementrec.com/app#appuploadfiles/3a216258-c436-9df5-db0a-2bb4c39847de","Tax Year 2024")</f>
      </c>
      <c r="B4320" s="3" t="s">
        <v>804</v>
      </c>
      <c r="C4320" s="4">
        <v>92</v>
      </c>
    </row>
    <row r="4321">
      <c r="A4321" s="5">
        <f>HYPERLINK("https://app-web.statementrec.com/app#appuploadfiles/3a216276-03aa-fb2f-da81-9911fb8b320f","Steve Blong")</f>
      </c>
      <c r="B4321" s="3" t="s">
        <v>86</v>
      </c>
      <c r="C4321" s="4">
        <v>8</v>
      </c>
    </row>
    <row r="4322">
      <c r="A4322" s="5">
        <f>HYPERLINK("https://app-web.statementrec.com/app#appuploadfiles/3a216328-309c-90fd-0fe8-b376644d10d4","Q1 2026 Print Shop TD Visa")</f>
      </c>
      <c r="B4322" s="3" t="s">
        <v>466</v>
      </c>
      <c r="C4322" s="4">
        <v>6</v>
      </c>
    </row>
    <row r="4323">
      <c r="A4323" s="5">
        <f>HYPERLINK("https://app-web.statementrec.com/app#appuploadfiles/3a216328-fb11-4768-85da-2be0d48b24de","Q1 2026 Print Shop CDN Tire MC")</f>
      </c>
      <c r="B4323" s="3" t="s">
        <v>650</v>
      </c>
      <c r="C4323" s="4">
        <v>4</v>
      </c>
    </row>
    <row r="4324">
      <c r="A4324" s="5">
        <f>HYPERLINK("https://app-web.statementrec.com/app#appuploadfiles/3a216348-6a40-9bd2-1932-5d3923a8e341","cookes apr 26")</f>
      </c>
      <c r="B4324" s="3" t="s">
        <v>805</v>
      </c>
      <c r="C4324" s="4">
        <v>6</v>
      </c>
    </row>
    <row r="4325">
      <c r="A4325" s="5">
        <f>HYPERLINK("https://app-web.statementrec.com/app#appuploadfiles/3a216380-4163-e5c3-fd8c-4f2edc4a3584","Diamond Greene")</f>
      </c>
      <c r="B4325" s="3" t="s">
        <v>47</v>
      </c>
      <c r="C4325" s="4">
        <v>21</v>
      </c>
    </row>
    <row r="4326">
      <c r="A4326" s="5">
        <f>HYPERLINK("https://app-web.statementrec.com/app#appuploadfiles/3a216393-1ab4-d42e-f69d-63efb91a04a3","Guthrie T &amp; I Consultants Ltd")</f>
      </c>
      <c r="B4326" s="3" t="s">
        <v>26</v>
      </c>
      <c r="C4326" s="4">
        <v>6</v>
      </c>
    </row>
    <row r="4327">
      <c r="A4327" s="5">
        <f>HYPERLINK("https://app-web.statementrec.com/app#appuploadfiles/3a216620-d69a-158b-e29c-ee471ac7a12d","LANG POINT EXTRA 2026")</f>
      </c>
      <c r="B4327" s="3" t="s">
        <v>806</v>
      </c>
      <c r="C4327" s="4">
        <v>5</v>
      </c>
    </row>
    <row r="4328">
      <c r="A4328" s="5">
        <f>HYPERLINK("https://app-web.statementrec.com/app#appuploadfiles/3a216711-1fc5-8e9b-6942-6e1b31fb9898","dpm Apr 26")</f>
      </c>
      <c r="B4328" s="3" t="s">
        <v>10</v>
      </c>
      <c r="C4328" s="4">
        <v>2</v>
      </c>
    </row>
    <row r="4329">
      <c r="A4329" s="5">
        <f>HYPERLINK("https://app-web.statementrec.com/app#appuploadfiles/3a216715-9ba5-24c2-7bb1-92d6488924eb","PC Quad APR 26")</f>
      </c>
      <c r="B4329" s="3" t="s">
        <v>10</v>
      </c>
      <c r="C4329" s="4">
        <v>7</v>
      </c>
    </row>
    <row r="4330">
      <c r="A4330" s="5">
        <f>HYPERLINK("https://app-web.statementrec.com/app#appuploadfiles/3a216760-8b3b-4733-0658-054ddd0ffc61","Tax Year 4-2024 to 3-2025")</f>
      </c>
      <c r="B4330" s="3" t="s">
        <v>58</v>
      </c>
      <c r="C4330" s="4">
        <v>48</v>
      </c>
    </row>
    <row r="4331">
      <c r="A4331" s="5">
        <f>HYPERLINK("https://app-web.statementrec.com/app#appuploadfiles/3a21679b-f354-1b29-942f-611ba9141bca","James Clare")</f>
      </c>
      <c r="B4331" s="3" t="s">
        <v>17</v>
      </c>
      <c r="C4331" s="4">
        <v>24</v>
      </c>
    </row>
    <row r="4332">
      <c r="A4332" s="5">
        <f>HYPERLINK("https://app-web.statementrec.com/app#appuploadfiles/3a2168da-92e8-8118-9e8f-6928cf264c19","JLB Group (Pty) Ltd")</f>
      </c>
      <c r="B4332" s="3" t="s">
        <v>80</v>
      </c>
      <c r="C4332" s="4">
        <v>6</v>
      </c>
    </row>
    <row r="4333">
      <c r="A4333" s="5">
        <f>HYPERLINK("https://app-web.statementrec.com/app#appuploadfiles/3a216985-9f7f-f74a-2505-f7b1ae6045d5","Wolfe Painting")</f>
      </c>
      <c r="B4333" s="3" t="s">
        <v>31</v>
      </c>
      <c r="C4333" s="4">
        <v>30</v>
      </c>
    </row>
    <row r="4334">
      <c r="A4334" s="5">
        <f>HYPERLINK("https://app-web.statementrec.com/app#appuploadfiles/3a216b98-043a-ec87-252d-530f8e39e986","Norm")</f>
      </c>
      <c r="B4334" s="3" t="s">
        <v>214</v>
      </c>
      <c r="C4334" s="4">
        <v>27</v>
      </c>
    </row>
    <row r="4335">
      <c r="A4335" s="5">
        <f>HYPERLINK("https://app-web.statementrec.com/app#appuploadfiles/3a216bc2-23e9-5ff5-42f7-773bcb490623","Sjh Communications Ltd")</f>
      </c>
      <c r="B4335" s="3" t="s">
        <v>56</v>
      </c>
      <c r="C4335" s="4">
        <v>7</v>
      </c>
    </row>
    <row r="4336">
      <c r="A4336" s="5">
        <f>HYPERLINK("https://app-web.statementrec.com/app#appuploadfiles/3a216d58-4c5b-4047-6238-2fe43d7d7956","My Italy (Pty) Ltd")</f>
      </c>
      <c r="B4336" s="3" t="s">
        <v>326</v>
      </c>
      <c r="C4336" s="4">
        <v>6</v>
      </c>
    </row>
    <row r="4337">
      <c r="A4337" s="5">
        <f>HYPERLINK("https://app-web.statementrec.com/app#appuploadfiles/3a216d5d-27f0-1e43-9b48-64a8b4890b63","Canna Joint (Pty) Ltd")</f>
      </c>
      <c r="B4337" s="3" t="s">
        <v>47</v>
      </c>
      <c r="C4337" s="4">
        <v>5</v>
      </c>
    </row>
    <row r="4338">
      <c r="A4338" s="5">
        <f>HYPERLINK("https://app-web.statementrec.com/app#appuploadfiles/3a216d5d-ca0c-7dbf-2c72-8f757a881fda","Canna Jointh Bethlehem (Pty) Ltd")</f>
      </c>
      <c r="B4338" s="3" t="s">
        <v>47</v>
      </c>
      <c r="C4338" s="4">
        <v>9</v>
      </c>
    </row>
    <row r="4339">
      <c r="A4339" s="5">
        <f>HYPERLINK("https://app-web.statementrec.com/app#appuploadfiles/3a216e1c-8915-df4f-ed1b-85ed49393525","Jonathan's Watches")</f>
      </c>
      <c r="B4339" s="3" t="s">
        <v>807</v>
      </c>
      <c r="C4339" s="4">
        <v>26</v>
      </c>
    </row>
    <row r="4340">
      <c r="A4340" s="5">
        <f>HYPERLINK("https://app-web.statementrec.com/app#appuploadfiles/3a216eb4-d847-5650-3732-63d4fd2341cd","03.31.2026-0510")</f>
      </c>
      <c r="B4340" s="3" t="s">
        <v>808</v>
      </c>
      <c r="C4340" s="4">
        <v>5</v>
      </c>
    </row>
    <row r="4341">
      <c r="A4341" s="5">
        <f>HYPERLINK("https://app-web.statementrec.com/app#appuploadfiles/3a216efd-2b1f-903a-aa56-986a48ec8c5d","Healing Hands")</f>
      </c>
      <c r="B4341" s="3" t="s">
        <v>214</v>
      </c>
      <c r="C4341" s="4">
        <v>53</v>
      </c>
    </row>
    <row r="4342">
      <c r="A4342" s="5">
        <f>HYPERLINK("https://app-web.statementrec.com/app#appuploadfiles/3a216fcf-2d46-6678-ab9f-31ff99e4fac0","Aussie Agri Solutions Pty Ltd")</f>
      </c>
      <c r="B4342" s="3" t="s">
        <v>214</v>
      </c>
      <c r="C4342" s="4">
        <v>4</v>
      </c>
    </row>
    <row r="4343">
      <c r="A4343" s="5">
        <f>HYPERLINK("https://app-web.statementrec.com/app#appuploadfiles/3a216fd8-da85-579e-6b7c-4118ac4329e5","2026 Mar Copeland FT")</f>
      </c>
      <c r="B4343" s="3" t="s">
        <v>19</v>
      </c>
      <c r="C4343" s="4">
        <v>1</v>
      </c>
    </row>
    <row r="4344">
      <c r="A4344" s="5">
        <f>HYPERLINK("https://app-web.statementrec.com/app#appuploadfiles/3a217011-6526-9fbd-f21f-8339140149a5","Cloud King")</f>
      </c>
      <c r="B4344" s="3" t="s">
        <v>38</v>
      </c>
      <c r="C4344" s="4">
        <v>14</v>
      </c>
    </row>
    <row r="4345">
      <c r="A4345" s="5">
        <f>HYPERLINK("https://app-web.statementrec.com/app#appuploadfiles/3a217013-b615-72e6-8b14-fecda4395f2b","Core &amp; Clothe Pty ltd")</f>
      </c>
      <c r="B4345" s="3" t="s">
        <v>38</v>
      </c>
      <c r="C4345" s="4">
        <v>5</v>
      </c>
    </row>
    <row r="4346">
      <c r="A4346" s="5">
        <f>HYPERLINK("https://app-web.statementrec.com/app#appuploadfiles/3a217030-d7a3-5be6-2796-e21198efed5d","Joe S Radiators")</f>
      </c>
      <c r="B4346" s="3" t="s">
        <v>118</v>
      </c>
      <c r="C4346" s="4">
        <v>5</v>
      </c>
    </row>
    <row r="4347">
      <c r="A4347" s="5">
        <f>HYPERLINK("https://app-web.statementrec.com/app#appuploadfiles/3a217043-38a1-0363-9f49-cf3739cc2e9d","Surdus")</f>
      </c>
      <c r="B4347" s="3" t="s">
        <v>45</v>
      </c>
      <c r="C4347" s="4">
        <v>9</v>
      </c>
    </row>
    <row r="4348">
      <c r="A4348" s="5">
        <f>HYPERLINK("https://app-web.statementrec.com/app#appuploadfiles/3a21704b-eb3c-bcdb-8ee5-650f92dbc6a8","B1504 J &amp; M Healy Limited 31.03.25")</f>
      </c>
      <c r="B4348" s="3" t="s">
        <v>144</v>
      </c>
      <c r="C4348" s="4">
        <v>12</v>
      </c>
    </row>
    <row r="4349">
      <c r="A4349" s="5">
        <f>HYPERLINK("https://app-web.statementrec.com/app#appuploadfiles/3a217073-3e7e-4576-4528-efdec19e5d37","2025 Year End")</f>
      </c>
      <c r="B4349" s="3" t="s">
        <v>75</v>
      </c>
      <c r="C4349" s="4">
        <v>36</v>
      </c>
    </row>
    <row r="4350">
      <c r="A4350" s="5">
        <f>HYPERLINK("https://app-web.statementrec.com/app#appuploadfiles/3a21708f-eb11-b72f-49d9-25b030ad0085","John Finn - Jan to April 2026")</f>
      </c>
      <c r="B4350" s="3" t="s">
        <v>10</v>
      </c>
      <c r="C4350" s="4">
        <v>22</v>
      </c>
    </row>
    <row r="4351">
      <c r="A4351" s="5">
        <f>HYPERLINK("https://app-web.statementrec.com/app#appuploadfiles/3a217091-f9f8-4b98-2b5f-938a6d32abee","Lehlabile Digital Hub")</f>
      </c>
      <c r="B4351" s="3" t="s">
        <v>80</v>
      </c>
      <c r="C4351" s="4">
        <v>4</v>
      </c>
    </row>
    <row r="4352">
      <c r="A4352" s="5">
        <f>HYPERLINK("https://app-web.statementrec.com/app#appuploadfiles/3a2170a0-d9a6-1e0f-b9a0-a518bf8df463","JPS Preloved Furniture")</f>
      </c>
      <c r="B4352" s="3" t="s">
        <v>809</v>
      </c>
      <c r="C4352" s="4">
        <v>21</v>
      </c>
    </row>
    <row r="4353">
      <c r="A4353" s="5">
        <f>HYPERLINK("https://app-web.statementrec.com/app#appuploadfiles/3a2170c9-9bed-49fe-0c0d-57c99b8d89fc","bw mar-apr26")</f>
      </c>
      <c r="B4353" s="3" t="s">
        <v>75</v>
      </c>
      <c r="C4353" s="4">
        <v>44</v>
      </c>
    </row>
    <row r="4354">
      <c r="A4354" s="5">
        <f>HYPERLINK("https://app-web.statementrec.com/app#appuploadfiles/3a2170ce-2e4b-8eb3-1076-ddea77fcaae1","Boards")</f>
      </c>
      <c r="B4354" s="3" t="s">
        <v>810</v>
      </c>
      <c r="C4354" s="4">
        <v>8</v>
      </c>
    </row>
    <row r="4355">
      <c r="A4355" s="5">
        <f>HYPERLINK("https://app-web.statementrec.com/app#appuploadfiles/3a217109-bb31-5fcf-46c7-3746ea61687e","Grow Construction JV Limited")</f>
      </c>
      <c r="B4355" s="3" t="s">
        <v>12</v>
      </c>
      <c r="C4355" s="4">
        <v>8</v>
      </c>
    </row>
    <row r="4356">
      <c r="A4356" s="5">
        <f>HYPERLINK("https://app-web.statementrec.com/app#appuploadfiles/3a217122-31f3-63e5-83ce-fa81c2a70e50","Postnet")</f>
      </c>
      <c r="B4356" s="3" t="s">
        <v>811</v>
      </c>
      <c r="C4356" s="4">
        <v>10</v>
      </c>
    </row>
    <row r="4357">
      <c r="A4357" s="5">
        <f>HYPERLINK("https://app-web.statementrec.com/app#appuploadfiles/3a21714b-6de4-0bf9-1c9e-0972172eaecf","Harby Limited")</f>
      </c>
      <c r="B4357" s="3" t="s">
        <v>40</v>
      </c>
      <c r="C4357" s="4">
        <v>33</v>
      </c>
    </row>
    <row r="4358">
      <c r="A4358" s="5">
        <f>HYPERLINK("https://app-web.statementrec.com/app#appuploadfiles/3a217158-ff2d-c850-46c1-9f301d433f8c","Charivari Holdings Limited")</f>
      </c>
      <c r="B4358" s="3" t="s">
        <v>15</v>
      </c>
      <c r="C4358" s="4">
        <v>4</v>
      </c>
    </row>
    <row r="4359">
      <c r="A4359" s="5">
        <f>HYPERLINK("https://app-web.statementrec.com/app#appuploadfiles/3a217178-9516-d4fc-63d7-f2c635a8a80b","Oran Dynamics Ltd")</f>
      </c>
      <c r="B4359" s="3" t="s">
        <v>11</v>
      </c>
      <c r="C4359" s="4">
        <v>17</v>
      </c>
    </row>
    <row r="4360">
      <c r="A4360" s="5">
        <f>HYPERLINK("https://app-web.statementrec.com/app#appuploadfiles/3a217181-b6ef-4e76-364b-8b0f96985136","Accounts 2025")</f>
      </c>
      <c r="B4360" s="3" t="s">
        <v>30</v>
      </c>
      <c r="C4360" s="4">
        <v>12</v>
      </c>
    </row>
    <row r="4361">
      <c r="A4361" s="5">
        <f>HYPERLINK("https://app-web.statementrec.com/app#appuploadfiles/3a2171a3-8885-1e56-66af-653fa9b4ff51","Alan Smith")</f>
      </c>
      <c r="B4361" s="3" t="s">
        <v>3</v>
      </c>
      <c r="C4361" s="4">
        <v>52</v>
      </c>
    </row>
    <row r="4362">
      <c r="A4362" s="5">
        <f>HYPERLINK("https://app-web.statementrec.com/app#appuploadfiles/3a2171c0-eafe-9315-4399-13adc8c1f68d","Ros SS Oct 25 to Mar 26")</f>
      </c>
      <c r="B4362" s="3" t="s">
        <v>3</v>
      </c>
      <c r="C4362" s="4">
        <v>20</v>
      </c>
    </row>
    <row r="4363">
      <c r="A4363" s="5">
        <f>HYPERLINK("https://app-web.statementrec.com/app#appuploadfiles/3a2171f6-66b2-717c-ee4b-833e7a0ffe87","mai 2026")</f>
      </c>
      <c r="B4363" s="3" t="s">
        <v>47</v>
      </c>
      <c r="C4363" s="4">
        <v>2</v>
      </c>
    </row>
    <row r="4364">
      <c r="A4364" s="5">
        <f>HYPERLINK("https://app-web.statementrec.com/app#appuploadfiles/3a217205-149d-44dc-6a77-4c12662986bf","Mary Desmond")</f>
      </c>
      <c r="B4364" s="3" t="s">
        <v>10</v>
      </c>
      <c r="C4364" s="4">
        <v>13</v>
      </c>
    </row>
    <row r="4365">
      <c r="A4365" s="5">
        <f>HYPERLINK("https://app-web.statementrec.com/app#appuploadfiles/3a217259-65e0-bd44-3982-01d07959f26b","2026 Makgobjana")</f>
      </c>
      <c r="B4365" s="3" t="s">
        <v>40</v>
      </c>
      <c r="C4365" s="4">
        <v>42</v>
      </c>
    </row>
    <row r="4366">
      <c r="A4366" s="5">
        <f>HYPERLINK("https://app-web.statementrec.com/app#appuploadfiles/3a217288-c284-7bd5-df23-72f4bfb8a535","Février, mars, avril 2026")</f>
      </c>
      <c r="B4366" s="3" t="s">
        <v>185</v>
      </c>
      <c r="C4366" s="4">
        <v>17</v>
      </c>
    </row>
    <row r="4367">
      <c r="A4367" s="5">
        <f>HYPERLINK("https://app-web.statementrec.com/app#appuploadfiles/3a21729c-5d08-6925-564d-8e61e2b615d5","Mars et avril 2026")</f>
      </c>
      <c r="B4367" s="3" t="s">
        <v>158</v>
      </c>
      <c r="C4367" s="4">
        <v>4</v>
      </c>
    </row>
    <row r="4368">
      <c r="A4368" s="5">
        <f>HYPERLINK("https://app-web.statementrec.com/app#appuploadfiles/3a2172e6-0e94-a65e-5147-e329cf297fe1","Sigma")</f>
      </c>
      <c r="B4368" s="3" t="s">
        <v>326</v>
      </c>
      <c r="C4368" s="4">
        <v>36</v>
      </c>
    </row>
    <row r="4369">
      <c r="A4369" s="5">
        <f>HYPERLINK("https://app-web.statementrec.com/app#appuploadfiles/3a217404-e284-b455-a57b-faa9ef501451","Trimestre fév 2026")</f>
      </c>
      <c r="B4369" s="3" t="s">
        <v>201</v>
      </c>
      <c r="C4369" s="4">
        <v>6</v>
      </c>
    </row>
    <row r="4370">
      <c r="A4370" s="5">
        <f>HYPERLINK("https://app-web.statementrec.com/app#appuploadfiles/3a217425-77b9-fc0c-779a-0f444fb383d3","ANZ 2026")</f>
      </c>
      <c r="B4370" s="3" t="s">
        <v>60</v>
      </c>
      <c r="C4370" s="4">
        <v>24</v>
      </c>
    </row>
    <row r="4371">
      <c r="A4371" s="5">
        <f>HYPERLINK("https://app-web.statementrec.com/app#appuploadfiles/3a21746b-0d81-70af-860b-fe95bda068c4","NHEL'S BARBERSHOP LTD.")</f>
      </c>
      <c r="B4371" s="3" t="s">
        <v>158</v>
      </c>
      <c r="C4371" s="4">
        <v>24</v>
      </c>
    </row>
    <row r="4372">
      <c r="A4372" s="5">
        <f>HYPERLINK("https://app-web.statementrec.com/app#appuploadfiles/3a217535-7743-2e82-ea9b-19a66b08761a","(035657) Marine Safety Media Ltd")</f>
      </c>
      <c r="B4372" s="3" t="s">
        <v>84</v>
      </c>
      <c r="C4372" s="4">
        <v>7</v>
      </c>
    </row>
    <row r="4373">
      <c r="A4373" s="5">
        <f>HYPERLINK("https://app-web.statementrec.com/app#appuploadfiles/3a217538-c14c-b137-ce97-f9fbd1a15d38","AIB Ac 02695-442")</f>
      </c>
      <c r="B4373" s="3" t="s">
        <v>10</v>
      </c>
      <c r="C4373" s="4">
        <v>15</v>
      </c>
    </row>
    <row r="4374">
      <c r="A4374" s="5">
        <f>HYPERLINK("https://app-web.statementrec.com/app#appuploadfiles/3a217560-089f-d6a0-c897-1320536cc57b","AU Client 03")</f>
      </c>
      <c r="B4374" s="3" t="s">
        <v>812</v>
      </c>
      <c r="C4374" s="4">
        <v>12</v>
      </c>
    </row>
    <row r="4375">
      <c r="A4375" s="5">
        <f>HYPERLINK("https://app-web.statementrec.com/app#appuploadfiles/3a217566-8d9f-d894-3c7c-5a41ba157080","Shining Star 27 Trading (Pty) Ltd")</f>
      </c>
      <c r="B4375" s="3" t="s">
        <v>395</v>
      </c>
      <c r="C4375" s="4">
        <v>483</v>
      </c>
    </row>
    <row r="4376">
      <c r="A4376" s="5">
        <f>HYPERLINK("https://app-web.statementrec.com/app#appuploadfiles/3a217578-7bf6-500f-a2ca-be37d1f6c8b7","CG010 -2026")</f>
      </c>
      <c r="B4376" s="3" t="s">
        <v>813</v>
      </c>
      <c r="C4376" s="4">
        <v>28</v>
      </c>
    </row>
    <row r="4377">
      <c r="A4377" s="5">
        <f>HYPERLINK("https://app-web.statementrec.com/app#appuploadfiles/3a217579-84c9-31d7-04b9-8800bcf6b115","RORY J HOLBROOK LIMITED")</f>
      </c>
      <c r="B4377" s="3" t="s">
        <v>18</v>
      </c>
      <c r="C4377" s="4">
        <v>146</v>
      </c>
    </row>
    <row r="4378">
      <c r="A4378" s="5">
        <f>HYPERLINK("https://app-web.statementrec.com/app#appuploadfiles/3a21757b-f055-0b3e-1b48-bb70a5d65c3a","Mpumelela")</f>
      </c>
      <c r="B4378" s="3" t="s">
        <v>120</v>
      </c>
      <c r="C4378" s="4">
        <v>37</v>
      </c>
    </row>
    <row r="4379">
      <c r="A4379" s="5">
        <f>HYPERLINK("https://app-web.statementrec.com/app#appuploadfiles/3a21757e-3370-3fb4-c0ee-7eb083e83f61","GREENSCAPE SYSTEMS LTD")</f>
      </c>
      <c r="B4379" s="3" t="s">
        <v>17</v>
      </c>
      <c r="C4379" s="4">
        <v>9</v>
      </c>
    </row>
    <row r="4380">
      <c r="A4380" s="5">
        <f>HYPERLINK("https://app-web.statementrec.com/app#appuploadfiles/3a21757e-3afc-37d3-41f6-6a72dac53281","Kirandeep Apr 2026")</f>
      </c>
      <c r="B4380" s="3" t="s">
        <v>17</v>
      </c>
      <c r="C4380" s="4">
        <v>10</v>
      </c>
    </row>
    <row r="4381">
      <c r="A4381" s="5">
        <f>HYPERLINK("https://app-web.statementrec.com/app#appuploadfiles/3a217585-295a-00f2-8387-1437eeec9ae9","Synergy Sky Limited")</f>
      </c>
      <c r="B4381" s="3" t="s">
        <v>814</v>
      </c>
      <c r="C4381" s="4">
        <v>15</v>
      </c>
    </row>
    <row r="4382">
      <c r="A4382" s="5">
        <f>HYPERLINK("https://app-web.statementrec.com/app#appuploadfiles/3a217587-05d2-d316-4bef-6a9c9d039669","CUSTOM HOUSE (GRAVESEND) LIMITED")</f>
      </c>
      <c r="B4382" s="3" t="s">
        <v>84</v>
      </c>
      <c r="C4382" s="4">
        <v>17</v>
      </c>
    </row>
    <row r="4383">
      <c r="A4383" s="5">
        <f>HYPERLINK("https://app-web.statementrec.com/app#appuploadfiles/3a217588-2584-e682-7ccc-ba97d86c055f","QE April")</f>
      </c>
      <c r="B4383" s="3" t="s">
        <v>21</v>
      </c>
      <c r="C4383" s="4">
        <v>26</v>
      </c>
    </row>
    <row r="4384">
      <c r="A4384" s="5">
        <f>HYPERLINK("https://app-web.statementrec.com/app#appuploadfiles/3a2175a0-fe7e-a8d3-0210-219712419d35","2026 04")</f>
      </c>
      <c r="B4384" s="3" t="s">
        <v>48</v>
      </c>
      <c r="C4384" s="4">
        <v>17</v>
      </c>
    </row>
    <row r="4385">
      <c r="A4385" s="5">
        <f>HYPERLINK("https://app-web.statementrec.com/app#appuploadfiles/3a2175a1-84eb-752f-e059-d5875fac2baf","2026 04")</f>
      </c>
      <c r="B4385" s="3" t="s">
        <v>10</v>
      </c>
      <c r="C4385" s="4">
        <v>6</v>
      </c>
    </row>
    <row r="4386">
      <c r="A4386" s="5">
        <f>HYPERLINK("https://app-web.statementrec.com/app#appuploadfiles/3a2175a7-567e-cd17-0e48-24bf09eba7e0","PHAKAMANI BANTU TRADING ENTERPRISE CC")</f>
      </c>
      <c r="B4386" s="3" t="s">
        <v>118</v>
      </c>
      <c r="C4386" s="4">
        <v>100</v>
      </c>
    </row>
    <row r="4387">
      <c r="A4387" s="5">
        <f>HYPERLINK("https://app-web.statementrec.com/app#appuploadfiles/3a2175aa-40f7-e9e0-961b-e6b565b019d4","So Sweet Paignton")</f>
      </c>
      <c r="B4387" s="3" t="s">
        <v>17</v>
      </c>
      <c r="C4387" s="4">
        <v>5</v>
      </c>
    </row>
    <row r="4388">
      <c r="A4388" s="5">
        <f>HYPERLINK("https://app-web.statementrec.com/app#appuploadfiles/3a2175c8-6098-69de-2ac0-3016d0496731","JRC Welding Services Limited")</f>
      </c>
      <c r="B4388" s="3" t="s">
        <v>11</v>
      </c>
      <c r="C4388" s="4">
        <v>30</v>
      </c>
    </row>
    <row r="4389">
      <c r="A4389" s="5">
        <f>HYPERLINK("https://app-web.statementrec.com/app#appuploadfiles/3a2175de-8c4c-1532-010a-f2bc15a4523f","vat 04.26")</f>
      </c>
      <c r="B4389" s="3" t="s">
        <v>3</v>
      </c>
      <c r="C4389" s="4">
        <v>9</v>
      </c>
    </row>
    <row r="4390">
      <c r="A4390" s="5">
        <f>HYPERLINK("https://app-web.statementrec.com/app#appuploadfiles/3a2175df-22c8-2249-4a19-087d00373693","PTSB - 83927660")</f>
      </c>
      <c r="B4390" s="3" t="s">
        <v>75</v>
      </c>
      <c r="C4390" s="4">
        <v>23</v>
      </c>
    </row>
    <row r="4391">
      <c r="A4391" s="5">
        <f>HYPERLINK("https://app-web.statementrec.com/app#appuploadfiles/3a2175e8-990e-3ac9-d57f-2d2a4cc1bf1f","2026")</f>
      </c>
      <c r="B4391" s="3" t="s">
        <v>21</v>
      </c>
      <c r="C4391" s="4">
        <v>2</v>
      </c>
    </row>
    <row r="4392">
      <c r="A4392" s="5">
        <f>HYPERLINK("https://app-web.statementrec.com/app#appuploadfiles/3a21760a-6f74-01ab-a908-502c8a85db21","G Bullivant Cleaning")</f>
      </c>
      <c r="B4392" s="3" t="s">
        <v>19</v>
      </c>
      <c r="C4392" s="4">
        <v>57</v>
      </c>
    </row>
    <row r="4393">
      <c r="A4393" s="5">
        <f>HYPERLINK("https://app-web.statementrec.com/app#appuploadfiles/3a21760f-649a-c34d-3054-4133ef713e89","TRI407 - April Bank")</f>
      </c>
      <c r="B4393" s="3" t="s">
        <v>81</v>
      </c>
      <c r="C4393" s="4">
        <v>2</v>
      </c>
    </row>
    <row r="4394">
      <c r="A4394" s="5">
        <f>HYPERLINK("https://app-web.statementrec.com/app#appuploadfiles/3a21761d-fc5e-3055-6c5f-c3046c68734c","Mabote Art CC")</f>
      </c>
      <c r="B4394" s="3" t="s">
        <v>120</v>
      </c>
      <c r="C4394" s="4">
        <v>29</v>
      </c>
    </row>
    <row r="4395">
      <c r="A4395" s="5">
        <f>HYPERLINK("https://app-web.statementrec.com/app#appuploadfiles/3a21763f-9aac-b6c4-527b-ada82fd62e2c","2026-04 qe April 2026")</f>
      </c>
      <c r="B4395" s="3" t="s">
        <v>17</v>
      </c>
      <c r="C4395" s="4">
        <v>6</v>
      </c>
    </row>
    <row r="4396">
      <c r="A4396" s="5">
        <f>HYPERLINK("https://app-web.statementrec.com/app#appuploadfiles/3a21764e-4d93-3cf9-8d4b-2381d2f5039a","3172 Focus Solutions (Ireland) Limited")</f>
      </c>
      <c r="B4396" s="3" t="s">
        <v>12</v>
      </c>
      <c r="C4396" s="4">
        <v>13</v>
      </c>
    </row>
    <row r="4397">
      <c r="A4397" s="5">
        <f>HYPERLINK("https://app-web.statementrec.com/app#appuploadfiles/3a217650-2df5-69ab-f7df-6400c36b5cb8","Simon Ekins")</f>
      </c>
      <c r="B4397" s="3" t="s">
        <v>815</v>
      </c>
      <c r="C4397" s="4">
        <v>85</v>
      </c>
    </row>
    <row r="4398">
      <c r="A4398" s="5">
        <f>HYPERLINK("https://app-web.statementrec.com/app#appuploadfiles/3a217653-740c-e617-3ca8-fc08b76c888c","Macclesfield Motorcycles Ltd")</f>
      </c>
      <c r="B4398" s="3" t="s">
        <v>12</v>
      </c>
      <c r="C4398" s="4">
        <v>20</v>
      </c>
    </row>
    <row r="4399">
      <c r="A4399" s="5">
        <f>HYPERLINK("https://app-web.statementrec.com/app#appuploadfiles/3a217685-5070-d0a7-9233-ef03c9b9974b","7003070 - Fire 1106")</f>
      </c>
      <c r="B4399" s="3" t="s">
        <v>95</v>
      </c>
      <c r="C4399" s="4">
        <v>24</v>
      </c>
    </row>
    <row r="4400">
      <c r="A4400" s="5">
        <f>HYPERLINK("https://app-web.statementrec.com/app#appuploadfiles/3a217695-0aaa-edd2-1eb6-b03c9745656c","BOI 1206")</f>
      </c>
      <c r="B4400" s="3" t="s">
        <v>3</v>
      </c>
      <c r="C4400" s="4">
        <v>12</v>
      </c>
    </row>
    <row r="4401">
      <c r="A4401" s="5">
        <f>HYPERLINK("https://app-web.statementrec.com/app#appuploadfiles/3a217696-375e-ccdb-541c-27829b272061","Jan 2026")</f>
      </c>
      <c r="B4401" s="3" t="s">
        <v>374</v>
      </c>
      <c r="C4401" s="4">
        <v>4</v>
      </c>
    </row>
    <row r="4402">
      <c r="A4402" s="5">
        <f>HYPERLINK("https://app-web.statementrec.com/app#appuploadfiles/3a217697-e3f3-0bf4-8629-b4b51c762069","Feb 2026")</f>
      </c>
      <c r="B4402" s="3" t="s">
        <v>566</v>
      </c>
      <c r="C4402" s="4">
        <v>3</v>
      </c>
    </row>
    <row r="4403">
      <c r="A4403" s="5">
        <f>HYPERLINK("https://app-web.statementrec.com/app#appuploadfiles/3a217698-7c66-a365-1b84-ecf1a093e887","Mar 2026")</f>
      </c>
      <c r="B4403" s="3" t="s">
        <v>816</v>
      </c>
      <c r="C4403" s="4">
        <v>4</v>
      </c>
    </row>
    <row r="4404">
      <c r="A4404" s="5">
        <f>HYPERLINK("https://app-web.statementrec.com/app#appuploadfiles/3a217699-4d09-0949-0e35-5db8ad6d015f","Apr 2026")</f>
      </c>
      <c r="B4404" s="3" t="s">
        <v>817</v>
      </c>
      <c r="C4404" s="4">
        <v>6</v>
      </c>
    </row>
    <row r="4405">
      <c r="A4405" s="5">
        <f>HYPERLINK("https://app-web.statementrec.com/app#appuploadfiles/3a2176b0-3f39-cba7-0bbe-4c0ec4599408","Intercompany Loan")</f>
      </c>
      <c r="B4405" s="3" t="s">
        <v>3</v>
      </c>
      <c r="C4405" s="4">
        <v>2</v>
      </c>
    </row>
    <row r="4406">
      <c r="A4406" s="5">
        <f>HYPERLINK("https://app-web.statementrec.com/app#appuploadfiles/3a2176b0-d008-438a-95f2-50a57820aa47","WESTWOOD PLUMBING &amp; HEATING LIMITED")</f>
      </c>
      <c r="B4406" s="3" t="s">
        <v>17</v>
      </c>
      <c r="C4406" s="4">
        <v>42</v>
      </c>
    </row>
    <row r="4407">
      <c r="A4407" s="5">
        <f>HYPERLINK("https://app-web.statementrec.com/app#appuploadfiles/3a2176b2-1c6a-1f7a-fdb3-090cc56c06e6","ADCOR FAN SERVICES CC")</f>
      </c>
      <c r="B4407" s="3" t="s">
        <v>80</v>
      </c>
      <c r="C4407" s="4">
        <v>15</v>
      </c>
    </row>
    <row r="4408">
      <c r="A4408" s="5">
        <f>HYPERLINK("https://app-web.statementrec.com/app#appuploadfiles/3a2176c9-4e46-8830-bf53-ba38d157545c","Multiblast NW Ltd")</f>
      </c>
      <c r="B4408" s="3" t="s">
        <v>17</v>
      </c>
      <c r="C4408" s="4">
        <v>3</v>
      </c>
    </row>
    <row r="4409">
      <c r="A4409" s="5">
        <f>HYPERLINK("https://app-web.statementrec.com/app#appuploadfiles/3a2176d5-bd95-e4e3-1452-9dee583fa0a4","Tookes")</f>
      </c>
      <c r="B4409" s="3" t="s">
        <v>818</v>
      </c>
      <c r="C4409" s="4">
        <v>8</v>
      </c>
    </row>
    <row r="4410">
      <c r="A4410" s="5">
        <f>HYPERLINK("https://app-web.statementrec.com/app#appuploadfiles/3a2176db-d943-4e79-628c-bdbce6c55922","Ascleon Revolut Main")</f>
      </c>
      <c r="B4410" s="3" t="s">
        <v>26</v>
      </c>
      <c r="C4410" s="4">
        <v>9</v>
      </c>
    </row>
    <row r="4411">
      <c r="A4411" s="5">
        <f>HYPERLINK("https://app-web.statementrec.com/app#appuploadfiles/3a2176dc-2441-b36f-8178-03f5ca11e6a0","Ascleon Rev Merchant")</f>
      </c>
      <c r="B4411" s="3" t="s">
        <v>26</v>
      </c>
      <c r="C4411" s="4">
        <v>8</v>
      </c>
    </row>
    <row r="4412">
      <c r="A4412" s="5">
        <f>HYPERLINK("https://app-web.statementrec.com/app#appuploadfiles/3a2176f8-31f8-3a2c-2c67-0c8ba9f79b7b","Capital On Tap Statements")</f>
      </c>
      <c r="B4412" s="3" t="s">
        <v>819</v>
      </c>
      <c r="C4412" s="4">
        <v>5</v>
      </c>
    </row>
    <row r="4413">
      <c r="A4413" s="5">
        <f>HYPERLINK("https://app-web.statementrec.com/app#appuploadfiles/3a2176ff-4ffe-a7ab-26dd-8c2579e30e41","BC Composite &amp; Repairs Ltd")</f>
      </c>
      <c r="B4413" s="3" t="s">
        <v>26</v>
      </c>
      <c r="C4413" s="4">
        <v>46</v>
      </c>
    </row>
    <row r="4414">
      <c r="A4414" s="5">
        <f>HYPERLINK("https://app-web.statementrec.com/app#appuploadfiles/3a217712-2566-a93c-419a-5b0363fbb4b1","Reptronics Ltd")</f>
      </c>
      <c r="B4414" s="3" t="s">
        <v>12</v>
      </c>
      <c r="C4414" s="4">
        <v>4</v>
      </c>
    </row>
    <row r="4415">
      <c r="A4415" s="5">
        <f>HYPERLINK("https://app-web.statementrec.com/app#appuploadfiles/3a217720-eedd-5044-c4ac-039daaafa0b5","D116 Dunvale Investments Ltd")</f>
      </c>
      <c r="B4415" s="3" t="s">
        <v>11</v>
      </c>
      <c r="C4415" s="4">
        <v>2</v>
      </c>
    </row>
    <row r="4416">
      <c r="A4416" s="5">
        <f>HYPERLINK("https://app-web.statementrec.com/app#appuploadfiles/3a217735-2866-a546-cea9-8db94c420e2b","Vortech - Apr 26 Equals GBP")</f>
      </c>
      <c r="B4416" s="3" t="s">
        <v>40</v>
      </c>
      <c r="C4416" s="4">
        <v>5</v>
      </c>
    </row>
    <row r="4417">
      <c r="A4417" s="5">
        <f>HYPERLINK("https://app-web.statementrec.com/app#appuploadfiles/3a21773e-7442-ab2b-0e12-814bdba9f7a5","POLH UK CIC")</f>
      </c>
      <c r="B4417" s="3" t="s">
        <v>130</v>
      </c>
      <c r="C4417" s="4">
        <v>4</v>
      </c>
    </row>
    <row r="4418">
      <c r="A4418" s="5">
        <f>HYPERLINK("https://app-web.statementrec.com/app#appuploadfiles/3a217768-f161-2139-681c-5c1c82da8f4e","WhoFoundWho")</f>
      </c>
      <c r="B4418" s="3" t="s">
        <v>10</v>
      </c>
      <c r="C4418" s="4">
        <v>9</v>
      </c>
    </row>
    <row r="4419">
      <c r="A4419" s="5">
        <f>HYPERLINK("https://app-web.statementrec.com/app#appuploadfiles/3a217774-6c46-ca6b-8d77-c13c4b94b704","May 2026")</f>
      </c>
      <c r="B4419" s="3" t="s">
        <v>181</v>
      </c>
      <c r="C4419" s="4">
        <v>3</v>
      </c>
    </row>
    <row r="4420">
      <c r="A4420" s="5">
        <f>HYPERLINK("https://app-web.statementrec.com/app#appuploadfiles/3a2177c3-b76e-2492-6ff4-57bdb44104c4","King Led Automotive")</f>
      </c>
      <c r="B4420" s="3" t="s">
        <v>397</v>
      </c>
      <c r="C4420" s="4">
        <v>41</v>
      </c>
    </row>
    <row r="4421">
      <c r="A4421" s="5">
        <f>HYPERLINK("https://app-web.statementrec.com/app#appuploadfiles/3a2177ce-0dbb-b4ed-399c-8d8e9791e344","3 Agaves LLC  Avon")</f>
      </c>
      <c r="B4421" s="3" t="s">
        <v>124</v>
      </c>
      <c r="C4421" s="4">
        <v>8</v>
      </c>
    </row>
    <row r="4422">
      <c r="A4422" s="5">
        <f>HYPERLINK("https://app-web.statementrec.com/app#appuploadfiles/3a2177f5-2358-2f7f-19c8-2d08c4ef6b4d","Minster Bank 2025")</f>
      </c>
      <c r="B4422" s="3" t="s">
        <v>820</v>
      </c>
      <c r="C4422" s="4">
        <v>68</v>
      </c>
    </row>
    <row r="4423">
      <c r="A4423" s="5">
        <f>HYPERLINK("https://app-web.statementrec.com/app#appuploadfiles/3a2177f7-6ded-a35e-3e15-0612801ce553","TMC")</f>
      </c>
      <c r="B4423" s="3" t="s">
        <v>59</v>
      </c>
      <c r="C4423" s="4">
        <v>6</v>
      </c>
    </row>
    <row r="4424">
      <c r="A4424" s="5">
        <f>HYPERLINK("https://app-web.statementrec.com/app#appuploadfiles/3a217829-9017-c33f-317a-d4eef6eba0ed","467 9443-9478 Québec inc Estelle Mananne")</f>
      </c>
      <c r="B4424" s="3" t="s">
        <v>821</v>
      </c>
      <c r="C4424" s="4">
        <v>83</v>
      </c>
    </row>
    <row r="4425">
      <c r="A4425" s="5">
        <f>HYPERLINK("https://app-web.statementrec.com/app#appuploadfiles/3a21784c-0bc3-a260-7cd1-b6fd064d23ca","02636-VerdugoAnthony")</f>
      </c>
      <c r="B4425" s="3" t="s">
        <v>822</v>
      </c>
      <c r="C4425" s="4">
        <v>204</v>
      </c>
    </row>
    <row r="4426">
      <c r="A4426" s="5">
        <f>HYPERLINK("https://app-web.statementrec.com/app#appuploadfiles/3a217892-b63d-9c3b-5c78-6c1c6c756675","16th Baptist Church Store")</f>
      </c>
      <c r="B4426" s="3" t="s">
        <v>16</v>
      </c>
      <c r="C4426" s="4">
        <v>6</v>
      </c>
    </row>
    <row r="4427">
      <c r="A4427" s="5">
        <f>HYPERLINK("https://app-web.statementrec.com/app#appuploadfiles/3a2178e2-78be-d04c-f9b5-e22d53a12bbc","Neville Page Farm")</f>
      </c>
      <c r="B4427" s="3" t="s">
        <v>40</v>
      </c>
      <c r="C4427" s="4">
        <v>98</v>
      </c>
    </row>
    <row r="4428">
      <c r="A4428" s="5">
        <f>HYPERLINK("https://app-web.statementrec.com/app#appuploadfiles/3a217a4c-ce31-ec89-8002-f6ead88c582f","OS029D Harsharan Singh")</f>
      </c>
      <c r="B4428" s="3" t="s">
        <v>73</v>
      </c>
      <c r="C4428" s="4">
        <v>38</v>
      </c>
    </row>
    <row r="4429">
      <c r="A4429" s="5">
        <f>HYPERLINK("https://app-web.statementrec.com/app#appuploadfiles/3a217a88-5585-9543-41b6-a4eca3b8da3d","Credit card QE 31/04/2026")</f>
      </c>
      <c r="B4429" s="3" t="s">
        <v>15</v>
      </c>
      <c r="C4429" s="4">
        <v>1</v>
      </c>
    </row>
    <row r="4430">
      <c r="A4430" s="5">
        <f>HYPERLINK("https://app-web.statementrec.com/app#appuploadfiles/3a217a99-d18c-596e-5bbd-ddde775cf34c","CO2 Controls Ltd")</f>
      </c>
      <c r="B4430" s="3" t="s">
        <v>823</v>
      </c>
      <c r="C4430" s="4">
        <v>5</v>
      </c>
    </row>
    <row r="4431">
      <c r="A4431" s="5">
        <f>HYPERLINK("https://app-web.statementrec.com/app#appuploadfiles/3a217aba-4bcb-5bab-834a-77115e56aa83","65086.25.563")</f>
      </c>
      <c r="B4431" s="3" t="s">
        <v>3</v>
      </c>
      <c r="C4431" s="4">
        <v>2</v>
      </c>
    </row>
    <row r="4432">
      <c r="A4432" s="5">
        <f>HYPERLINK("https://app-web.statementrec.com/app#appuploadfiles/3a217abf-234c-49fa-ae7d-66e47c418ffa","Grid Electrical Services Ltd")</f>
      </c>
      <c r="B4432" s="3" t="s">
        <v>11</v>
      </c>
      <c r="C4432" s="4">
        <v>72</v>
      </c>
    </row>
    <row r="4433">
      <c r="A4433" s="5">
        <f>HYPERLINK("https://app-web.statementrec.com/app#appuploadfiles/3a217ac0-9c8e-344e-98d5-26ae631d8abb","IAJ Technologies Limited")</f>
      </c>
      <c r="B4433" s="3" t="s">
        <v>17</v>
      </c>
      <c r="C4433" s="4">
        <v>44</v>
      </c>
    </row>
    <row r="4434">
      <c r="A4434" s="5">
        <f>HYPERLINK("https://app-web.statementrec.com/app#appuploadfiles/3a217ac1-1831-2343-f96c-e8f679dcf9d7","55054 - Dhariwal, Acuity Law")</f>
      </c>
      <c r="B4434" s="3" t="s">
        <v>15</v>
      </c>
      <c r="C4434" s="4">
        <v>297</v>
      </c>
    </row>
    <row r="4435">
      <c r="A4435" s="5">
        <f>HYPERLINK("https://app-web.statementrec.com/app#appuploadfiles/3a217ac2-5e04-7dda-bd10-e06abacea4a7","Minerex")</f>
      </c>
      <c r="B4435" s="3" t="s">
        <v>3</v>
      </c>
      <c r="C4435" s="4">
        <v>34</v>
      </c>
    </row>
    <row r="4436">
      <c r="A4436" s="5">
        <f>HYPERLINK("https://app-web.statementrec.com/app#appuploadfiles/3a217ad5-11ef-b54f-08a9-f0bd5b6d2fda","Aleph Investment")</f>
      </c>
      <c r="B4436" s="3" t="s">
        <v>13</v>
      </c>
      <c r="C4436" s="4">
        <v>44</v>
      </c>
    </row>
    <row r="4437">
      <c r="A4437" s="5">
        <f>HYPERLINK("https://app-web.statementrec.com/app#appuploadfiles/3a217ad5-84b1-b9d6-4f0a-4e8ad034cf99","WESSEL J WESSELS")</f>
      </c>
      <c r="B4437" s="3" t="s">
        <v>80</v>
      </c>
      <c r="C4437" s="4">
        <v>63</v>
      </c>
    </row>
    <row r="4438">
      <c r="A4438" s="5">
        <f>HYPERLINK("https://app-web.statementrec.com/app#appuploadfiles/3a217aea-0791-c98b-ca3c-322f025789d8","Alpine Travel International Limited")</f>
      </c>
      <c r="B4438" s="3" t="s">
        <v>200</v>
      </c>
      <c r="C4438" s="4">
        <v>8</v>
      </c>
    </row>
    <row r="4439">
      <c r="A4439" s="5">
        <f>HYPERLINK("https://app-web.statementrec.com/app#appuploadfiles/3a217aee-5669-a361-53ec-40ab2a2cf0c9","Daniel Keane Electric")</f>
      </c>
      <c r="B4439" s="3" t="s">
        <v>75</v>
      </c>
      <c r="C4439" s="4">
        <v>48</v>
      </c>
    </row>
    <row r="4440">
      <c r="A4440" s="5">
        <f>HYPERLINK("https://app-web.statementrec.com/app#appuploadfiles/3a217af5-1f06-facd-80ae-f3fefaa485fa","The Rectory Farm Settlement")</f>
      </c>
      <c r="B4440" s="3" t="s">
        <v>824</v>
      </c>
      <c r="C4440" s="4">
        <v>8</v>
      </c>
    </row>
    <row r="4441">
      <c r="A4441" s="5">
        <f>HYPERLINK("https://app-web.statementrec.com/app#appuploadfiles/3a217b08-c226-58f5-de35-e7d1e67dc87b","Earley charity")</f>
      </c>
      <c r="B4441" s="3" t="s">
        <v>17</v>
      </c>
      <c r="C4441" s="4">
        <v>6</v>
      </c>
    </row>
    <row r="4442">
      <c r="A4442" s="5">
        <f>HYPERLINK("https://app-web.statementrec.com/app#appuploadfiles/3a217b09-6c8b-388c-f047-60337a954510","The Chip Shack Limited")</f>
      </c>
      <c r="B4442" s="3" t="s">
        <v>15</v>
      </c>
      <c r="C4442" s="4">
        <v>21</v>
      </c>
    </row>
    <row r="4443">
      <c r="A4443" s="5">
        <f>HYPERLINK("https://app-web.statementrec.com/app#appuploadfiles/3a217b3f-a24c-f89e-3612-f054d57abaa0","DMRI Limited")</f>
      </c>
      <c r="B4443" s="3" t="s">
        <v>39</v>
      </c>
      <c r="C4443" s="4">
        <v>4</v>
      </c>
    </row>
    <row r="4444">
      <c r="A4444" s="5">
        <f>HYPERLINK("https://app-web.statementrec.com/app#appuploadfiles/3a217b47-f154-2d62-2fa7-44fa301c3c10","M&amp;C&amp;R Gibson Farming P/SHIP F0301H")</f>
      </c>
      <c r="B4444" s="3" t="s">
        <v>21</v>
      </c>
      <c r="C4444" s="4">
        <v>39</v>
      </c>
    </row>
    <row r="4445">
      <c r="A4445" s="5">
        <f>HYPERLINK("https://app-web.statementrec.com/app#appuploadfiles/3a217b5d-fbb2-35e7-e2b6-e32a1c709fcd","1558 - Dunedin Bed &amp; Breakfast")</f>
      </c>
      <c r="B4445" s="3" t="s">
        <v>33</v>
      </c>
      <c r="C4445" s="4">
        <v>16</v>
      </c>
    </row>
    <row r="4446">
      <c r="A4446" s="5">
        <f>HYPERLINK("https://app-web.statementrec.com/app#appuploadfiles/3a217b67-a95d-a6f6-84f0-d2a01c6e2b4e","1490 - Iseabal Hendry")</f>
      </c>
      <c r="B4446" s="3" t="s">
        <v>33</v>
      </c>
      <c r="C4446" s="4">
        <v>1</v>
      </c>
    </row>
    <row r="4447">
      <c r="A4447" s="5">
        <f>HYPERLINK("https://app-web.statementrec.com/app#appuploadfiles/3a217b7a-f400-6c1f-08d7-09288233c093","Comanez Solutions Limited")</f>
      </c>
      <c r="B4447" s="3" t="s">
        <v>26</v>
      </c>
      <c r="C4447" s="4">
        <v>5</v>
      </c>
    </row>
    <row r="4448">
      <c r="A4448" s="5">
        <f>HYPERLINK("https://app-web.statementrec.com/app#appuploadfiles/3a217b7e-df63-a5ca-ad2f-7f587eb6e109","31.03.26")</f>
      </c>
      <c r="B4448" s="3" t="s">
        <v>19</v>
      </c>
      <c r="C4448" s="4">
        <v>36</v>
      </c>
    </row>
    <row r="4449">
      <c r="A4449" s="5">
        <f>HYPERLINK("https://app-web.statementrec.com/app#appuploadfiles/3a217b9f-7022-3ebc-563a-488b146eee3c","Jeanette Barnes")</f>
      </c>
      <c r="B4449" s="3" t="s">
        <v>47</v>
      </c>
      <c r="C4449" s="4">
        <v>16</v>
      </c>
    </row>
    <row r="4450">
      <c r="A4450" s="5">
        <f>HYPERLINK("https://app-web.statementrec.com/app#appuploadfiles/3a217ba0-b8f3-76df-70e5-94aeabfc0978","SPI337 - April Bank")</f>
      </c>
      <c r="B4450" s="3" t="s">
        <v>24</v>
      </c>
      <c r="C4450" s="4">
        <v>29</v>
      </c>
    </row>
    <row r="4451">
      <c r="A4451" s="5">
        <f>HYPERLINK("https://app-web.statementrec.com/app#appuploadfiles/3a217bb7-71b0-f5cf-374b-66c7fbd0909c","75585 L1 Mcguire Properties Limited")</f>
      </c>
      <c r="B4451" s="3" t="s">
        <v>84</v>
      </c>
      <c r="C4451" s="4">
        <v>4</v>
      </c>
    </row>
    <row r="4452">
      <c r="A4452" s="5">
        <f>HYPERLINK("https://app-web.statementrec.com/app#appuploadfiles/3a217bba-2592-b107-ff53-070a437a4aee","Creative MB Limited")</f>
      </c>
      <c r="B4452" s="3" t="s">
        <v>19</v>
      </c>
      <c r="C4452" s="4">
        <v>1</v>
      </c>
    </row>
    <row r="4453">
      <c r="A4453" s="5">
        <f>HYPERLINK("https://app-web.statementrec.com/app#appuploadfiles/3a217bc1-ba9d-2036-86f3-3b278ecd63ee","C057A-Sheikh, Juju")</f>
      </c>
      <c r="B4453" s="3" t="s">
        <v>825</v>
      </c>
      <c r="C4453" s="4">
        <v>9</v>
      </c>
    </row>
    <row r="4454">
      <c r="A4454" s="5">
        <f>HYPERLINK("https://app-web.statementrec.com/app#appuploadfiles/3a217bc4-5955-b179-cacf-cb959b4ac5fa","SPI337 - April 2026 BANK")</f>
      </c>
      <c r="B4454" s="3" t="s">
        <v>13</v>
      </c>
      <c r="C4454" s="4">
        <v>18</v>
      </c>
    </row>
    <row r="4455">
      <c r="A4455" s="5">
        <f>HYPERLINK("https://app-web.statementrec.com/app#appuploadfiles/3a217bc4-8ba7-0f44-beca-cef10e9d2448","Mar 2026")</f>
      </c>
      <c r="B4455" s="3" t="s">
        <v>826</v>
      </c>
      <c r="C4455" s="4">
        <v>2</v>
      </c>
    </row>
    <row r="4456">
      <c r="A4456" s="5">
        <f>HYPERLINK("https://app-web.statementrec.com/app#appuploadfiles/3a217bc5-3a7f-d6fb-7a21-2e903aa0eb99","Peter G")</f>
      </c>
      <c r="B4456" s="3" t="s">
        <v>827</v>
      </c>
      <c r="C4456" s="4">
        <v>1057</v>
      </c>
    </row>
    <row r="4457">
      <c r="A4457" s="5">
        <f>HYPERLINK("https://app-web.statementrec.com/app#appuploadfiles/3a217bcd-e193-52e6-fe70-79aa06da8f40","BIte Fair Lawn")</f>
      </c>
      <c r="B4457" s="3" t="s">
        <v>16</v>
      </c>
      <c r="C4457" s="4">
        <v>49</v>
      </c>
    </row>
    <row r="4458">
      <c r="A4458" s="5">
        <f>HYPERLINK("https://app-web.statementrec.com/app#appuploadfiles/3a217bd4-3a23-43ad-b171-c6a39de14232","10310280 Canada Inc. (Pinoy Towing)")</f>
      </c>
      <c r="B4458" s="3" t="s">
        <v>15</v>
      </c>
      <c r="C4458" s="4">
        <v>10</v>
      </c>
    </row>
    <row r="4459">
      <c r="A4459" s="5">
        <f>HYPERLINK("https://app-web.statementrec.com/app#appuploadfiles/3a217bdb-7bff-da44-1cc3-73daef5e6a35","CliniquePsy")</f>
      </c>
      <c r="B4459" s="3" t="s">
        <v>590</v>
      </c>
      <c r="C4459" s="4">
        <v>14</v>
      </c>
    </row>
    <row r="4460">
      <c r="A4460" s="5">
        <f>HYPERLINK("https://app-web.statementrec.com/app#appuploadfiles/3a217bdf-735f-d7ee-362e-daf9e77a066e","Nedwin Build Ltd")</f>
      </c>
      <c r="B4460" s="3" t="s">
        <v>19</v>
      </c>
      <c r="C4460" s="4">
        <v>14</v>
      </c>
    </row>
    <row r="4461">
      <c r="A4461" s="5">
        <f>HYPERLINK("https://app-web.statementrec.com/app#appuploadfiles/3a217bef-39b6-da56-9ce5-2522c9a61257","MERCATOR &amp; PISTOR LIMITED")</f>
      </c>
      <c r="B4461" s="3" t="s">
        <v>43</v>
      </c>
      <c r="C4461" s="4">
        <v>6</v>
      </c>
    </row>
    <row r="4462">
      <c r="A4462" s="5">
        <f>HYPERLINK("https://app-web.statementrec.com/app#appuploadfiles/3a217c10-7416-0bf8-8089-08f6f6234dd0","02.04.26 to 30.04.26")</f>
      </c>
      <c r="B4462" s="3" t="s">
        <v>18</v>
      </c>
      <c r="C4462" s="4">
        <v>2</v>
      </c>
    </row>
    <row r="4463">
      <c r="A4463" s="5">
        <f>HYPERLINK("https://app-web.statementrec.com/app#appuploadfiles/3a217c17-d9d5-7142-873b-092d17cc9d97","STIXS ASIAN KITCHEN LIMITED")</f>
      </c>
      <c r="B4463" s="3" t="s">
        <v>70</v>
      </c>
      <c r="C4463" s="4">
        <v>36</v>
      </c>
    </row>
    <row r="4464">
      <c r="A4464" s="5">
        <f>HYPERLINK("https://app-web.statementrec.com/app#appuploadfiles/3a217c1f-3e76-ea06-d92d-56fef33d7845","FINBAR KENT BLOODSTOCK LIMITED")</f>
      </c>
      <c r="B4464" s="3" t="s">
        <v>13</v>
      </c>
      <c r="C4464" s="4">
        <v>30</v>
      </c>
    </row>
    <row r="4465">
      <c r="A4465" s="5">
        <f>HYPERLINK("https://app-web.statementrec.com/app#appuploadfiles/3a217c99-211d-ea58-88f9-02447594e9d5","GS GROUNDWORKS &amp; CIVIL SOLUTIONS LTD")</f>
      </c>
      <c r="B4465" s="3" t="s">
        <v>15</v>
      </c>
      <c r="C4465" s="4">
        <v>1</v>
      </c>
    </row>
    <row r="4466">
      <c r="A4466" s="5">
        <f>HYPERLINK("https://app-web.statementrec.com/app#appuploadfiles/3a217cce-d0de-6a26-803c-b6b93cbb249b","02177-MarwahaNavpreet")</f>
      </c>
      <c r="B4466" s="3" t="s">
        <v>828</v>
      </c>
      <c r="C4466" s="4">
        <v>162</v>
      </c>
    </row>
    <row r="4467">
      <c r="A4467" s="5">
        <f>HYPERLINK("https://app-web.statementrec.com/app#appuploadfiles/3a217ce1-096a-86a0-550d-20e02b8ce0bc","2025")</f>
      </c>
      <c r="B4467" s="3" t="s">
        <v>59</v>
      </c>
      <c r="C4467" s="4">
        <v>2</v>
      </c>
    </row>
    <row r="4468">
      <c r="A4468" s="5">
        <f>HYPERLINK("https://app-web.statementrec.com/app#appuploadfiles/3a217d08-f126-382a-2b5a-b7b79396f1b3","Brett Cannon (Individual)")</f>
      </c>
      <c r="B4468" s="3" t="s">
        <v>70</v>
      </c>
      <c r="C4468" s="4">
        <v>12</v>
      </c>
    </row>
    <row r="4469">
      <c r="A4469" s="5">
        <f>HYPERLINK("https://app-web.statementrec.com/app#appuploadfiles/3a217d74-bc1d-4311-0fbe-e542ed39c6c5","Nomimi Primary School")</f>
      </c>
      <c r="B4469" s="3" t="s">
        <v>829</v>
      </c>
      <c r="C4469" s="4">
        <v>31</v>
      </c>
    </row>
    <row r="4470">
      <c r="A4470" s="5">
        <f>HYPERLINK("https://app-web.statementrec.com/app#appuploadfiles/3a217d7f-3d10-5d3b-c679-0d85af2b25b4","BALAY PINANNGA LTD")</f>
      </c>
      <c r="B4470" s="3" t="s">
        <v>10</v>
      </c>
      <c r="C4470" s="4">
        <v>3</v>
      </c>
    </row>
    <row r="4471">
      <c r="A4471" s="5">
        <f>HYPERLINK("https://app-web.statementrec.com/app#appuploadfiles/3a217d8a-f8d0-ca34-dc4d-4ca484338abd","Readale")</f>
      </c>
      <c r="B4471" s="3" t="s">
        <v>40</v>
      </c>
      <c r="C4471" s="4">
        <v>2</v>
      </c>
    </row>
    <row r="4472">
      <c r="A4472" s="5">
        <f>HYPERLINK("https://app-web.statementrec.com/app#appuploadfiles/3a217dab-ae11-7be4-e26e-f51804392333","2026 Feb - Apr")</f>
      </c>
      <c r="B4472" s="3" t="s">
        <v>294</v>
      </c>
      <c r="C4472" s="4">
        <v>17</v>
      </c>
    </row>
    <row r="4473">
      <c r="A4473" s="5">
        <f>HYPERLINK("https://app-web.statementrec.com/app#appuploadfiles/3a217dd6-174b-bc01-998f-e3837c5112cf","1287956 B.C. Ltd. 2026 YE")</f>
      </c>
      <c r="B4473" s="3" t="s">
        <v>830</v>
      </c>
      <c r="C4473" s="4">
        <v>26</v>
      </c>
    </row>
    <row r="4474">
      <c r="A4474" s="5">
        <f>HYPERLINK("https://app-web.statementrec.com/app#appuploadfiles/3a217dff-b4dd-3386-f159-0dd7d4df4dd1","June 2025")</f>
      </c>
      <c r="B4474" s="3" t="s">
        <v>56</v>
      </c>
      <c r="C4474" s="4">
        <v>4</v>
      </c>
    </row>
    <row r="4475">
      <c r="A4475" s="5">
        <f>HYPERLINK("https://app-web.statementrec.com/app#appuploadfiles/3a217dff-fc70-4dbf-6d15-f95643e31bf7","July 2025")</f>
      </c>
      <c r="B4475" s="3" t="s">
        <v>40</v>
      </c>
      <c r="C4475" s="4">
        <v>4</v>
      </c>
    </row>
    <row r="4476">
      <c r="A4476" s="5">
        <f>HYPERLINK("https://app-web.statementrec.com/app#appuploadfiles/3a217e00-9396-58d7-7fed-5764ac286f29","Sept 2025")</f>
      </c>
      <c r="B4476" s="3" t="s">
        <v>47</v>
      </c>
      <c r="C4476" s="4">
        <v>4</v>
      </c>
    </row>
    <row r="4477">
      <c r="A4477" s="5">
        <f>HYPERLINK("https://app-web.statementrec.com/app#appuploadfiles/3a217f2a-e692-5f78-f041-2218352a3c43","04.30.2026-5051")</f>
      </c>
      <c r="B4477" s="3" t="s">
        <v>337</v>
      </c>
      <c r="C4477" s="4">
        <v>2</v>
      </c>
    </row>
    <row r="4478">
      <c r="A4478" s="5">
        <f>HYPERLINK("https://app-web.statementrec.com/app#appuploadfiles/3a217faf-058c-882a-4147-5bfbdf0ef1fa","GLOBAL METAL RECYCLING LTD")</f>
      </c>
      <c r="B4478" s="3" t="s">
        <v>17</v>
      </c>
      <c r="C4478" s="4">
        <v>162</v>
      </c>
    </row>
    <row r="4479">
      <c r="A4479" s="5">
        <f>HYPERLINK("https://app-web.statementrec.com/app#appuploadfiles/3a217fb4-4dea-1770-48bc-a60073c2a963","FERNANDEZ Angel")</f>
      </c>
      <c r="B4479" s="3" t="s">
        <v>558</v>
      </c>
      <c r="C4479" s="4">
        <v>43</v>
      </c>
    </row>
    <row r="4480">
      <c r="A4480" s="5">
        <f>HYPERLINK("https://app-web.statementrec.com/app#appuploadfiles/3a217fbf-a0c1-2208-033a-dca92350a130","PROVEMED")</f>
      </c>
      <c r="B4480" s="3" t="s">
        <v>831</v>
      </c>
      <c r="C4480" s="4">
        <v>5</v>
      </c>
    </row>
    <row r="4481">
      <c r="A4481" s="5">
        <f>HYPERLINK("https://app-web.statementrec.com/app#appuploadfiles/3a217fc0-a08a-3678-3a45-86967daf1316","hoyo hoyo")</f>
      </c>
      <c r="B4481" s="3" t="s">
        <v>832</v>
      </c>
      <c r="C4481" s="4">
        <v>3</v>
      </c>
    </row>
    <row r="4482">
      <c r="A4482" s="5">
        <f>HYPERLINK("https://app-web.statementrec.com/app#appuploadfiles/3a217fdc-a619-1e13-7c7c-bb13e04693da","31.12.2026")</f>
      </c>
      <c r="B4482" s="3" t="s">
        <v>833</v>
      </c>
      <c r="C4482" s="4">
        <v>16</v>
      </c>
    </row>
    <row r="4483">
      <c r="A4483" s="5">
        <f>HYPERLINK("https://app-web.statementrec.com/app#appuploadfiles/3a217fdd-b28a-0564-e7b9-2dac03f9e61e","To Catch Up")</f>
      </c>
      <c r="B4483" s="3" t="s">
        <v>834</v>
      </c>
      <c r="C4483" s="4">
        <v>12</v>
      </c>
    </row>
    <row r="4484">
      <c r="A4484" s="5">
        <f>HYPERLINK("https://app-web.statementrec.com/app#appuploadfiles/3a217fe0-a5cf-dabd-372e-9ec7bddc1140","Lauren Walsh")</f>
      </c>
      <c r="B4484" s="3" t="s">
        <v>18</v>
      </c>
      <c r="C4484" s="4">
        <v>4</v>
      </c>
    </row>
    <row r="4485">
      <c r="A4485" s="5">
        <f>HYPERLINK("https://app-web.statementrec.com/app#appuploadfiles/3a217ff7-f060-a595-8a2a-1ff3dfa37f64","RareKickxxx Ltd")</f>
      </c>
      <c r="B4485" s="3" t="s">
        <v>26</v>
      </c>
      <c r="C4485" s="4">
        <v>14</v>
      </c>
    </row>
    <row r="4486">
      <c r="A4486" s="5">
        <f>HYPERLINK("https://app-web.statementrec.com/app#appuploadfiles/3a218000-c129-4b13-87af-0e7cf30f147c","Gary Taggart")</f>
      </c>
      <c r="B4486" s="3" t="s">
        <v>3</v>
      </c>
      <c r="C4486" s="4">
        <v>53</v>
      </c>
    </row>
    <row r="4487">
      <c r="A4487" s="5">
        <f>HYPERLINK("https://app-web.statementrec.com/app#appuploadfiles/3a218005-adbd-ef1a-c234-693746eb0fc0","MILL HOUSE METALS LTD")</f>
      </c>
      <c r="B4487" s="3" t="s">
        <v>17</v>
      </c>
      <c r="C4487" s="4">
        <v>175</v>
      </c>
    </row>
    <row r="4488">
      <c r="A4488" s="5">
        <f>HYPERLINK("https://app-web.statementrec.com/app#appuploadfiles/3a218011-c363-fa62-b23b-1f8e00a70188","Home Group Holdings")</f>
      </c>
      <c r="B4488" s="3" t="s">
        <v>11</v>
      </c>
      <c r="C4488" s="4">
        <v>2</v>
      </c>
    </row>
    <row r="4489">
      <c r="A4489" s="5">
        <f>HYPERLINK("https://app-web.statementrec.com/app#appuploadfiles/3a218013-5c73-dd0d-9f33-724707111e94","Tim Yates VAT")</f>
      </c>
      <c r="B4489" s="3" t="s">
        <v>17</v>
      </c>
      <c r="C4489" s="4">
        <v>3</v>
      </c>
    </row>
    <row r="4490">
      <c r="A4490" s="5">
        <f>HYPERLINK("https://app-web.statementrec.com/app#appuploadfiles/3a218018-528b-add1-618a-e758ba2b58ce","Dr Ntimani")</f>
      </c>
      <c r="B4490" s="3" t="s">
        <v>48</v>
      </c>
      <c r="C4490" s="4">
        <v>4</v>
      </c>
    </row>
    <row r="4491">
      <c r="A4491" s="5">
        <f>HYPERLINK("https://app-web.statementrec.com/app#appuploadfiles/3a21801e-7b81-3259-c932-60d32a3d6ad2","Andrew Richardson")</f>
      </c>
      <c r="B4491" s="3" t="s">
        <v>12</v>
      </c>
      <c r="C4491" s="4">
        <v>6</v>
      </c>
    </row>
    <row r="4492">
      <c r="A4492" s="5">
        <f>HYPERLINK("https://app-web.statementrec.com/app#appuploadfiles/3a218033-cedf-c741-71e6-c291456ce28f","Charlie Ryles")</f>
      </c>
      <c r="B4492" s="3" t="s">
        <v>12</v>
      </c>
      <c r="C4492" s="4">
        <v>4</v>
      </c>
    </row>
    <row r="4493">
      <c r="A4493" s="5">
        <f>HYPERLINK("https://app-web.statementrec.com/app#appuploadfiles/3a21803b-f737-da09-6c52-c9c9eef6c1f4","MED020 - Med Al-Bahar International")</f>
      </c>
      <c r="B4493" s="3" t="s">
        <v>577</v>
      </c>
      <c r="C4493" s="4">
        <v>2</v>
      </c>
    </row>
    <row r="4494">
      <c r="A4494" s="5">
        <f>HYPERLINK("https://app-web.statementrec.com/app#appuploadfiles/3a218045-0dda-85ec-07bc-a3bc6cb859a4","Quante")</f>
      </c>
      <c r="B4494" s="3" t="s">
        <v>26</v>
      </c>
      <c r="C4494" s="4">
        <v>3</v>
      </c>
    </row>
    <row r="4495">
      <c r="A4495" s="5">
        <f>HYPERLINK("https://app-web.statementrec.com/app#appuploadfiles/3a218074-83c2-e7a8-1184-d8310f218ee3","David Hesketh")</f>
      </c>
      <c r="B4495" s="3" t="s">
        <v>12</v>
      </c>
      <c r="C4495" s="4">
        <v>2</v>
      </c>
    </row>
    <row r="4496">
      <c r="A4496" s="5">
        <f>HYPERLINK("https://app-web.statementrec.com/app#appuploadfiles/3a21807d-d275-07da-c028-72cb03ab61b5","VAT April 2026")</f>
      </c>
      <c r="B4496" s="3" t="s">
        <v>53</v>
      </c>
      <c r="C4496" s="4">
        <v>17</v>
      </c>
    </row>
    <row r="4497">
      <c r="A4497" s="5">
        <f>HYPERLINK("https://app-web.statementrec.com/app#appuploadfiles/3a218083-c63b-1ea4-a8b7-08c2b869de5b","Griffin Landscaping")</f>
      </c>
      <c r="B4497" s="3" t="s">
        <v>3</v>
      </c>
      <c r="C4497" s="4">
        <v>3</v>
      </c>
    </row>
    <row r="4498">
      <c r="A4498" s="5">
        <f>HYPERLINK("https://app-web.statementrec.com/app#appuploadfiles/3a21809b-2efd-d742-4656-42dc66ce598b","AU Client 04")</f>
      </c>
      <c r="B4498" s="3" t="s">
        <v>304</v>
      </c>
      <c r="C4498" s="4">
        <v>16</v>
      </c>
    </row>
    <row r="4499">
      <c r="A4499" s="5">
        <f>HYPERLINK("https://app-web.statementrec.com/app#appuploadfiles/3a2180ac-34e0-764c-8e30-9fb4cf3a169a","MANTA REA AQUATICS LIMITED")</f>
      </c>
      <c r="B4499" s="3" t="s">
        <v>116</v>
      </c>
      <c r="C4499" s="4">
        <v>1</v>
      </c>
    </row>
    <row r="4500">
      <c r="A4500" s="5">
        <f>HYPERLINK("https://app-web.statementrec.com/app#appuploadfiles/3a2180c5-1b14-42a2-06cb-e56dea42048b","Apr 2026")</f>
      </c>
      <c r="B4500" s="3" t="s">
        <v>835</v>
      </c>
      <c r="C4500" s="4">
        <v>15</v>
      </c>
    </row>
    <row r="4501">
      <c r="A4501" s="5">
        <f>HYPERLINK("https://app-web.statementrec.com/app#appuploadfiles/3a2180cd-491f-5049-92dd-452259119daf","Kelgray Publishing Group Ltd")</f>
      </c>
      <c r="B4501" s="3" t="s">
        <v>752</v>
      </c>
      <c r="C4501" s="4">
        <v>136</v>
      </c>
    </row>
    <row r="4502">
      <c r="A4502" s="5">
        <f>HYPERLINK("https://app-web.statementrec.com/app#appuploadfiles/3a2180dc-60c9-945c-6104-183008a4e7e5","C.B Collects Ltd")</f>
      </c>
      <c r="B4502" s="3" t="s">
        <v>168</v>
      </c>
      <c r="C4502" s="4">
        <v>22</v>
      </c>
    </row>
    <row r="4503">
      <c r="A4503" s="5">
        <f>HYPERLINK("https://app-web.statementrec.com/app#appuploadfiles/3a2180de-379f-6c8e-88b0-ca408f86157d","DOLLMAN RALSTON LIMITED")</f>
      </c>
      <c r="B4503" s="3" t="s">
        <v>12</v>
      </c>
      <c r="C4503" s="4">
        <v>36</v>
      </c>
    </row>
    <row r="4504">
      <c r="A4504" s="5">
        <f>HYPERLINK("https://app-web.statementrec.com/app#appuploadfiles/3a2180e1-2de9-055a-312d-cfe0d0473abb","T EBRAHIM-26")</f>
      </c>
      <c r="B4504" s="3" t="s">
        <v>118</v>
      </c>
      <c r="C4504" s="4">
        <v>12</v>
      </c>
    </row>
    <row r="4505">
      <c r="A4505" s="5">
        <f>HYPERLINK("https://app-web.statementrec.com/app#appuploadfiles/3a2180e2-92a1-6e20-48a1-7e9942cf8af3","H207D - Bank statements April 2026")</f>
      </c>
      <c r="B4505" s="3" t="s">
        <v>30</v>
      </c>
      <c r="C4505" s="4">
        <v>10</v>
      </c>
    </row>
    <row r="4506">
      <c r="A4506" s="5">
        <f>HYPERLINK("https://app-web.statementrec.com/app#appuploadfiles/3a2180e8-b9a8-e373-450c-d3b9b452f9bd","Fév à avr 2026")</f>
      </c>
      <c r="B4506" s="3" t="s">
        <v>460</v>
      </c>
      <c r="C4506" s="4">
        <v>3</v>
      </c>
    </row>
    <row r="4507">
      <c r="A4507" s="5">
        <f>HYPERLINK("https://app-web.statementrec.com/app#appuploadfiles/3a2180ea-b498-1953-c1e3-735de6024610","0326_Visa_Mar_2026 Acero")</f>
      </c>
      <c r="B4507" s="3" t="s">
        <v>836</v>
      </c>
      <c r="C4507" s="4">
        <v>8</v>
      </c>
    </row>
    <row r="4508">
      <c r="A4508" s="5">
        <f>HYPERLINK("https://app-web.statementrec.com/app#appuploadfiles/3a2180ec-3869-1bbb-036c-b0c19553fae5","Prestige Health &amp; Skin Clinic Ltd")</f>
      </c>
      <c r="B4508" s="3" t="s">
        <v>837</v>
      </c>
      <c r="C4508" s="4">
        <v>60</v>
      </c>
    </row>
    <row r="4509">
      <c r="A4509" s="5">
        <f>HYPERLINK("https://app-web.statementrec.com/app#appuploadfiles/3a2180ec-d2d1-3713-37da-951b5664222f","The Coolmax Belfast Ltd")</f>
      </c>
      <c r="B4509" s="3" t="s">
        <v>26</v>
      </c>
      <c r="C4509" s="4">
        <v>11</v>
      </c>
    </row>
    <row r="4510">
      <c r="A4510" s="5">
        <f>HYPERLINK("https://app-web.statementrec.com/app#appuploadfiles/3a218118-cae6-dbe4-803a-27b004320caa","VAT Cleadon MOT Centre")</f>
      </c>
      <c r="B4510" s="3" t="s">
        <v>12</v>
      </c>
      <c r="C4510" s="4">
        <v>70</v>
      </c>
    </row>
    <row r="4511">
      <c r="A4511" s="5">
        <f>HYPERLINK("https://app-web.statementrec.com/app#appuploadfiles/3a218122-1124-5859-6452-0e7a1948dbb1","41519-25")</f>
      </c>
      <c r="B4511" s="3" t="s">
        <v>75</v>
      </c>
      <c r="C4511" s="4">
        <v>23</v>
      </c>
    </row>
    <row r="4512">
      <c r="A4512" s="5">
        <f>HYPERLINK("https://app-web.statementrec.com/app#appuploadfiles/3a218125-f19d-6936-426f-518811f7cfad","Parr St Pizza &amp; Kitchen Ltd")</f>
      </c>
      <c r="B4512" s="3" t="s">
        <v>12</v>
      </c>
      <c r="C4512" s="4">
        <v>2</v>
      </c>
    </row>
    <row r="4513">
      <c r="A4513" s="5">
        <f>HYPERLINK("https://app-web.statementrec.com/app#appuploadfiles/3a218135-8b60-3133-d639-26ab04fe58bd","Panter Consulting Inc")</f>
      </c>
      <c r="B4513" s="3" t="s">
        <v>158</v>
      </c>
      <c r="C4513" s="4">
        <v>48</v>
      </c>
    </row>
    <row r="4514">
      <c r="A4514" s="5">
        <f>HYPERLINK("https://app-web.statementrec.com/app#appuploadfiles/3a218137-e4f3-47ca-f487-4e6206f83d7e","Anthony Higgins International Ltd")</f>
      </c>
      <c r="B4514" s="3" t="s">
        <v>17</v>
      </c>
      <c r="C4514" s="4">
        <v>43</v>
      </c>
    </row>
    <row r="4515">
      <c r="A4515" s="5">
        <f>HYPERLINK("https://app-web.statementrec.com/app#appuploadfiles/3a218140-c629-c804-3306-ddc921e185e1","Apr 26")</f>
      </c>
      <c r="B4515" s="3" t="s">
        <v>18</v>
      </c>
      <c r="C4515" s="4">
        <v>10</v>
      </c>
    </row>
    <row r="4516">
      <c r="A4516" s="5">
        <f>HYPERLINK("https://app-web.statementrec.com/app#appuploadfiles/3a218147-28db-8a22-3165-512c68f16780","DH SOUNDSTOP LIMITED")</f>
      </c>
      <c r="B4516" s="3" t="s">
        <v>17</v>
      </c>
      <c r="C4516" s="4">
        <v>9</v>
      </c>
    </row>
    <row r="4517">
      <c r="A4517" s="5">
        <f>HYPERLINK("https://app-web.statementrec.com/app#appuploadfiles/3a21814c-9b52-bec8-69fc-4e9f0211e122","John Flaherty")</f>
      </c>
      <c r="B4517" s="3" t="s">
        <v>26</v>
      </c>
      <c r="C4517" s="4">
        <v>5</v>
      </c>
    </row>
    <row r="4518">
      <c r="A4518" s="5">
        <f>HYPERLINK("https://app-web.statementrec.com/app#appuploadfiles/3a218151-b69f-c913-ca02-b7e5b69f133a","2026")</f>
      </c>
      <c r="B4518" s="3" t="s">
        <v>10</v>
      </c>
      <c r="C4518" s="4">
        <v>20</v>
      </c>
    </row>
    <row r="4519">
      <c r="A4519" s="5">
        <f>HYPERLINK("https://app-web.statementrec.com/app#appuploadfiles/3a21816a-0e77-a75d-5089-100012036757","Current Account - Q/e Apr 2026")</f>
      </c>
      <c r="B4519" s="3" t="s">
        <v>18</v>
      </c>
      <c r="C4519" s="4">
        <v>5</v>
      </c>
    </row>
    <row r="4520">
      <c r="A4520" s="5">
        <f>HYPERLINK("https://app-web.statementrec.com/app#appuploadfiles/3a21816b-8f8d-b7d2-f016-3d68e616a0ac","Business Premium Account - Q/e Apr 2026")</f>
      </c>
      <c r="B4520" s="3" t="s">
        <v>18</v>
      </c>
      <c r="C4520" s="4">
        <v>2</v>
      </c>
    </row>
    <row r="4521">
      <c r="A4521" s="5">
        <f>HYPERLINK("https://app-web.statementrec.com/app#appuploadfiles/3a21816c-80dd-1dcb-a802-060453e84cc7","VAT Account - Q/e Apr 2026")</f>
      </c>
      <c r="B4521" s="3" t="s">
        <v>13</v>
      </c>
      <c r="C4521" s="4">
        <v>1</v>
      </c>
    </row>
    <row r="4522">
      <c r="A4522" s="5">
        <f>HYPERLINK("https://app-web.statementrec.com/app#appuploadfiles/3a218178-967a-2842-4673-1bc3c45bd3f0","Noetic Operating Systems")</f>
      </c>
      <c r="B4522" s="3" t="s">
        <v>43</v>
      </c>
      <c r="C4522" s="4">
        <v>6</v>
      </c>
    </row>
    <row r="4523">
      <c r="A4523" s="5">
        <f>HYPERLINK("https://app-web.statementrec.com/app#appuploadfiles/3a218189-17fd-d4bf-e2b7-59f39343ebf2","")</f>
      </c>
      <c r="B4523" s="3" t="s">
        <v>712</v>
      </c>
      <c r="C4523" s="4">
        <v>3</v>
      </c>
    </row>
    <row r="4524">
      <c r="A4524" s="5">
        <f>HYPERLINK("https://app-web.statementrec.com/app#appuploadfiles/3a21818a-9bc1-1a69-6e9c-7b01f7fe03c1","Aura Haya Ltd - VAT Q.E. 30.04.2026")</f>
      </c>
      <c r="B4524" s="3" t="s">
        <v>184</v>
      </c>
      <c r="C4524" s="4">
        <v>2</v>
      </c>
    </row>
    <row r="4525">
      <c r="A4525" s="5">
        <f>HYPERLINK("https://app-web.statementrec.com/app#appuploadfiles/3a2181a2-9168-6b17-ebd2-72e4b853753d","KIP MCGRATH ASHFIELD _ ACCOUNTS PREP")</f>
      </c>
      <c r="B4525" s="3" t="s">
        <v>12</v>
      </c>
      <c r="C4525" s="4">
        <v>55</v>
      </c>
    </row>
    <row r="4526">
      <c r="A4526" s="5">
        <f>HYPERLINK("https://app-web.statementrec.com/app#appuploadfiles/3a2181c6-a50d-5f31-9e82-bf8eee8c55e6","Demanko HLC Logistics LLC")</f>
      </c>
      <c r="B4526" s="3" t="s">
        <v>58</v>
      </c>
      <c r="C4526" s="4">
        <v>4</v>
      </c>
    </row>
    <row r="4527">
      <c r="A4527" s="5">
        <f>HYPERLINK("https://app-web.statementrec.com/app#appuploadfiles/3a2181c8-ea71-6797-cf14-3f9cf0fdfa32","Suriano Consulting")</f>
      </c>
      <c r="B4527" s="3" t="s">
        <v>12</v>
      </c>
      <c r="C4527" s="4">
        <v>2</v>
      </c>
    </row>
    <row r="4528">
      <c r="A4528" s="5">
        <f>HYPERLINK("https://app-web.statementrec.com/app#appuploadfiles/3a2181d6-623c-7d50-b46a-9a71ae01ffdb","Fév à avr 2026")</f>
      </c>
      <c r="B4528" s="3" t="s">
        <v>181</v>
      </c>
      <c r="C4528" s="4">
        <v>8</v>
      </c>
    </row>
    <row r="4529">
      <c r="A4529" s="5">
        <f>HYPERLINK("https://app-web.statementrec.com/app#appuploadfiles/3a2181dc-ccec-fccb-a6d7-3eef666a8847","Consultancy Management &amp; Procurement")</f>
      </c>
      <c r="B4529" s="3" t="s">
        <v>56</v>
      </c>
      <c r="C4529" s="4">
        <v>2</v>
      </c>
    </row>
    <row r="4530">
      <c r="A4530" s="5">
        <f>HYPERLINK("https://app-web.statementrec.com/app#appuploadfiles/3a2181f0-b9e5-6d5e-d565-b4cf49546031","BURTONWOOD HOMES LLC")</f>
      </c>
      <c r="B4530" s="3" t="s">
        <v>47</v>
      </c>
      <c r="C4530" s="4">
        <v>20</v>
      </c>
    </row>
    <row r="4531">
      <c r="A4531" s="5">
        <f>HYPERLINK("https://app-web.statementrec.com/app#appuploadfiles/3a21820e-2d59-1d99-b0cd-d7e78f124077","Moonlight Senegal SARL")</f>
      </c>
      <c r="B4531" s="3" t="s">
        <v>12</v>
      </c>
      <c r="C4531" s="4">
        <v>1</v>
      </c>
    </row>
    <row r="4532">
      <c r="A4532" s="5">
        <f>HYPERLINK("https://app-web.statementrec.com/app#appuploadfiles/3a218224-31fc-5fbd-64ac-94410185a965","Fén à avr 2026")</f>
      </c>
      <c r="B4532" s="3" t="s">
        <v>40</v>
      </c>
      <c r="C4532" s="4">
        <v>11</v>
      </c>
    </row>
    <row r="4533">
      <c r="A4533" s="5">
        <f>HYPERLINK("https://app-web.statementrec.com/app#appuploadfiles/3a21822c-bee4-7043-1711-eae5a50b39df","21977 Emma Maher")</f>
      </c>
      <c r="B4533" s="3" t="s">
        <v>26</v>
      </c>
      <c r="C4533" s="4">
        <v>38</v>
      </c>
    </row>
    <row r="4534">
      <c r="A4534" s="5">
        <f>HYPERLINK("https://app-web.statementrec.com/app#appuploadfiles/3a218277-8276-e8bd-211b-0c7e5e452716","Martys")</f>
      </c>
      <c r="B4534" s="3" t="s">
        <v>12</v>
      </c>
      <c r="C4534" s="4">
        <v>5</v>
      </c>
    </row>
    <row r="4535">
      <c r="A4535" s="5">
        <f>HYPERLINK("https://app-web.statementrec.com/app#appuploadfiles/3a2182a7-bbd7-404b-6c19-ce7e4b41a78b","Bruce Clark (Butchers) Ltd")</f>
      </c>
      <c r="B4535" s="3" t="s">
        <v>30</v>
      </c>
      <c r="C4535" s="4">
        <v>2</v>
      </c>
    </row>
    <row r="4536">
      <c r="A4536" s="5">
        <f>HYPERLINK("https://app-web.statementrec.com/app#appuploadfiles/3a218388-d8fd-6403-018e-b00343e95de1","04.30.2026-1792")</f>
      </c>
      <c r="B4536" s="3" t="s">
        <v>140</v>
      </c>
      <c r="C4536" s="4">
        <v>5</v>
      </c>
    </row>
    <row r="4537">
      <c r="A4537" s="5">
        <f>HYPERLINK("https://app-web.statementrec.com/app#appuploadfiles/3a2184cd-be77-57ea-7525-b7afd697b22d","ELTRADE ELECTRICAL LTD")</f>
      </c>
      <c r="B4537" s="3" t="s">
        <v>17</v>
      </c>
      <c r="C4537" s="4">
        <v>106</v>
      </c>
    </row>
    <row r="4538">
      <c r="A4538" s="5">
        <f>HYPERLINK("https://app-web.statementrec.com/app#appuploadfiles/3a2184d0-83bb-8bce-acf6-7d475f1f2af8","YE Nov 2025")</f>
      </c>
      <c r="B4538" s="3" t="s">
        <v>21</v>
      </c>
      <c r="C4538" s="4">
        <v>26</v>
      </c>
    </row>
    <row r="4539">
      <c r="A4539" s="5">
        <f>HYPERLINK("https://app-web.statementrec.com/app#appuploadfiles/3a2184d1-9d6c-0064-070c-25023d12de85","Bank statements")</f>
      </c>
      <c r="B4539" s="3" t="s">
        <v>290</v>
      </c>
      <c r="C4539" s="4">
        <v>15</v>
      </c>
    </row>
    <row r="4540">
      <c r="A4540" s="5">
        <f>HYPERLINK("https://app-web.statementrec.com/app#appuploadfiles/3a2184d7-cc16-25fa-7058-df0dbbdc6346","Westwell Green Ltd")</f>
      </c>
      <c r="B4540" s="3" t="s">
        <v>118</v>
      </c>
      <c r="C4540" s="4">
        <v>3</v>
      </c>
    </row>
    <row r="4541">
      <c r="A4541" s="5">
        <f>HYPERLINK("https://app-web.statementrec.com/app#appuploadfiles/3a218500-3677-6afd-af69-de583e5b8db8","Property Signs (Scotland) Ltd")</f>
      </c>
      <c r="B4541" s="3" t="s">
        <v>13</v>
      </c>
      <c r="C4541" s="4">
        <v>2</v>
      </c>
    </row>
    <row r="4542">
      <c r="A4542" s="5">
        <f>HYPERLINK("https://app-web.statementrec.com/app#appuploadfiles/3a21850a-eff5-e1af-79be-d96b9ffa6979","Quicklane Consultants Ltd")</f>
      </c>
      <c r="B4542" s="3" t="s">
        <v>11</v>
      </c>
      <c r="C4542" s="4">
        <v>2</v>
      </c>
    </row>
    <row r="4543">
      <c r="A4543" s="5">
        <f>HYPERLINK("https://app-web.statementrec.com/app#appuploadfiles/3a218513-b414-1dc7-c9d4-aced1f09e4a8","2025-26")</f>
      </c>
      <c r="B4543" s="3" t="s">
        <v>665</v>
      </c>
      <c r="C4543" s="4">
        <v>202</v>
      </c>
    </row>
    <row r="4544">
      <c r="A4544" s="5">
        <f>HYPERLINK("https://app-web.statementrec.com/app#appuploadfiles/3a218514-40f8-706d-486b-c191b955d52e","Northcott")</f>
      </c>
      <c r="B4544" s="3" t="s">
        <v>838</v>
      </c>
      <c r="C4544" s="4">
        <v>131</v>
      </c>
    </row>
    <row r="4545">
      <c r="A4545" s="5">
        <f>HYPERLINK("https://app-web.statementrec.com/app#appuploadfiles/3a218524-8a0c-3bf5-5503-d811dfb45d94","BOXERDOME LIMITED")</f>
      </c>
      <c r="B4545" s="3" t="s">
        <v>11</v>
      </c>
      <c r="C4545" s="4">
        <v>91</v>
      </c>
    </row>
    <row r="4546">
      <c r="A4546" s="5">
        <f>HYPERLINK("https://app-web.statementrec.com/app#appuploadfiles/3a21852d-476a-8eab-aec5-f8c388c7512a","MDB Productions Ltd - QE Apr 26")</f>
      </c>
      <c r="B4546" s="3" t="s">
        <v>168</v>
      </c>
      <c r="C4546" s="4">
        <v>8</v>
      </c>
    </row>
    <row r="4547">
      <c r="A4547" s="5">
        <f>HYPERLINK("https://app-web.statementrec.com/app#appuploadfiles/3a218547-e55d-84c0-f36d-640f98ffa8c4","M&amp;K Autos")</f>
      </c>
      <c r="B4547" s="3" t="s">
        <v>839</v>
      </c>
      <c r="C4547" s="4">
        <v>24</v>
      </c>
    </row>
    <row r="4548">
      <c r="A4548" s="5">
        <f>HYPERLINK("https://app-web.statementrec.com/app#appuploadfiles/3a218559-2063-e4f9-4b8a-8c8f7da6d9be","Car Claim Specialists")</f>
      </c>
      <c r="B4548" s="3" t="s">
        <v>840</v>
      </c>
      <c r="C4548" s="4">
        <v>12</v>
      </c>
    </row>
    <row r="4549">
      <c r="A4549" s="5">
        <f>HYPERLINK("https://app-web.statementrec.com/app#appuploadfiles/3a218563-d044-9f5d-dc87-b6eb49f2ee1a","SJS Capital Limited YE 31 Jan 2026")</f>
      </c>
      <c r="B4549" s="3" t="s">
        <v>43</v>
      </c>
      <c r="C4549" s="4">
        <v>4</v>
      </c>
    </row>
    <row r="4550">
      <c r="A4550" s="5">
        <f>HYPERLINK("https://app-web.statementrec.com/app#appuploadfiles/3a218569-b424-7656-f01d-7a4e465ddc24","April 2026")</f>
      </c>
      <c r="B4550" s="3" t="s">
        <v>47</v>
      </c>
      <c r="C4550" s="4">
        <v>3</v>
      </c>
    </row>
    <row r="4551">
      <c r="A4551" s="5">
        <f>HYPERLINK("https://app-web.statementrec.com/app#appuploadfiles/3a21856f-3588-3f87-a31a-b8cae10de727","Creative vision")</f>
      </c>
      <c r="B4551" s="3" t="s">
        <v>25</v>
      </c>
      <c r="C4551" s="4">
        <v>33</v>
      </c>
    </row>
    <row r="4552">
      <c r="A4552" s="5">
        <f>HYPERLINK("https://app-web.statementrec.com/app#appuploadfiles/3a218572-380f-43c4-6472-2752f13d9c6a","Sarah Elsheikh 2025")</f>
      </c>
      <c r="B4552" s="3" t="s">
        <v>26</v>
      </c>
      <c r="C4552" s="4">
        <v>96</v>
      </c>
    </row>
    <row r="4553">
      <c r="A4553" s="5">
        <f>HYPERLINK("https://app-web.statementrec.com/app#appuploadfiles/3a218586-d22b-bcfb-0f76-ee4b273e18b0","Tenby Caravan Services Ltd")</f>
      </c>
      <c r="B4553" s="3" t="s">
        <v>84</v>
      </c>
      <c r="C4553" s="4">
        <v>2</v>
      </c>
    </row>
    <row r="4554">
      <c r="A4554" s="5">
        <f>HYPERLINK("https://app-web.statementrec.com/app#appuploadfiles/3a2185ab-a01d-8c48-100a-09042a9a177a","ADAMSKA Magdalena")</f>
      </c>
      <c r="B4554" s="3" t="s">
        <v>18</v>
      </c>
      <c r="C4554" s="4">
        <v>41</v>
      </c>
    </row>
    <row r="4555">
      <c r="A4555" s="5">
        <f>HYPERLINK("https://app-web.statementrec.com/app#appuploadfiles/3a2185ad-d8b5-9c59-2fdb-8f5c5b657326","HRC 2025")</f>
      </c>
      <c r="B4555" s="3" t="s">
        <v>75</v>
      </c>
      <c r="C4555" s="4">
        <v>10</v>
      </c>
    </row>
    <row r="4556">
      <c r="A4556" s="5">
        <f>HYPERLINK("https://app-web.statementrec.com/app#appuploadfiles/3a2185ae-c56e-711d-cef7-e45f2c4c5d0d","Ceri Morgan")</f>
      </c>
      <c r="B4556" s="3" t="s">
        <v>13</v>
      </c>
      <c r="C4556" s="4">
        <v>5</v>
      </c>
    </row>
    <row r="4557">
      <c r="A4557" s="5">
        <f>HYPERLINK("https://app-web.statementrec.com/app#appuploadfiles/3a2185bb-e0bc-64c5-a4ec-8379652a17a2","Harrisons Engineering")</f>
      </c>
      <c r="B4557" s="3" t="s">
        <v>112</v>
      </c>
      <c r="C4557" s="4">
        <v>1</v>
      </c>
    </row>
    <row r="4558">
      <c r="A4558" s="5">
        <f>HYPERLINK("https://app-web.statementrec.com/app#appuploadfiles/3a2185be-91c8-a4ca-e5af-162460e429c3","29/05/26")</f>
      </c>
      <c r="B4558" s="3" t="s">
        <v>12</v>
      </c>
      <c r="C4558" s="4">
        <v>2</v>
      </c>
    </row>
    <row r="4559">
      <c r="A4559" s="5">
        <f>HYPERLINK("https://app-web.statementrec.com/app#appuploadfiles/3a2185dd-2dfb-aa6f-b9e1-90919823210a","Polly Marsh")</f>
      </c>
      <c r="B4559" s="3" t="s">
        <v>841</v>
      </c>
      <c r="C4559" s="4">
        <v>12</v>
      </c>
    </row>
    <row r="4560">
      <c r="A4560" s="5">
        <f>HYPERLINK("https://app-web.statementrec.com/app#appuploadfiles/3a2185ec-f4dd-61cc-ffaf-5dfe78c40233","BTPROSAFETY Pty Ltd")</f>
      </c>
      <c r="B4560" s="3" t="s">
        <v>80</v>
      </c>
      <c r="C4560" s="4">
        <v>7</v>
      </c>
    </row>
    <row r="4561">
      <c r="A4561" s="5">
        <f>HYPERLINK("https://app-web.statementrec.com/app#appuploadfiles/3a2185fc-8c5c-8d76-fc46-3d30015040e4","BOWAK LIMITED")</f>
      </c>
      <c r="B4561" s="3" t="s">
        <v>15</v>
      </c>
      <c r="C4561" s="4">
        <v>603</v>
      </c>
    </row>
    <row r="4562">
      <c r="A4562" s="5">
        <f>HYPERLINK("https://app-web.statementrec.com/app#appuploadfiles/3a218603-673b-23fa-8c87-df8da18f8190","NM Transport")</f>
      </c>
      <c r="B4562" s="3" t="s">
        <v>29</v>
      </c>
      <c r="C4562" s="4">
        <v>4</v>
      </c>
    </row>
    <row r="4563">
      <c r="A4563" s="5">
        <f>HYPERLINK("https://app-web.statementrec.com/app#appuploadfiles/3a21860e-dd80-7f3e-d22e-26fecd773a98","BarberD Limited")</f>
      </c>
      <c r="B4563" s="3" t="s">
        <v>842</v>
      </c>
      <c r="C4563" s="4">
        <v>26</v>
      </c>
    </row>
    <row r="4564">
      <c r="A4564" s="5">
        <f>HYPERLINK("https://app-web.statementrec.com/app#appuploadfiles/3a21861a-b7f1-95be-b1b7-8103798a4980","Lineage")</f>
      </c>
      <c r="B4564" s="3" t="s">
        <v>21</v>
      </c>
      <c r="C4564" s="4">
        <v>4</v>
      </c>
    </row>
    <row r="4565">
      <c r="A4565" s="5">
        <f>HYPERLINK("https://app-web.statementrec.com/app#appuploadfiles/3a21861f-f086-4531-4fed-81a357421e1e","Clarence Court")</f>
      </c>
      <c r="B4565" s="3" t="s">
        <v>18</v>
      </c>
      <c r="C4565" s="4">
        <v>10</v>
      </c>
    </row>
    <row r="4566">
      <c r="A4566" s="5">
        <f>HYPERLINK("https://app-web.statementrec.com/app#appuploadfiles/3a218639-727f-341b-3d2f-085bf1441551","Shareight Ltd")</f>
      </c>
      <c r="B4566" s="3" t="s">
        <v>843</v>
      </c>
      <c r="C4566" s="4">
        <v>102</v>
      </c>
    </row>
    <row r="4567">
      <c r="A4567" s="5">
        <f>HYPERLINK("https://app-web.statementrec.com/app#appuploadfiles/3a21865b-55dd-4497-b296-815787c27788","LION SECURE DESPATCH LIMITED")</f>
      </c>
      <c r="B4567" s="3" t="s">
        <v>17</v>
      </c>
      <c r="C4567" s="4">
        <v>21</v>
      </c>
    </row>
    <row r="4568">
      <c r="A4568" s="5">
        <f>HYPERLINK("https://app-web.statementrec.com/app#appuploadfiles/3a21865f-739a-9164-6ab8-ef0e2ccde1dd","BRJET Ltd 2025 - Allica")</f>
      </c>
      <c r="B4568" s="3" t="s">
        <v>371</v>
      </c>
      <c r="C4568" s="4">
        <v>2</v>
      </c>
    </row>
    <row r="4569">
      <c r="A4569" s="5">
        <f>HYPERLINK("https://app-web.statementrec.com/app#appuploadfiles/3a218670-b10a-e22f-8c3d-6e8c3a02f025","Catercraft Supplies Limited -00485803")</f>
      </c>
      <c r="B4569" s="3" t="s">
        <v>12</v>
      </c>
      <c r="C4569" s="4">
        <v>163</v>
      </c>
    </row>
    <row r="4570">
      <c r="A4570" s="5">
        <f>HYPERLINK("https://app-web.statementrec.com/app#appuploadfiles/3a218672-fe2e-fe48-8f00-2be67c33bb9e","Heatcraft  Limited -00485801")</f>
      </c>
      <c r="B4570" s="3" t="s">
        <v>12</v>
      </c>
      <c r="C4570" s="4">
        <v>163</v>
      </c>
    </row>
    <row r="4571">
      <c r="A4571" s="5">
        <f>HYPERLINK("https://app-web.statementrec.com/app#appuploadfiles/3a218687-eebd-99de-2ea1-abeacc24976e","SQUARE BUILDING")</f>
      </c>
      <c r="B4571" s="3" t="s">
        <v>56</v>
      </c>
      <c r="C4571" s="4">
        <v>14</v>
      </c>
    </row>
    <row r="4572">
      <c r="A4572" s="5">
        <f>HYPERLINK("https://app-web.statementrec.com/app#appuploadfiles/3a2186bf-626e-bc05-4c2b-927a50f14e7e","Apr 2026")</f>
      </c>
      <c r="B4572" s="3" t="s">
        <v>844</v>
      </c>
      <c r="C4572" s="4">
        <v>6</v>
      </c>
    </row>
    <row r="4573">
      <c r="A4573" s="5">
        <f>HYPERLINK("https://app-web.statementrec.com/app#appuploadfiles/3a2186c2-5b38-82bf-8504-3a6776930641","Ron Hernandez DDS")</f>
      </c>
      <c r="B4573" s="3" t="s">
        <v>845</v>
      </c>
      <c r="C4573" s="4">
        <v>173</v>
      </c>
    </row>
    <row r="4574">
      <c r="A4574" s="5">
        <f>HYPERLINK("https://app-web.statementrec.com/app#appuploadfiles/3a21870f-9824-295b-da60-78b8fb8985c8","May 2026")</f>
      </c>
      <c r="B4574" s="3" t="s">
        <v>15</v>
      </c>
      <c r="C4574" s="4">
        <v>1</v>
      </c>
    </row>
    <row r="4575">
      <c r="A4575" s="5">
        <f>HYPERLINK("https://app-web.statementrec.com/app#appuploadfiles/3a2187eb-7399-53e3-418e-f1c7a13363c1","Eternal Glory Church")</f>
      </c>
      <c r="B4575" s="3" t="s">
        <v>80</v>
      </c>
      <c r="C4575" s="4">
        <v>50</v>
      </c>
    </row>
    <row r="4576">
      <c r="A4576" s="5">
        <f>HYPERLINK("https://app-web.statementrec.com/app#appuploadfiles/3a21887e-9ade-33d1-b22a-16a03ca21534","Bell Corporation")</f>
      </c>
      <c r="B4576" s="3" t="s">
        <v>451</v>
      </c>
      <c r="C4576" s="4">
        <v>44</v>
      </c>
    </row>
    <row r="4577">
      <c r="A4577" s="5">
        <f>HYPERLINK("https://app-web.statementrec.com/app#appuploadfiles/3a2188b2-da67-1efa-4aa1-0dfa68b0fda3","Georgsson Investments")</f>
      </c>
      <c r="B4577" s="3" t="s">
        <v>846</v>
      </c>
      <c r="C4577" s="4">
        <v>28</v>
      </c>
    </row>
    <row r="4578">
      <c r="A4578" s="5">
        <f>HYPERLINK("https://app-web.statementrec.com/app#appuploadfiles/3a2189f4-1b51-4bac-c630-e087d9c5923b","(BOA) NEIL CURTLIN")</f>
      </c>
      <c r="B4578" s="3" t="s">
        <v>15</v>
      </c>
      <c r="C4578" s="4">
        <v>1</v>
      </c>
    </row>
    <row r="4579">
      <c r="A4579" s="5">
        <f>HYPERLINK("https://app-web.statementrec.com/app#appuploadfiles/3a218add-de62-bdd4-051f-6fbeba43c8c1","Andibridge Projects")</f>
      </c>
      <c r="B4579" s="3" t="s">
        <v>12</v>
      </c>
      <c r="C4579" s="4">
        <v>15</v>
      </c>
    </row>
    <row r="4580">
      <c r="A4580" s="5">
        <f>HYPERLINK("https://app-web.statementrec.com/app#appuploadfiles/3a218b20-2a3c-a660-0a39-f043179f0f44","KP visa Oct 2025 - May 2026")</f>
      </c>
      <c r="B4580" s="3" t="s">
        <v>58</v>
      </c>
      <c r="C4580" s="4">
        <v>8</v>
      </c>
    </row>
    <row r="4581">
      <c r="A4581" s="5">
        <f>HYPERLINK("https://app-web.statementrec.com/app#appuploadfiles/3a218b47-28b2-d00d-518a-ac461b52baf0","Fév à avr 2026")</f>
      </c>
      <c r="B4581" s="3" t="s">
        <v>158</v>
      </c>
      <c r="C4581" s="4">
        <v>32</v>
      </c>
    </row>
    <row r="4582">
      <c r="A4582" s="5">
        <f>HYPERLINK("https://app-web.statementrec.com/app#appuploadfiles/3a218c48-ca7b-805d-4a26-75a58c5c374d","04-05 CHASE")</f>
      </c>
      <c r="B4582" s="3" t="s">
        <v>58</v>
      </c>
      <c r="C4582" s="4">
        <v>9</v>
      </c>
    </row>
    <row r="4583">
      <c r="A4583" s="5">
        <f>HYPERLINK("https://app-web.statementrec.com/app#appuploadfiles/3a218c77-9df0-b9e1-c023-4490fd714751","The Stock Pot Cafe")</f>
      </c>
      <c r="B4583" s="3" t="s">
        <v>158</v>
      </c>
      <c r="C4583" s="4">
        <v>4</v>
      </c>
    </row>
    <row r="4584">
      <c r="A4584" s="5">
        <f>HYPERLINK("https://app-web.statementrec.com/app#appuploadfiles/3a218f20-9842-e077-758a-4d4b1fa9951b","J212 Shane Ashley Jones")</f>
      </c>
      <c r="B4584" s="3" t="s">
        <v>17</v>
      </c>
      <c r="C4584" s="4">
        <v>9</v>
      </c>
    </row>
    <row r="4585">
      <c r="A4585" s="5">
        <f>HYPERLINK("https://app-web.statementrec.com/app#appuploadfiles/3a218f82-e423-07ec-8cd4-cc2f30cf6263","BSR May 26 COT")</f>
      </c>
      <c r="B4585" s="3" t="s">
        <v>52</v>
      </c>
      <c r="C4585" s="4">
        <v>12</v>
      </c>
    </row>
    <row r="4586">
      <c r="A4586" s="5">
        <f>HYPERLINK("https://app-web.statementrec.com/app#appuploadfiles/3a219078-9169-f472-5079-64db4edd7b8a","Jacob Drive")</f>
      </c>
      <c r="B4586" s="3" t="s">
        <v>17</v>
      </c>
      <c r="C4586" s="4">
        <v>8</v>
      </c>
    </row>
    <row r="4587">
      <c r="A4587" s="5">
        <f>HYPERLINK("https://app-web.statementrec.com/app#appuploadfiles/3a2191bb-f583-a772-8053-31d60951d0b7","October 2025")</f>
      </c>
      <c r="B4587" s="3" t="s">
        <v>33</v>
      </c>
      <c r="C4587" s="4">
        <v>5</v>
      </c>
    </row>
    <row r="4588">
      <c r="A4588" s="5">
        <f>HYPERLINK("https://app-web.statementrec.com/app#appuploadfiles/3a2191d5-9dc0-e3fb-35d0-20807259b939","Simmons &amp; Odle")</f>
      </c>
      <c r="B4588" s="3" t="s">
        <v>146</v>
      </c>
      <c r="C4588" s="4">
        <v>19</v>
      </c>
    </row>
    <row r="4589">
      <c r="A4589" s="5">
        <f>HYPERLINK("https://app-web.statementrec.com/app#appuploadfiles/3a21920f-404c-f472-9512-6c3953653655","POLEPEOPLE DANCE &amp; FITNESS LIMITED")</f>
      </c>
      <c r="B4589" s="3" t="s">
        <v>17</v>
      </c>
      <c r="C4589" s="4">
        <v>4</v>
      </c>
    </row>
    <row r="4590">
      <c r="A4590" s="5">
        <f>HYPERLINK("https://app-web.statementrec.com/app#appuploadfiles/3a21924f-f6a9-9b72-2a30-095815bc72a0","Banque 2025")</f>
      </c>
      <c r="B4590" s="3" t="s">
        <v>316</v>
      </c>
      <c r="C4590" s="4">
        <v>9</v>
      </c>
    </row>
    <row r="4591">
      <c r="A4591" s="5">
        <f>HYPERLINK("https://app-web.statementrec.com/app#appuploadfiles/3a219293-f103-ff20-35e6-c9c842ca4419","Fildes - NAB - 2026FY")</f>
      </c>
      <c r="B4591" s="3" t="s">
        <v>214</v>
      </c>
      <c r="C4591" s="4">
        <v>6</v>
      </c>
    </row>
    <row r="4592">
      <c r="A4592" s="5">
        <f>HYPERLINK("https://app-web.statementrec.com/app#appuploadfiles/3a21929c-fc24-841b-7e37-1d55975aeea3","Horsley Electrical Pty Ltd")</f>
      </c>
      <c r="B4592" s="3" t="s">
        <v>153</v>
      </c>
      <c r="C4592" s="4">
        <v>14</v>
      </c>
    </row>
    <row r="4593">
      <c r="A4593" s="5">
        <f>HYPERLINK("https://app-web.statementrec.com/app#appuploadfiles/3a2192a2-a1d9-710e-d759-7bc2fee6769a","Natasha")</f>
      </c>
      <c r="B4593" s="3" t="s">
        <v>847</v>
      </c>
      <c r="C4593" s="4">
        <v>170</v>
      </c>
    </row>
    <row r="4594">
      <c r="A4594" s="5">
        <f>HYPERLINK("https://app-web.statementrec.com/app#appuploadfiles/3a2192a2-c08b-982f-2561-366f1069f3ce","cibc bank stmt 20260430")</f>
      </c>
      <c r="B4594" s="3" t="s">
        <v>466</v>
      </c>
      <c r="C4594" s="4">
        <v>2</v>
      </c>
    </row>
    <row r="4595">
      <c r="A4595" s="5">
        <f>HYPERLINK("https://app-web.statementrec.com/app#appuploadfiles/3a2192e6-fca4-2077-6b7d-d1df814ef2bf","S&amp;C Saunders - NAB Trade - 2021FY")</f>
      </c>
      <c r="B4595" s="3" t="s">
        <v>214</v>
      </c>
      <c r="C4595" s="4">
        <v>7</v>
      </c>
    </row>
    <row r="4596">
      <c r="A4596" s="5">
        <f>HYPERLINK("https://app-web.statementrec.com/app#appuploadfiles/3a21941f-2986-0bfb-495b-1c499906638c","Lawton - Ord Minnett")</f>
      </c>
      <c r="B4596" s="3" t="s">
        <v>848</v>
      </c>
      <c r="C4596" s="4">
        <v>4</v>
      </c>
    </row>
    <row r="4597">
      <c r="A4597" s="5">
        <f>HYPERLINK("https://app-web.statementrec.com/app#appuploadfiles/3a219427-a411-a353-e60e-438acba4d544","Elevate with Olivia")</f>
      </c>
      <c r="B4597" s="3" t="s">
        <v>11</v>
      </c>
      <c r="C4597" s="4">
        <v>10</v>
      </c>
    </row>
    <row r="4598">
      <c r="A4598" s="5">
        <f>HYPERLINK("https://app-web.statementrec.com/app#appuploadfiles/3a21943a-7475-6827-9049-ef07edc29ff7","Brett 2026")</f>
      </c>
      <c r="B4598" s="3" t="s">
        <v>13</v>
      </c>
      <c r="C4598" s="4">
        <v>13</v>
      </c>
    </row>
    <row r="4599">
      <c r="A4599" s="5">
        <f>HYPERLINK("https://app-web.statementrec.com/app#appuploadfiles/3a219445-3ed5-29c4-4baa-de607dbbb9cf","Power Serwice Ltd")</f>
      </c>
      <c r="B4599" s="3" t="s">
        <v>43</v>
      </c>
      <c r="C4599" s="4">
        <v>4</v>
      </c>
    </row>
    <row r="4600">
      <c r="A4600" s="5">
        <f>HYPERLINK("https://app-web.statementrec.com/app#appuploadfiles/3a21945c-b44a-2631-0e70-c8a213a2188d","SMART SAFE ELECTRICAL LIMITED")</f>
      </c>
      <c r="B4600" s="3" t="s">
        <v>84</v>
      </c>
      <c r="C4600" s="4">
        <v>17</v>
      </c>
    </row>
    <row r="4601">
      <c r="A4601" s="5">
        <f>HYPERLINK("https://app-web.statementrec.com/app#appuploadfiles/3a219466-f51b-c9b9-ff4c-17bf1df44f24","Zaye Capital Limited")</f>
      </c>
      <c r="B4601" s="3" t="s">
        <v>371</v>
      </c>
      <c r="C4601" s="4">
        <v>2</v>
      </c>
    </row>
    <row r="4602">
      <c r="A4602" s="5">
        <f>HYPERLINK("https://app-web.statementrec.com/app#appuploadfiles/3a219468-6f9c-dde5-15a1-9bc68450e1ec","Cartails")</f>
      </c>
      <c r="B4602" s="3" t="s">
        <v>16</v>
      </c>
      <c r="C4602" s="4">
        <v>29</v>
      </c>
    </row>
    <row r="4603">
      <c r="A4603" s="5">
        <f>HYPERLINK("https://app-web.statementrec.com/app#appuploadfiles/3a21946e-7857-4977-eb58-675f3161ecfa","Generativ Ltd")</f>
      </c>
      <c r="B4603" s="3" t="s">
        <v>11</v>
      </c>
      <c r="C4603" s="4">
        <v>1</v>
      </c>
    </row>
    <row r="4604">
      <c r="A4604" s="5">
        <f>HYPERLINK("https://app-web.statementrec.com/app#appuploadfiles/3a21946e-f822-6a19-6aad-ee2b28456298","Unleashed Homes Ltd")</f>
      </c>
      <c r="B4604" s="3" t="s">
        <v>44</v>
      </c>
      <c r="C4604" s="4">
        <v>42</v>
      </c>
    </row>
    <row r="4605">
      <c r="A4605" s="5">
        <f>HYPERLINK("https://app-web.statementrec.com/app#appuploadfiles/3a219474-ebe8-6d3b-0932-bd936ec215b6","31.03.26")</f>
      </c>
      <c r="B4605" s="3" t="s">
        <v>21</v>
      </c>
      <c r="C4605" s="4">
        <v>14</v>
      </c>
    </row>
    <row r="4606">
      <c r="A4606" s="5">
        <f>HYPERLINK("https://app-web.statementrec.com/app#appuploadfiles/3a219476-b10c-4217-550d-c9fe130e7d53","Corotana Global - 141002")</f>
      </c>
      <c r="B4606" s="3" t="s">
        <v>17</v>
      </c>
      <c r="C4606" s="4">
        <v>2</v>
      </c>
    </row>
    <row r="4607">
      <c r="A4607" s="5">
        <f>HYPERLINK("https://app-web.statementrec.com/app#appuploadfiles/3a219477-4f6c-37c8-9952-b910e8b6ee74","Ulivo Management Services Limited")</f>
      </c>
      <c r="B4607" s="3" t="s">
        <v>40</v>
      </c>
      <c r="C4607" s="4">
        <v>13</v>
      </c>
    </row>
    <row r="4608">
      <c r="A4608" s="5">
        <f>HYPERLINK("https://app-web.statementrec.com/app#appuploadfiles/3a21947c-2055-ff36-3274-6cc2c3e40e6e","YE March 26")</f>
      </c>
      <c r="B4608" s="3" t="s">
        <v>10</v>
      </c>
      <c r="C4608" s="4">
        <v>13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  <hyperlink ref="A754" r:id="rId753"/>
    <hyperlink ref="A755" r:id="rId754"/>
    <hyperlink ref="A756" r:id="rId755"/>
    <hyperlink ref="A757" r:id="rId756"/>
    <hyperlink ref="A758" r:id="rId757"/>
    <hyperlink ref="A759" r:id="rId758"/>
    <hyperlink ref="A760" r:id="rId759"/>
    <hyperlink ref="A761" r:id="rId760"/>
    <hyperlink ref="A762" r:id="rId761"/>
    <hyperlink ref="A763" r:id="rId762"/>
    <hyperlink ref="A764" r:id="rId763"/>
    <hyperlink ref="A765" r:id="rId764"/>
    <hyperlink ref="A766" r:id="rId765"/>
    <hyperlink ref="A767" r:id="rId766"/>
    <hyperlink ref="A768" r:id="rId767"/>
    <hyperlink ref="A769" r:id="rId768"/>
    <hyperlink ref="A770" r:id="rId769"/>
    <hyperlink ref="A771" r:id="rId770"/>
    <hyperlink ref="A772" r:id="rId771"/>
    <hyperlink ref="A773" r:id="rId772"/>
    <hyperlink ref="A774" r:id="rId773"/>
    <hyperlink ref="A775" r:id="rId774"/>
    <hyperlink ref="A776" r:id="rId775"/>
    <hyperlink ref="A777" r:id="rId776"/>
    <hyperlink ref="A778" r:id="rId777"/>
    <hyperlink ref="A779" r:id="rId778"/>
    <hyperlink ref="A780" r:id="rId779"/>
    <hyperlink ref="A781" r:id="rId780"/>
    <hyperlink ref="A782" r:id="rId781"/>
    <hyperlink ref="A783" r:id="rId782"/>
    <hyperlink ref="A784" r:id="rId783"/>
    <hyperlink ref="A785" r:id="rId784"/>
    <hyperlink ref="A786" r:id="rId785"/>
    <hyperlink ref="A787" r:id="rId786"/>
    <hyperlink ref="A788" r:id="rId787"/>
    <hyperlink ref="A789" r:id="rId788"/>
    <hyperlink ref="A790" r:id="rId789"/>
    <hyperlink ref="A791" r:id="rId790"/>
    <hyperlink ref="A792" r:id="rId791"/>
    <hyperlink ref="A793" r:id="rId792"/>
    <hyperlink ref="A794" r:id="rId793"/>
    <hyperlink ref="A795" r:id="rId794"/>
    <hyperlink ref="A796" r:id="rId795"/>
    <hyperlink ref="A797" r:id="rId796"/>
    <hyperlink ref="A798" r:id="rId797"/>
    <hyperlink ref="A799" r:id="rId798"/>
    <hyperlink ref="A800" r:id="rId799"/>
    <hyperlink ref="A801" r:id="rId800"/>
    <hyperlink ref="A802" r:id="rId801"/>
    <hyperlink ref="A803" r:id="rId802"/>
    <hyperlink ref="A804" r:id="rId803"/>
    <hyperlink ref="A805" r:id="rId804"/>
    <hyperlink ref="A806" r:id="rId805"/>
    <hyperlink ref="A807" r:id="rId806"/>
    <hyperlink ref="A808" r:id="rId807"/>
    <hyperlink ref="A809" r:id="rId808"/>
    <hyperlink ref="A810" r:id="rId809"/>
    <hyperlink ref="A811" r:id="rId810"/>
    <hyperlink ref="A812" r:id="rId811"/>
    <hyperlink ref="A813" r:id="rId812"/>
    <hyperlink ref="A814" r:id="rId813"/>
    <hyperlink ref="A815" r:id="rId814"/>
    <hyperlink ref="A816" r:id="rId815"/>
    <hyperlink ref="A817" r:id="rId816"/>
    <hyperlink ref="A818" r:id="rId817"/>
    <hyperlink ref="A819" r:id="rId818"/>
    <hyperlink ref="A820" r:id="rId819"/>
    <hyperlink ref="A821" r:id="rId820"/>
    <hyperlink ref="A822" r:id="rId821"/>
    <hyperlink ref="A823" r:id="rId822"/>
    <hyperlink ref="A824" r:id="rId823"/>
    <hyperlink ref="A825" r:id="rId824"/>
    <hyperlink ref="A826" r:id="rId825"/>
    <hyperlink ref="A827" r:id="rId826"/>
    <hyperlink ref="A828" r:id="rId827"/>
    <hyperlink ref="A829" r:id="rId828"/>
    <hyperlink ref="A830" r:id="rId829"/>
    <hyperlink ref="A831" r:id="rId830"/>
    <hyperlink ref="A832" r:id="rId831"/>
    <hyperlink ref="A833" r:id="rId832"/>
    <hyperlink ref="A834" r:id="rId833"/>
    <hyperlink ref="A835" r:id="rId834"/>
    <hyperlink ref="A836" r:id="rId835"/>
    <hyperlink ref="A837" r:id="rId836"/>
    <hyperlink ref="A838" r:id="rId837"/>
    <hyperlink ref="A839" r:id="rId838"/>
    <hyperlink ref="A840" r:id="rId839"/>
    <hyperlink ref="A841" r:id="rId840"/>
    <hyperlink ref="A842" r:id="rId841"/>
    <hyperlink ref="A843" r:id="rId842"/>
    <hyperlink ref="A844" r:id="rId843"/>
    <hyperlink ref="A845" r:id="rId844"/>
    <hyperlink ref="A846" r:id="rId845"/>
    <hyperlink ref="A847" r:id="rId846"/>
    <hyperlink ref="A848" r:id="rId847"/>
    <hyperlink ref="A849" r:id="rId848"/>
    <hyperlink ref="A850" r:id="rId849"/>
    <hyperlink ref="A851" r:id="rId850"/>
    <hyperlink ref="A852" r:id="rId851"/>
    <hyperlink ref="A853" r:id="rId852"/>
    <hyperlink ref="A854" r:id="rId853"/>
    <hyperlink ref="A855" r:id="rId854"/>
    <hyperlink ref="A856" r:id="rId855"/>
    <hyperlink ref="A857" r:id="rId856"/>
    <hyperlink ref="A858" r:id="rId857"/>
    <hyperlink ref="A859" r:id="rId858"/>
    <hyperlink ref="A860" r:id="rId859"/>
    <hyperlink ref="A861" r:id="rId860"/>
    <hyperlink ref="A862" r:id="rId861"/>
    <hyperlink ref="A863" r:id="rId862"/>
    <hyperlink ref="A864" r:id="rId863"/>
    <hyperlink ref="A865" r:id="rId864"/>
    <hyperlink ref="A866" r:id="rId865"/>
    <hyperlink ref="A867" r:id="rId866"/>
    <hyperlink ref="A868" r:id="rId867"/>
    <hyperlink ref="A869" r:id="rId868"/>
    <hyperlink ref="A870" r:id="rId869"/>
    <hyperlink ref="A871" r:id="rId870"/>
    <hyperlink ref="A872" r:id="rId871"/>
    <hyperlink ref="A873" r:id="rId872"/>
    <hyperlink ref="A874" r:id="rId873"/>
    <hyperlink ref="A875" r:id="rId874"/>
    <hyperlink ref="A876" r:id="rId875"/>
    <hyperlink ref="A877" r:id="rId876"/>
    <hyperlink ref="A878" r:id="rId877"/>
    <hyperlink ref="A879" r:id="rId878"/>
    <hyperlink ref="A880" r:id="rId879"/>
    <hyperlink ref="A881" r:id="rId880"/>
    <hyperlink ref="A882" r:id="rId881"/>
    <hyperlink ref="A883" r:id="rId882"/>
    <hyperlink ref="A884" r:id="rId883"/>
    <hyperlink ref="A885" r:id="rId884"/>
    <hyperlink ref="A886" r:id="rId885"/>
    <hyperlink ref="A887" r:id="rId886"/>
    <hyperlink ref="A888" r:id="rId887"/>
    <hyperlink ref="A889" r:id="rId888"/>
    <hyperlink ref="A890" r:id="rId889"/>
    <hyperlink ref="A891" r:id="rId890"/>
    <hyperlink ref="A892" r:id="rId891"/>
    <hyperlink ref="A893" r:id="rId892"/>
    <hyperlink ref="A894" r:id="rId893"/>
    <hyperlink ref="A895" r:id="rId894"/>
    <hyperlink ref="A896" r:id="rId895"/>
    <hyperlink ref="A897" r:id="rId896"/>
    <hyperlink ref="A898" r:id="rId897"/>
    <hyperlink ref="A899" r:id="rId898"/>
    <hyperlink ref="A900" r:id="rId899"/>
    <hyperlink ref="A901" r:id="rId900"/>
    <hyperlink ref="A902" r:id="rId901"/>
    <hyperlink ref="A903" r:id="rId902"/>
    <hyperlink ref="A904" r:id="rId903"/>
    <hyperlink ref="A905" r:id="rId904"/>
    <hyperlink ref="A906" r:id="rId905"/>
    <hyperlink ref="A907" r:id="rId906"/>
    <hyperlink ref="A908" r:id="rId907"/>
    <hyperlink ref="A909" r:id="rId908"/>
    <hyperlink ref="A910" r:id="rId909"/>
    <hyperlink ref="A911" r:id="rId910"/>
    <hyperlink ref="A912" r:id="rId911"/>
    <hyperlink ref="A913" r:id="rId912"/>
    <hyperlink ref="A914" r:id="rId913"/>
    <hyperlink ref="A915" r:id="rId914"/>
    <hyperlink ref="A916" r:id="rId915"/>
    <hyperlink ref="A917" r:id="rId916"/>
    <hyperlink ref="A918" r:id="rId917"/>
    <hyperlink ref="A919" r:id="rId918"/>
    <hyperlink ref="A920" r:id="rId919"/>
    <hyperlink ref="A921" r:id="rId920"/>
    <hyperlink ref="A922" r:id="rId921"/>
    <hyperlink ref="A923" r:id="rId922"/>
    <hyperlink ref="A924" r:id="rId923"/>
    <hyperlink ref="A925" r:id="rId924"/>
    <hyperlink ref="A926" r:id="rId925"/>
    <hyperlink ref="A927" r:id="rId926"/>
    <hyperlink ref="A928" r:id="rId927"/>
    <hyperlink ref="A929" r:id="rId928"/>
    <hyperlink ref="A930" r:id="rId929"/>
    <hyperlink ref="A931" r:id="rId930"/>
    <hyperlink ref="A932" r:id="rId931"/>
    <hyperlink ref="A933" r:id="rId932"/>
    <hyperlink ref="A934" r:id="rId933"/>
    <hyperlink ref="A935" r:id="rId934"/>
    <hyperlink ref="A936" r:id="rId935"/>
    <hyperlink ref="A937" r:id="rId936"/>
    <hyperlink ref="A938" r:id="rId937"/>
    <hyperlink ref="A939" r:id="rId938"/>
    <hyperlink ref="A940" r:id="rId939"/>
    <hyperlink ref="A941" r:id="rId940"/>
    <hyperlink ref="A942" r:id="rId941"/>
    <hyperlink ref="A943" r:id="rId942"/>
    <hyperlink ref="A944" r:id="rId943"/>
    <hyperlink ref="A945" r:id="rId944"/>
    <hyperlink ref="A946" r:id="rId945"/>
    <hyperlink ref="A947" r:id="rId946"/>
    <hyperlink ref="A948" r:id="rId947"/>
    <hyperlink ref="A949" r:id="rId948"/>
    <hyperlink ref="A950" r:id="rId949"/>
    <hyperlink ref="A951" r:id="rId950"/>
    <hyperlink ref="A952" r:id="rId951"/>
    <hyperlink ref="A953" r:id="rId952"/>
    <hyperlink ref="A954" r:id="rId953"/>
    <hyperlink ref="A955" r:id="rId954"/>
    <hyperlink ref="A956" r:id="rId955"/>
    <hyperlink ref="A957" r:id="rId956"/>
    <hyperlink ref="A958" r:id="rId957"/>
    <hyperlink ref="A959" r:id="rId958"/>
    <hyperlink ref="A960" r:id="rId959"/>
    <hyperlink ref="A961" r:id="rId960"/>
    <hyperlink ref="A962" r:id="rId961"/>
    <hyperlink ref="A963" r:id="rId962"/>
    <hyperlink ref="A964" r:id="rId963"/>
    <hyperlink ref="A965" r:id="rId964"/>
    <hyperlink ref="A966" r:id="rId965"/>
    <hyperlink ref="A967" r:id="rId966"/>
    <hyperlink ref="A968" r:id="rId967"/>
    <hyperlink ref="A969" r:id="rId968"/>
    <hyperlink ref="A970" r:id="rId969"/>
    <hyperlink ref="A971" r:id="rId970"/>
    <hyperlink ref="A972" r:id="rId971"/>
    <hyperlink ref="A973" r:id="rId972"/>
    <hyperlink ref="A974" r:id="rId973"/>
    <hyperlink ref="A975" r:id="rId974"/>
    <hyperlink ref="A976" r:id="rId975"/>
    <hyperlink ref="A977" r:id="rId976"/>
    <hyperlink ref="A978" r:id="rId977"/>
    <hyperlink ref="A979" r:id="rId978"/>
    <hyperlink ref="A980" r:id="rId979"/>
    <hyperlink ref="A981" r:id="rId980"/>
    <hyperlink ref="A982" r:id="rId981"/>
    <hyperlink ref="A983" r:id="rId982"/>
    <hyperlink ref="A984" r:id="rId983"/>
    <hyperlink ref="A985" r:id="rId984"/>
    <hyperlink ref="A986" r:id="rId985"/>
    <hyperlink ref="A987" r:id="rId986"/>
    <hyperlink ref="A988" r:id="rId987"/>
    <hyperlink ref="A989" r:id="rId988"/>
    <hyperlink ref="A990" r:id="rId989"/>
    <hyperlink ref="A991" r:id="rId990"/>
    <hyperlink ref="A992" r:id="rId991"/>
    <hyperlink ref="A993" r:id="rId992"/>
    <hyperlink ref="A994" r:id="rId993"/>
    <hyperlink ref="A995" r:id="rId994"/>
    <hyperlink ref="A996" r:id="rId995"/>
    <hyperlink ref="A997" r:id="rId996"/>
    <hyperlink ref="A998" r:id="rId997"/>
    <hyperlink ref="A999" r:id="rId998"/>
    <hyperlink ref="A1000" r:id="rId999"/>
    <hyperlink ref="A1001" r:id="rId1000"/>
    <hyperlink ref="A1002" r:id="rId1001"/>
    <hyperlink ref="A1003" r:id="rId1002"/>
    <hyperlink ref="A1004" r:id="rId1003"/>
    <hyperlink ref="A1005" r:id="rId1004"/>
    <hyperlink ref="A1006" r:id="rId1005"/>
    <hyperlink ref="A1007" r:id="rId1006"/>
    <hyperlink ref="A1008" r:id="rId1007"/>
    <hyperlink ref="A1009" r:id="rId1008"/>
    <hyperlink ref="A1010" r:id="rId1009"/>
    <hyperlink ref="A1011" r:id="rId1010"/>
    <hyperlink ref="A1012" r:id="rId1011"/>
    <hyperlink ref="A1013" r:id="rId1012"/>
    <hyperlink ref="A1014" r:id="rId1013"/>
    <hyperlink ref="A1015" r:id="rId1014"/>
    <hyperlink ref="A1016" r:id="rId1015"/>
    <hyperlink ref="A1017" r:id="rId1016"/>
    <hyperlink ref="A1018" r:id="rId1017"/>
    <hyperlink ref="A1019" r:id="rId1018"/>
    <hyperlink ref="A1020" r:id="rId1019"/>
    <hyperlink ref="A1021" r:id="rId1020"/>
    <hyperlink ref="A1022" r:id="rId1021"/>
    <hyperlink ref="A1023" r:id="rId1022"/>
    <hyperlink ref="A1024" r:id="rId1023"/>
    <hyperlink ref="A1025" r:id="rId1024"/>
    <hyperlink ref="A1026" r:id="rId1025"/>
    <hyperlink ref="A1027" r:id="rId1026"/>
    <hyperlink ref="A1028" r:id="rId1027"/>
    <hyperlink ref="A1029" r:id="rId1028"/>
    <hyperlink ref="A1030" r:id="rId1029"/>
    <hyperlink ref="A1031" r:id="rId1030"/>
    <hyperlink ref="A1032" r:id="rId1031"/>
    <hyperlink ref="A1033" r:id="rId1032"/>
    <hyperlink ref="A1034" r:id="rId1033"/>
    <hyperlink ref="A1035" r:id="rId1034"/>
    <hyperlink ref="A1036" r:id="rId1035"/>
    <hyperlink ref="A1037" r:id="rId1036"/>
    <hyperlink ref="A1038" r:id="rId1037"/>
    <hyperlink ref="A1039" r:id="rId1038"/>
    <hyperlink ref="A1040" r:id="rId1039"/>
    <hyperlink ref="A1041" r:id="rId1040"/>
    <hyperlink ref="A1042" r:id="rId1041"/>
    <hyperlink ref="A1043" r:id="rId1042"/>
    <hyperlink ref="A1044" r:id="rId1043"/>
    <hyperlink ref="A1045" r:id="rId1044"/>
    <hyperlink ref="A1046" r:id="rId1045"/>
    <hyperlink ref="A1047" r:id="rId1046"/>
    <hyperlink ref="A1048" r:id="rId1047"/>
    <hyperlink ref="A1049" r:id="rId1048"/>
    <hyperlink ref="A1050" r:id="rId1049"/>
    <hyperlink ref="A1051" r:id="rId1050"/>
    <hyperlink ref="A1052" r:id="rId1051"/>
    <hyperlink ref="A1053" r:id="rId1052"/>
    <hyperlink ref="A1054" r:id="rId1053"/>
    <hyperlink ref="A1055" r:id="rId1054"/>
    <hyperlink ref="A1056" r:id="rId1055"/>
    <hyperlink ref="A1057" r:id="rId1056"/>
    <hyperlink ref="A1058" r:id="rId1057"/>
    <hyperlink ref="A1059" r:id="rId1058"/>
    <hyperlink ref="A1060" r:id="rId1059"/>
    <hyperlink ref="A1061" r:id="rId1060"/>
    <hyperlink ref="A1062" r:id="rId1061"/>
    <hyperlink ref="A1063" r:id="rId1062"/>
    <hyperlink ref="A1064" r:id="rId1063"/>
    <hyperlink ref="A1065" r:id="rId1064"/>
    <hyperlink ref="A1066" r:id="rId1065"/>
    <hyperlink ref="A1067" r:id="rId1066"/>
    <hyperlink ref="A1068" r:id="rId1067"/>
    <hyperlink ref="A1069" r:id="rId1068"/>
    <hyperlink ref="A1070" r:id="rId1069"/>
    <hyperlink ref="A1071" r:id="rId1070"/>
    <hyperlink ref="A1072" r:id="rId1071"/>
    <hyperlink ref="A1073" r:id="rId1072"/>
    <hyperlink ref="A1074" r:id="rId1073"/>
    <hyperlink ref="A1075" r:id="rId1074"/>
    <hyperlink ref="A1076" r:id="rId1075"/>
    <hyperlink ref="A1077" r:id="rId1076"/>
    <hyperlink ref="A1078" r:id="rId1077"/>
    <hyperlink ref="A1079" r:id="rId1078"/>
    <hyperlink ref="A1080" r:id="rId1079"/>
    <hyperlink ref="A1081" r:id="rId1080"/>
    <hyperlink ref="A1082" r:id="rId1081"/>
    <hyperlink ref="A1083" r:id="rId1082"/>
    <hyperlink ref="A1084" r:id="rId1083"/>
    <hyperlink ref="A1085" r:id="rId1084"/>
    <hyperlink ref="A1086" r:id="rId1085"/>
    <hyperlink ref="A1087" r:id="rId1086"/>
    <hyperlink ref="A1088" r:id="rId1087"/>
    <hyperlink ref="A1089" r:id="rId1088"/>
    <hyperlink ref="A1090" r:id="rId1089"/>
    <hyperlink ref="A1091" r:id="rId1090"/>
    <hyperlink ref="A1092" r:id="rId1091"/>
    <hyperlink ref="A1093" r:id="rId1092"/>
    <hyperlink ref="A1094" r:id="rId1093"/>
    <hyperlink ref="A1095" r:id="rId1094"/>
    <hyperlink ref="A1096" r:id="rId1095"/>
    <hyperlink ref="A1097" r:id="rId1096"/>
    <hyperlink ref="A1098" r:id="rId1097"/>
    <hyperlink ref="A1099" r:id="rId1098"/>
    <hyperlink ref="A1100" r:id="rId1099"/>
    <hyperlink ref="A1101" r:id="rId1100"/>
    <hyperlink ref="A1102" r:id="rId1101"/>
    <hyperlink ref="A1103" r:id="rId1102"/>
    <hyperlink ref="A1104" r:id="rId1103"/>
    <hyperlink ref="A1105" r:id="rId1104"/>
    <hyperlink ref="A1106" r:id="rId1105"/>
    <hyperlink ref="A1107" r:id="rId1106"/>
    <hyperlink ref="A1108" r:id="rId1107"/>
    <hyperlink ref="A1109" r:id="rId1108"/>
    <hyperlink ref="A1110" r:id="rId1109"/>
    <hyperlink ref="A1111" r:id="rId1110"/>
    <hyperlink ref="A1112" r:id="rId1111"/>
    <hyperlink ref="A1113" r:id="rId1112"/>
    <hyperlink ref="A1114" r:id="rId1113"/>
    <hyperlink ref="A1115" r:id="rId1114"/>
    <hyperlink ref="A1116" r:id="rId1115"/>
    <hyperlink ref="A1117" r:id="rId1116"/>
    <hyperlink ref="A1118" r:id="rId1117"/>
    <hyperlink ref="A1119" r:id="rId1118"/>
    <hyperlink ref="A1120" r:id="rId1119"/>
    <hyperlink ref="A1121" r:id="rId1120"/>
    <hyperlink ref="A1122" r:id="rId1121"/>
    <hyperlink ref="A1123" r:id="rId1122"/>
    <hyperlink ref="A1124" r:id="rId1123"/>
    <hyperlink ref="A1125" r:id="rId1124"/>
    <hyperlink ref="A1126" r:id="rId1125"/>
    <hyperlink ref="A1127" r:id="rId1126"/>
    <hyperlink ref="A1128" r:id="rId1127"/>
    <hyperlink ref="A1129" r:id="rId1128"/>
    <hyperlink ref="A1130" r:id="rId1129"/>
    <hyperlink ref="A1131" r:id="rId1130"/>
    <hyperlink ref="A1132" r:id="rId1131"/>
    <hyperlink ref="A1133" r:id="rId1132"/>
    <hyperlink ref="A1134" r:id="rId1133"/>
    <hyperlink ref="A1135" r:id="rId1134"/>
    <hyperlink ref="A1136" r:id="rId1135"/>
    <hyperlink ref="A1137" r:id="rId1136"/>
    <hyperlink ref="A1138" r:id="rId1137"/>
    <hyperlink ref="A1139" r:id="rId1138"/>
    <hyperlink ref="A1140" r:id="rId1139"/>
    <hyperlink ref="A1141" r:id="rId1140"/>
    <hyperlink ref="A1142" r:id="rId1141"/>
    <hyperlink ref="A1143" r:id="rId1142"/>
    <hyperlink ref="A1144" r:id="rId1143"/>
    <hyperlink ref="A1145" r:id="rId1144"/>
    <hyperlink ref="A1146" r:id="rId1145"/>
    <hyperlink ref="A1147" r:id="rId1146"/>
    <hyperlink ref="A1148" r:id="rId1147"/>
    <hyperlink ref="A1149" r:id="rId1148"/>
    <hyperlink ref="A1150" r:id="rId1149"/>
    <hyperlink ref="A1151" r:id="rId1150"/>
    <hyperlink ref="A1152" r:id="rId1151"/>
    <hyperlink ref="A1153" r:id="rId1152"/>
    <hyperlink ref="A1154" r:id="rId1153"/>
    <hyperlink ref="A1155" r:id="rId1154"/>
    <hyperlink ref="A1156" r:id="rId1155"/>
    <hyperlink ref="A1157" r:id="rId1156"/>
    <hyperlink ref="A1158" r:id="rId1157"/>
    <hyperlink ref="A1159" r:id="rId1158"/>
    <hyperlink ref="A1160" r:id="rId1159"/>
    <hyperlink ref="A1161" r:id="rId1160"/>
    <hyperlink ref="A1162" r:id="rId1161"/>
    <hyperlink ref="A1163" r:id="rId1162"/>
    <hyperlink ref="A1164" r:id="rId1163"/>
    <hyperlink ref="A1165" r:id="rId1164"/>
    <hyperlink ref="A1166" r:id="rId1165"/>
    <hyperlink ref="A1167" r:id="rId1166"/>
    <hyperlink ref="A1168" r:id="rId1167"/>
    <hyperlink ref="A1169" r:id="rId1168"/>
    <hyperlink ref="A1170" r:id="rId1169"/>
    <hyperlink ref="A1171" r:id="rId1170"/>
    <hyperlink ref="A1172" r:id="rId1171"/>
    <hyperlink ref="A1173" r:id="rId1172"/>
    <hyperlink ref="A1174" r:id="rId1173"/>
    <hyperlink ref="A1175" r:id="rId1174"/>
    <hyperlink ref="A1176" r:id="rId1175"/>
    <hyperlink ref="A1177" r:id="rId1176"/>
    <hyperlink ref="A1178" r:id="rId1177"/>
    <hyperlink ref="A1179" r:id="rId1178"/>
    <hyperlink ref="A1180" r:id="rId1179"/>
    <hyperlink ref="A1181" r:id="rId1180"/>
    <hyperlink ref="A1182" r:id="rId1181"/>
    <hyperlink ref="A1183" r:id="rId1182"/>
    <hyperlink ref="A1184" r:id="rId1183"/>
    <hyperlink ref="A1185" r:id="rId1184"/>
    <hyperlink ref="A1186" r:id="rId1185"/>
    <hyperlink ref="A1187" r:id="rId1186"/>
    <hyperlink ref="A1188" r:id="rId1187"/>
    <hyperlink ref="A1189" r:id="rId1188"/>
    <hyperlink ref="A1190" r:id="rId1189"/>
    <hyperlink ref="A1191" r:id="rId1190"/>
    <hyperlink ref="A1192" r:id="rId1191"/>
    <hyperlink ref="A1193" r:id="rId1192"/>
    <hyperlink ref="A1194" r:id="rId1193"/>
    <hyperlink ref="A1195" r:id="rId1194"/>
    <hyperlink ref="A1196" r:id="rId1195"/>
    <hyperlink ref="A1197" r:id="rId1196"/>
    <hyperlink ref="A1198" r:id="rId1197"/>
    <hyperlink ref="A1199" r:id="rId1198"/>
    <hyperlink ref="A1200" r:id="rId1199"/>
    <hyperlink ref="A1201" r:id="rId1200"/>
    <hyperlink ref="A1202" r:id="rId1201"/>
    <hyperlink ref="A1203" r:id="rId1202"/>
    <hyperlink ref="A1204" r:id="rId1203"/>
    <hyperlink ref="A1205" r:id="rId1204"/>
    <hyperlink ref="A1206" r:id="rId1205"/>
    <hyperlink ref="A1207" r:id="rId1206"/>
    <hyperlink ref="A1208" r:id="rId1207"/>
    <hyperlink ref="A1209" r:id="rId1208"/>
    <hyperlink ref="A1210" r:id="rId1209"/>
    <hyperlink ref="A1211" r:id="rId1210"/>
    <hyperlink ref="A1212" r:id="rId1211"/>
    <hyperlink ref="A1213" r:id="rId1212"/>
    <hyperlink ref="A1214" r:id="rId1213"/>
    <hyperlink ref="A1215" r:id="rId1214"/>
    <hyperlink ref="A1216" r:id="rId1215"/>
    <hyperlink ref="A1217" r:id="rId1216"/>
    <hyperlink ref="A1218" r:id="rId1217"/>
    <hyperlink ref="A1219" r:id="rId1218"/>
    <hyperlink ref="A1220" r:id="rId1219"/>
    <hyperlink ref="A1221" r:id="rId1220"/>
    <hyperlink ref="A1222" r:id="rId1221"/>
    <hyperlink ref="A1223" r:id="rId1222"/>
    <hyperlink ref="A1224" r:id="rId1223"/>
    <hyperlink ref="A1225" r:id="rId1224"/>
    <hyperlink ref="A1226" r:id="rId1225"/>
    <hyperlink ref="A1227" r:id="rId1226"/>
    <hyperlink ref="A1228" r:id="rId1227"/>
    <hyperlink ref="A1229" r:id="rId1228"/>
    <hyperlink ref="A1230" r:id="rId1229"/>
    <hyperlink ref="A1231" r:id="rId1230"/>
    <hyperlink ref="A1232" r:id="rId1231"/>
    <hyperlink ref="A1233" r:id="rId1232"/>
    <hyperlink ref="A1234" r:id="rId1233"/>
    <hyperlink ref="A1235" r:id="rId1234"/>
    <hyperlink ref="A1236" r:id="rId1235"/>
    <hyperlink ref="A1237" r:id="rId1236"/>
    <hyperlink ref="A1238" r:id="rId1237"/>
    <hyperlink ref="A1239" r:id="rId1238"/>
    <hyperlink ref="A1240" r:id="rId1239"/>
    <hyperlink ref="A1241" r:id="rId1240"/>
    <hyperlink ref="A1242" r:id="rId1241"/>
    <hyperlink ref="A1243" r:id="rId1242"/>
    <hyperlink ref="A1244" r:id="rId1243"/>
    <hyperlink ref="A1245" r:id="rId1244"/>
    <hyperlink ref="A1246" r:id="rId1245"/>
    <hyperlink ref="A1247" r:id="rId1246"/>
    <hyperlink ref="A1248" r:id="rId1247"/>
    <hyperlink ref="A1249" r:id="rId1248"/>
    <hyperlink ref="A1250" r:id="rId1249"/>
    <hyperlink ref="A1251" r:id="rId1250"/>
    <hyperlink ref="A1252" r:id="rId1251"/>
    <hyperlink ref="A1253" r:id="rId1252"/>
    <hyperlink ref="A1254" r:id="rId1253"/>
    <hyperlink ref="A1255" r:id="rId1254"/>
    <hyperlink ref="A1256" r:id="rId1255"/>
    <hyperlink ref="A1257" r:id="rId1256"/>
    <hyperlink ref="A1258" r:id="rId1257"/>
    <hyperlink ref="A1259" r:id="rId1258"/>
    <hyperlink ref="A1260" r:id="rId1259"/>
    <hyperlink ref="A1261" r:id="rId1260"/>
    <hyperlink ref="A1262" r:id="rId1261"/>
    <hyperlink ref="A1263" r:id="rId1262"/>
    <hyperlink ref="A1264" r:id="rId1263"/>
    <hyperlink ref="A1265" r:id="rId1264"/>
    <hyperlink ref="A1266" r:id="rId1265"/>
    <hyperlink ref="A1267" r:id="rId1266"/>
    <hyperlink ref="A1268" r:id="rId1267"/>
    <hyperlink ref="A1269" r:id="rId1268"/>
    <hyperlink ref="A1270" r:id="rId1269"/>
    <hyperlink ref="A1271" r:id="rId1270"/>
    <hyperlink ref="A1272" r:id="rId1271"/>
    <hyperlink ref="A1273" r:id="rId1272"/>
    <hyperlink ref="A1274" r:id="rId1273"/>
    <hyperlink ref="A1275" r:id="rId1274"/>
    <hyperlink ref="A1276" r:id="rId1275"/>
    <hyperlink ref="A1277" r:id="rId1276"/>
    <hyperlink ref="A1278" r:id="rId1277"/>
    <hyperlink ref="A1279" r:id="rId1278"/>
    <hyperlink ref="A1280" r:id="rId1279"/>
    <hyperlink ref="A1281" r:id="rId1280"/>
    <hyperlink ref="A1282" r:id="rId1281"/>
    <hyperlink ref="A1283" r:id="rId1282"/>
    <hyperlink ref="A1284" r:id="rId1283"/>
    <hyperlink ref="A1285" r:id="rId1284"/>
    <hyperlink ref="A1286" r:id="rId1285"/>
    <hyperlink ref="A1287" r:id="rId1286"/>
    <hyperlink ref="A1288" r:id="rId1287"/>
    <hyperlink ref="A1289" r:id="rId1288"/>
    <hyperlink ref="A1290" r:id="rId1289"/>
    <hyperlink ref="A1291" r:id="rId1290"/>
    <hyperlink ref="A1292" r:id="rId1291"/>
    <hyperlink ref="A1293" r:id="rId1292"/>
    <hyperlink ref="A1294" r:id="rId1293"/>
    <hyperlink ref="A1295" r:id="rId1294"/>
    <hyperlink ref="A1296" r:id="rId1295"/>
    <hyperlink ref="A1297" r:id="rId1296"/>
    <hyperlink ref="A1298" r:id="rId1297"/>
    <hyperlink ref="A1299" r:id="rId1298"/>
    <hyperlink ref="A1300" r:id="rId1299"/>
    <hyperlink ref="A1301" r:id="rId1300"/>
    <hyperlink ref="A1302" r:id="rId1301"/>
    <hyperlink ref="A1303" r:id="rId1302"/>
    <hyperlink ref="A1304" r:id="rId1303"/>
    <hyperlink ref="A1305" r:id="rId1304"/>
    <hyperlink ref="A1306" r:id="rId1305"/>
    <hyperlink ref="A1307" r:id="rId1306"/>
    <hyperlink ref="A1308" r:id="rId1307"/>
    <hyperlink ref="A1309" r:id="rId1308"/>
    <hyperlink ref="A1310" r:id="rId1309"/>
    <hyperlink ref="A1311" r:id="rId1310"/>
    <hyperlink ref="A1312" r:id="rId1311"/>
    <hyperlink ref="A1313" r:id="rId1312"/>
    <hyperlink ref="A1314" r:id="rId1313"/>
    <hyperlink ref="A1315" r:id="rId1314"/>
    <hyperlink ref="A1316" r:id="rId1315"/>
    <hyperlink ref="A1317" r:id="rId1316"/>
    <hyperlink ref="A1318" r:id="rId1317"/>
    <hyperlink ref="A1319" r:id="rId1318"/>
    <hyperlink ref="A1320" r:id="rId1319"/>
    <hyperlink ref="A1321" r:id="rId1320"/>
    <hyperlink ref="A1322" r:id="rId1321"/>
    <hyperlink ref="A1323" r:id="rId1322"/>
    <hyperlink ref="A1324" r:id="rId1323"/>
    <hyperlink ref="A1325" r:id="rId1324"/>
    <hyperlink ref="A1326" r:id="rId1325"/>
    <hyperlink ref="A1327" r:id="rId1326"/>
    <hyperlink ref="A1328" r:id="rId1327"/>
    <hyperlink ref="A1329" r:id="rId1328"/>
    <hyperlink ref="A1330" r:id="rId1329"/>
    <hyperlink ref="A1331" r:id="rId1330"/>
    <hyperlink ref="A1332" r:id="rId1331"/>
    <hyperlink ref="A1333" r:id="rId1332"/>
    <hyperlink ref="A1334" r:id="rId1333"/>
    <hyperlink ref="A1335" r:id="rId1334"/>
    <hyperlink ref="A1336" r:id="rId1335"/>
    <hyperlink ref="A1337" r:id="rId1336"/>
    <hyperlink ref="A1338" r:id="rId1337"/>
    <hyperlink ref="A1339" r:id="rId1338"/>
    <hyperlink ref="A1340" r:id="rId1339"/>
    <hyperlink ref="A1341" r:id="rId1340"/>
    <hyperlink ref="A1342" r:id="rId1341"/>
    <hyperlink ref="A1343" r:id="rId1342"/>
    <hyperlink ref="A1344" r:id="rId1343"/>
    <hyperlink ref="A1345" r:id="rId1344"/>
    <hyperlink ref="A1346" r:id="rId1345"/>
    <hyperlink ref="A1347" r:id="rId1346"/>
    <hyperlink ref="A1348" r:id="rId1347"/>
    <hyperlink ref="A1349" r:id="rId1348"/>
    <hyperlink ref="A1350" r:id="rId1349"/>
    <hyperlink ref="A1351" r:id="rId1350"/>
    <hyperlink ref="A1352" r:id="rId1351"/>
    <hyperlink ref="A1353" r:id="rId1352"/>
    <hyperlink ref="A1354" r:id="rId1353"/>
    <hyperlink ref="A1355" r:id="rId1354"/>
    <hyperlink ref="A1356" r:id="rId1355"/>
    <hyperlink ref="A1357" r:id="rId1356"/>
    <hyperlink ref="A1358" r:id="rId1357"/>
    <hyperlink ref="A1359" r:id="rId1358"/>
    <hyperlink ref="A1360" r:id="rId1359"/>
    <hyperlink ref="A1361" r:id="rId1360"/>
    <hyperlink ref="A1362" r:id="rId1361"/>
    <hyperlink ref="A1363" r:id="rId1362"/>
    <hyperlink ref="A1364" r:id="rId1363"/>
    <hyperlink ref="A1365" r:id="rId1364"/>
    <hyperlink ref="A1366" r:id="rId1365"/>
    <hyperlink ref="A1367" r:id="rId1366"/>
    <hyperlink ref="A1368" r:id="rId1367"/>
    <hyperlink ref="A1369" r:id="rId1368"/>
    <hyperlink ref="A1370" r:id="rId1369"/>
    <hyperlink ref="A1371" r:id="rId1370"/>
    <hyperlink ref="A1372" r:id="rId1371"/>
    <hyperlink ref="A1373" r:id="rId1372"/>
    <hyperlink ref="A1374" r:id="rId1373"/>
    <hyperlink ref="A1375" r:id="rId1374"/>
    <hyperlink ref="A1376" r:id="rId1375"/>
    <hyperlink ref="A1377" r:id="rId1376"/>
    <hyperlink ref="A1378" r:id="rId1377"/>
    <hyperlink ref="A1379" r:id="rId1378"/>
    <hyperlink ref="A1380" r:id="rId1379"/>
    <hyperlink ref="A1381" r:id="rId1380"/>
    <hyperlink ref="A1382" r:id="rId1381"/>
    <hyperlink ref="A1383" r:id="rId1382"/>
    <hyperlink ref="A1384" r:id="rId1383"/>
    <hyperlink ref="A1385" r:id="rId1384"/>
    <hyperlink ref="A1386" r:id="rId1385"/>
    <hyperlink ref="A1387" r:id="rId1386"/>
    <hyperlink ref="A1388" r:id="rId1387"/>
    <hyperlink ref="A1389" r:id="rId1388"/>
    <hyperlink ref="A1390" r:id="rId1389"/>
    <hyperlink ref="A1391" r:id="rId1390"/>
    <hyperlink ref="A1392" r:id="rId1391"/>
    <hyperlink ref="A1393" r:id="rId1392"/>
    <hyperlink ref="A1394" r:id="rId1393"/>
    <hyperlink ref="A1395" r:id="rId1394"/>
    <hyperlink ref="A1396" r:id="rId1395"/>
    <hyperlink ref="A1397" r:id="rId1396"/>
    <hyperlink ref="A1398" r:id="rId1397"/>
    <hyperlink ref="A1399" r:id="rId1398"/>
    <hyperlink ref="A1400" r:id="rId1399"/>
    <hyperlink ref="A1401" r:id="rId1400"/>
    <hyperlink ref="A1402" r:id="rId1401"/>
    <hyperlink ref="A1403" r:id="rId1402"/>
    <hyperlink ref="A1404" r:id="rId1403"/>
    <hyperlink ref="A1405" r:id="rId1404"/>
    <hyperlink ref="A1406" r:id="rId1405"/>
    <hyperlink ref="A1407" r:id="rId1406"/>
    <hyperlink ref="A1408" r:id="rId1407"/>
    <hyperlink ref="A1409" r:id="rId1408"/>
    <hyperlink ref="A1410" r:id="rId1409"/>
    <hyperlink ref="A1411" r:id="rId1410"/>
    <hyperlink ref="A1412" r:id="rId1411"/>
    <hyperlink ref="A1413" r:id="rId1412"/>
    <hyperlink ref="A1414" r:id="rId1413"/>
    <hyperlink ref="A1415" r:id="rId1414"/>
    <hyperlink ref="A1416" r:id="rId1415"/>
    <hyperlink ref="A1417" r:id="rId1416"/>
    <hyperlink ref="A1418" r:id="rId1417"/>
    <hyperlink ref="A1419" r:id="rId1418"/>
    <hyperlink ref="A1420" r:id="rId1419"/>
    <hyperlink ref="A1421" r:id="rId1420"/>
    <hyperlink ref="A1422" r:id="rId1421"/>
    <hyperlink ref="A1423" r:id="rId1422"/>
    <hyperlink ref="A1424" r:id="rId1423"/>
    <hyperlink ref="A1425" r:id="rId1424"/>
    <hyperlink ref="A1426" r:id="rId1425"/>
    <hyperlink ref="A1427" r:id="rId1426"/>
    <hyperlink ref="A1428" r:id="rId1427"/>
    <hyperlink ref="A1429" r:id="rId1428"/>
    <hyperlink ref="A1430" r:id="rId1429"/>
    <hyperlink ref="A1431" r:id="rId1430"/>
    <hyperlink ref="A1432" r:id="rId1431"/>
    <hyperlink ref="A1433" r:id="rId1432"/>
    <hyperlink ref="A1434" r:id="rId1433"/>
    <hyperlink ref="A1435" r:id="rId1434"/>
    <hyperlink ref="A1436" r:id="rId1435"/>
    <hyperlink ref="A1437" r:id="rId1436"/>
    <hyperlink ref="A1438" r:id="rId1437"/>
    <hyperlink ref="A1439" r:id="rId1438"/>
    <hyperlink ref="A1440" r:id="rId1439"/>
    <hyperlink ref="A1441" r:id="rId1440"/>
    <hyperlink ref="A1442" r:id="rId1441"/>
    <hyperlink ref="A1443" r:id="rId1442"/>
    <hyperlink ref="A1444" r:id="rId1443"/>
    <hyperlink ref="A1445" r:id="rId1444"/>
    <hyperlink ref="A1446" r:id="rId1445"/>
    <hyperlink ref="A1447" r:id="rId1446"/>
    <hyperlink ref="A1448" r:id="rId1447"/>
    <hyperlink ref="A1449" r:id="rId1448"/>
    <hyperlink ref="A1450" r:id="rId1449"/>
    <hyperlink ref="A1451" r:id="rId1450"/>
    <hyperlink ref="A1452" r:id="rId1451"/>
    <hyperlink ref="A1453" r:id="rId1452"/>
    <hyperlink ref="A1454" r:id="rId1453"/>
    <hyperlink ref="A1455" r:id="rId1454"/>
    <hyperlink ref="A1456" r:id="rId1455"/>
    <hyperlink ref="A1457" r:id="rId1456"/>
    <hyperlink ref="A1458" r:id="rId1457"/>
    <hyperlink ref="A1459" r:id="rId1458"/>
    <hyperlink ref="A1460" r:id="rId1459"/>
    <hyperlink ref="A1461" r:id="rId1460"/>
    <hyperlink ref="A1462" r:id="rId1461"/>
    <hyperlink ref="A1463" r:id="rId1462"/>
    <hyperlink ref="A1464" r:id="rId1463"/>
    <hyperlink ref="A1465" r:id="rId1464"/>
    <hyperlink ref="A1466" r:id="rId1465"/>
    <hyperlink ref="A1467" r:id="rId1466"/>
    <hyperlink ref="A1468" r:id="rId1467"/>
    <hyperlink ref="A1469" r:id="rId1468"/>
    <hyperlink ref="A1470" r:id="rId1469"/>
    <hyperlink ref="A1471" r:id="rId1470"/>
    <hyperlink ref="A1472" r:id="rId1471"/>
    <hyperlink ref="A1473" r:id="rId1472"/>
    <hyperlink ref="A1474" r:id="rId1473"/>
    <hyperlink ref="A1475" r:id="rId1474"/>
    <hyperlink ref="A1476" r:id="rId1475"/>
    <hyperlink ref="A1477" r:id="rId1476"/>
    <hyperlink ref="A1478" r:id="rId1477"/>
    <hyperlink ref="A1479" r:id="rId1478"/>
    <hyperlink ref="A1480" r:id="rId1479"/>
    <hyperlink ref="A1481" r:id="rId1480"/>
    <hyperlink ref="A1482" r:id="rId1481"/>
    <hyperlink ref="A1483" r:id="rId1482"/>
    <hyperlink ref="A1484" r:id="rId1483"/>
    <hyperlink ref="A1485" r:id="rId1484"/>
    <hyperlink ref="A1486" r:id="rId1485"/>
    <hyperlink ref="A1487" r:id="rId1486"/>
    <hyperlink ref="A1488" r:id="rId1487"/>
    <hyperlink ref="A1489" r:id="rId1488"/>
    <hyperlink ref="A1490" r:id="rId1489"/>
    <hyperlink ref="A1491" r:id="rId1490"/>
    <hyperlink ref="A1492" r:id="rId1491"/>
    <hyperlink ref="A1493" r:id="rId1492"/>
    <hyperlink ref="A1494" r:id="rId1493"/>
    <hyperlink ref="A1495" r:id="rId1494"/>
    <hyperlink ref="A1496" r:id="rId1495"/>
    <hyperlink ref="A1497" r:id="rId1496"/>
    <hyperlink ref="A1498" r:id="rId1497"/>
    <hyperlink ref="A1499" r:id="rId1498"/>
    <hyperlink ref="A1500" r:id="rId1499"/>
    <hyperlink ref="A1501" r:id="rId1500"/>
    <hyperlink ref="A1502" r:id="rId1501"/>
    <hyperlink ref="A1503" r:id="rId1502"/>
    <hyperlink ref="A1504" r:id="rId1503"/>
    <hyperlink ref="A1505" r:id="rId1504"/>
    <hyperlink ref="A1506" r:id="rId1505"/>
    <hyperlink ref="A1507" r:id="rId1506"/>
    <hyperlink ref="A1508" r:id="rId1507"/>
    <hyperlink ref="A1509" r:id="rId1508"/>
    <hyperlink ref="A1510" r:id="rId1509"/>
    <hyperlink ref="A1511" r:id="rId1510"/>
    <hyperlink ref="A1512" r:id="rId1511"/>
    <hyperlink ref="A1513" r:id="rId1512"/>
    <hyperlink ref="A1514" r:id="rId1513"/>
    <hyperlink ref="A1515" r:id="rId1514"/>
    <hyperlink ref="A1516" r:id="rId1515"/>
    <hyperlink ref="A1517" r:id="rId1516"/>
    <hyperlink ref="A1518" r:id="rId1517"/>
    <hyperlink ref="A1519" r:id="rId1518"/>
    <hyperlink ref="A1520" r:id="rId1519"/>
    <hyperlink ref="A1521" r:id="rId1520"/>
    <hyperlink ref="A1522" r:id="rId1521"/>
    <hyperlink ref="A1523" r:id="rId1522"/>
    <hyperlink ref="A1524" r:id="rId1523"/>
    <hyperlink ref="A1525" r:id="rId1524"/>
    <hyperlink ref="A1526" r:id="rId1525"/>
    <hyperlink ref="A1527" r:id="rId1526"/>
    <hyperlink ref="A1528" r:id="rId1527"/>
    <hyperlink ref="A1529" r:id="rId1528"/>
    <hyperlink ref="A1530" r:id="rId1529"/>
    <hyperlink ref="A1531" r:id="rId1530"/>
    <hyperlink ref="A1532" r:id="rId1531"/>
    <hyperlink ref="A1533" r:id="rId1532"/>
    <hyperlink ref="A1534" r:id="rId1533"/>
    <hyperlink ref="A1535" r:id="rId1534"/>
    <hyperlink ref="A1536" r:id="rId1535"/>
    <hyperlink ref="A1537" r:id="rId1536"/>
    <hyperlink ref="A1538" r:id="rId1537"/>
    <hyperlink ref="A1539" r:id="rId1538"/>
    <hyperlink ref="A1540" r:id="rId1539"/>
    <hyperlink ref="A1541" r:id="rId1540"/>
    <hyperlink ref="A1542" r:id="rId1541"/>
    <hyperlink ref="A1543" r:id="rId1542"/>
    <hyperlink ref="A1544" r:id="rId1543"/>
    <hyperlink ref="A1545" r:id="rId1544"/>
    <hyperlink ref="A1546" r:id="rId1545"/>
    <hyperlink ref="A1547" r:id="rId1546"/>
    <hyperlink ref="A1548" r:id="rId1547"/>
    <hyperlink ref="A1549" r:id="rId1548"/>
    <hyperlink ref="A1550" r:id="rId1549"/>
    <hyperlink ref="A1551" r:id="rId1550"/>
    <hyperlink ref="A1552" r:id="rId1551"/>
    <hyperlink ref="A1553" r:id="rId1552"/>
    <hyperlink ref="A1554" r:id="rId1553"/>
    <hyperlink ref="A1555" r:id="rId1554"/>
    <hyperlink ref="A1556" r:id="rId1555"/>
    <hyperlink ref="A1557" r:id="rId1556"/>
    <hyperlink ref="A1558" r:id="rId1557"/>
    <hyperlink ref="A1559" r:id="rId1558"/>
    <hyperlink ref="A1560" r:id="rId1559"/>
    <hyperlink ref="A1561" r:id="rId1560"/>
    <hyperlink ref="A1562" r:id="rId1561"/>
    <hyperlink ref="A1563" r:id="rId1562"/>
    <hyperlink ref="A1564" r:id="rId1563"/>
    <hyperlink ref="A1565" r:id="rId1564"/>
    <hyperlink ref="A1566" r:id="rId1565"/>
    <hyperlink ref="A1567" r:id="rId1566"/>
    <hyperlink ref="A1568" r:id="rId1567"/>
    <hyperlink ref="A1569" r:id="rId1568"/>
    <hyperlink ref="A1570" r:id="rId1569"/>
    <hyperlink ref="A1571" r:id="rId1570"/>
    <hyperlink ref="A1572" r:id="rId1571"/>
    <hyperlink ref="A1573" r:id="rId1572"/>
    <hyperlink ref="A1574" r:id="rId1573"/>
    <hyperlink ref="A1575" r:id="rId1574"/>
    <hyperlink ref="A1576" r:id="rId1575"/>
    <hyperlink ref="A1577" r:id="rId1576"/>
    <hyperlink ref="A1578" r:id="rId1577"/>
    <hyperlink ref="A1579" r:id="rId1578"/>
    <hyperlink ref="A1580" r:id="rId1579"/>
    <hyperlink ref="A1581" r:id="rId1580"/>
    <hyperlink ref="A1582" r:id="rId1581"/>
    <hyperlink ref="A1583" r:id="rId1582"/>
    <hyperlink ref="A1584" r:id="rId1583"/>
    <hyperlink ref="A1585" r:id="rId1584"/>
    <hyperlink ref="A1586" r:id="rId1585"/>
    <hyperlink ref="A1587" r:id="rId1586"/>
    <hyperlink ref="A1588" r:id="rId1587"/>
    <hyperlink ref="A1589" r:id="rId1588"/>
    <hyperlink ref="A1590" r:id="rId1589"/>
    <hyperlink ref="A1591" r:id="rId1590"/>
    <hyperlink ref="A1592" r:id="rId1591"/>
    <hyperlink ref="A1593" r:id="rId1592"/>
    <hyperlink ref="A1594" r:id="rId1593"/>
    <hyperlink ref="A1595" r:id="rId1594"/>
    <hyperlink ref="A1596" r:id="rId1595"/>
    <hyperlink ref="A1597" r:id="rId1596"/>
    <hyperlink ref="A1598" r:id="rId1597"/>
    <hyperlink ref="A1599" r:id="rId1598"/>
    <hyperlink ref="A1600" r:id="rId1599"/>
    <hyperlink ref="A1601" r:id="rId1600"/>
    <hyperlink ref="A1602" r:id="rId1601"/>
    <hyperlink ref="A1603" r:id="rId1602"/>
    <hyperlink ref="A1604" r:id="rId1603"/>
    <hyperlink ref="A1605" r:id="rId1604"/>
    <hyperlink ref="A1606" r:id="rId1605"/>
    <hyperlink ref="A1607" r:id="rId1606"/>
    <hyperlink ref="A1608" r:id="rId1607"/>
    <hyperlink ref="A1609" r:id="rId1608"/>
    <hyperlink ref="A1610" r:id="rId1609"/>
    <hyperlink ref="A1611" r:id="rId1610"/>
    <hyperlink ref="A1612" r:id="rId1611"/>
    <hyperlink ref="A1613" r:id="rId1612"/>
    <hyperlink ref="A1614" r:id="rId1613"/>
    <hyperlink ref="A1615" r:id="rId1614"/>
    <hyperlink ref="A1616" r:id="rId1615"/>
    <hyperlink ref="A1617" r:id="rId1616"/>
    <hyperlink ref="A1618" r:id="rId1617"/>
    <hyperlink ref="A1619" r:id="rId1618"/>
    <hyperlink ref="A1620" r:id="rId1619"/>
    <hyperlink ref="A1621" r:id="rId1620"/>
    <hyperlink ref="A1622" r:id="rId1621"/>
    <hyperlink ref="A1623" r:id="rId1622"/>
    <hyperlink ref="A1624" r:id="rId1623"/>
    <hyperlink ref="A1625" r:id="rId1624"/>
    <hyperlink ref="A1626" r:id="rId1625"/>
    <hyperlink ref="A1627" r:id="rId1626"/>
    <hyperlink ref="A1628" r:id="rId1627"/>
    <hyperlink ref="A1629" r:id="rId1628"/>
    <hyperlink ref="A1630" r:id="rId1629"/>
    <hyperlink ref="A1631" r:id="rId1630"/>
    <hyperlink ref="A1632" r:id="rId1631"/>
    <hyperlink ref="A1633" r:id="rId1632"/>
    <hyperlink ref="A1634" r:id="rId1633"/>
    <hyperlink ref="A1635" r:id="rId1634"/>
    <hyperlink ref="A1636" r:id="rId1635"/>
    <hyperlink ref="A1637" r:id="rId1636"/>
    <hyperlink ref="A1638" r:id="rId1637"/>
    <hyperlink ref="A1639" r:id="rId1638"/>
    <hyperlink ref="A1640" r:id="rId1639"/>
    <hyperlink ref="A1641" r:id="rId1640"/>
    <hyperlink ref="A1642" r:id="rId1641"/>
    <hyperlink ref="A1643" r:id="rId1642"/>
    <hyperlink ref="A1644" r:id="rId1643"/>
    <hyperlink ref="A1645" r:id="rId1644"/>
    <hyperlink ref="A1646" r:id="rId1645"/>
    <hyperlink ref="A1647" r:id="rId1646"/>
    <hyperlink ref="A1648" r:id="rId1647"/>
    <hyperlink ref="A1649" r:id="rId1648"/>
    <hyperlink ref="A1650" r:id="rId1649"/>
    <hyperlink ref="A1651" r:id="rId1650"/>
    <hyperlink ref="A1652" r:id="rId1651"/>
    <hyperlink ref="A1653" r:id="rId1652"/>
    <hyperlink ref="A1654" r:id="rId1653"/>
    <hyperlink ref="A1655" r:id="rId1654"/>
    <hyperlink ref="A1656" r:id="rId1655"/>
    <hyperlink ref="A1657" r:id="rId1656"/>
    <hyperlink ref="A1658" r:id="rId1657"/>
    <hyperlink ref="A1659" r:id="rId1658"/>
    <hyperlink ref="A1660" r:id="rId1659"/>
    <hyperlink ref="A1661" r:id="rId1660"/>
    <hyperlink ref="A1662" r:id="rId1661"/>
    <hyperlink ref="A1663" r:id="rId1662"/>
    <hyperlink ref="A1664" r:id="rId1663"/>
    <hyperlink ref="A1665" r:id="rId1664"/>
    <hyperlink ref="A1666" r:id="rId1665"/>
    <hyperlink ref="A1667" r:id="rId1666"/>
    <hyperlink ref="A1668" r:id="rId1667"/>
    <hyperlink ref="A1669" r:id="rId1668"/>
    <hyperlink ref="A1670" r:id="rId1669"/>
    <hyperlink ref="A1671" r:id="rId1670"/>
    <hyperlink ref="A1672" r:id="rId1671"/>
    <hyperlink ref="A1673" r:id="rId1672"/>
    <hyperlink ref="A1674" r:id="rId1673"/>
    <hyperlink ref="A1675" r:id="rId1674"/>
    <hyperlink ref="A1676" r:id="rId1675"/>
    <hyperlink ref="A1677" r:id="rId1676"/>
    <hyperlink ref="A1678" r:id="rId1677"/>
    <hyperlink ref="A1679" r:id="rId1678"/>
    <hyperlink ref="A1680" r:id="rId1679"/>
    <hyperlink ref="A1681" r:id="rId1680"/>
    <hyperlink ref="A1682" r:id="rId1681"/>
    <hyperlink ref="A1683" r:id="rId1682"/>
    <hyperlink ref="A1684" r:id="rId1683"/>
    <hyperlink ref="A1685" r:id="rId1684"/>
    <hyperlink ref="A1686" r:id="rId1685"/>
    <hyperlink ref="A1687" r:id="rId1686"/>
    <hyperlink ref="A1688" r:id="rId1687"/>
    <hyperlink ref="A1689" r:id="rId1688"/>
    <hyperlink ref="A1690" r:id="rId1689"/>
    <hyperlink ref="A1691" r:id="rId1690"/>
    <hyperlink ref="A1692" r:id="rId1691"/>
    <hyperlink ref="A1693" r:id="rId1692"/>
    <hyperlink ref="A1694" r:id="rId1693"/>
    <hyperlink ref="A1695" r:id="rId1694"/>
    <hyperlink ref="A1696" r:id="rId1695"/>
    <hyperlink ref="A1697" r:id="rId1696"/>
    <hyperlink ref="A1698" r:id="rId1697"/>
    <hyperlink ref="A1699" r:id="rId1698"/>
    <hyperlink ref="A1700" r:id="rId1699"/>
    <hyperlink ref="A1701" r:id="rId1700"/>
    <hyperlink ref="A1702" r:id="rId1701"/>
    <hyperlink ref="A1703" r:id="rId1702"/>
    <hyperlink ref="A1704" r:id="rId1703"/>
    <hyperlink ref="A1705" r:id="rId1704"/>
    <hyperlink ref="A1706" r:id="rId1705"/>
    <hyperlink ref="A1707" r:id="rId1706"/>
    <hyperlink ref="A1708" r:id="rId1707"/>
    <hyperlink ref="A1709" r:id="rId1708"/>
    <hyperlink ref="A1710" r:id="rId1709"/>
    <hyperlink ref="A1711" r:id="rId1710"/>
    <hyperlink ref="A1712" r:id="rId1711"/>
    <hyperlink ref="A1713" r:id="rId1712"/>
    <hyperlink ref="A1714" r:id="rId1713"/>
    <hyperlink ref="A1715" r:id="rId1714"/>
    <hyperlink ref="A1716" r:id="rId1715"/>
    <hyperlink ref="A1717" r:id="rId1716"/>
    <hyperlink ref="A1718" r:id="rId1717"/>
    <hyperlink ref="A1719" r:id="rId1718"/>
    <hyperlink ref="A1720" r:id="rId1719"/>
    <hyperlink ref="A1721" r:id="rId1720"/>
    <hyperlink ref="A1722" r:id="rId1721"/>
    <hyperlink ref="A1723" r:id="rId1722"/>
    <hyperlink ref="A1724" r:id="rId1723"/>
    <hyperlink ref="A1725" r:id="rId1724"/>
    <hyperlink ref="A1726" r:id="rId1725"/>
    <hyperlink ref="A1727" r:id="rId1726"/>
    <hyperlink ref="A1728" r:id="rId1727"/>
    <hyperlink ref="A1729" r:id="rId1728"/>
    <hyperlink ref="A1730" r:id="rId1729"/>
    <hyperlink ref="A1731" r:id="rId1730"/>
    <hyperlink ref="A1732" r:id="rId1731"/>
    <hyperlink ref="A1733" r:id="rId1732"/>
    <hyperlink ref="A1734" r:id="rId1733"/>
    <hyperlink ref="A1735" r:id="rId1734"/>
    <hyperlink ref="A1736" r:id="rId1735"/>
    <hyperlink ref="A1737" r:id="rId1736"/>
    <hyperlink ref="A1738" r:id="rId1737"/>
    <hyperlink ref="A1739" r:id="rId1738"/>
    <hyperlink ref="A1740" r:id="rId1739"/>
    <hyperlink ref="A1741" r:id="rId1740"/>
    <hyperlink ref="A1742" r:id="rId1741"/>
    <hyperlink ref="A1743" r:id="rId1742"/>
    <hyperlink ref="A1744" r:id="rId1743"/>
    <hyperlink ref="A1745" r:id="rId1744"/>
    <hyperlink ref="A1746" r:id="rId1745"/>
    <hyperlink ref="A1747" r:id="rId1746"/>
    <hyperlink ref="A1748" r:id="rId1747"/>
    <hyperlink ref="A1749" r:id="rId1748"/>
    <hyperlink ref="A1750" r:id="rId1749"/>
    <hyperlink ref="A1751" r:id="rId1750"/>
    <hyperlink ref="A1752" r:id="rId1751"/>
    <hyperlink ref="A1753" r:id="rId1752"/>
    <hyperlink ref="A1754" r:id="rId1753"/>
    <hyperlink ref="A1755" r:id="rId1754"/>
    <hyperlink ref="A1756" r:id="rId1755"/>
    <hyperlink ref="A1757" r:id="rId1756"/>
    <hyperlink ref="A1758" r:id="rId1757"/>
    <hyperlink ref="A1759" r:id="rId1758"/>
    <hyperlink ref="A1760" r:id="rId1759"/>
    <hyperlink ref="A1761" r:id="rId1760"/>
    <hyperlink ref="A1762" r:id="rId1761"/>
    <hyperlink ref="A1763" r:id="rId1762"/>
    <hyperlink ref="A1764" r:id="rId1763"/>
    <hyperlink ref="A1765" r:id="rId1764"/>
    <hyperlink ref="A1766" r:id="rId1765"/>
    <hyperlink ref="A1767" r:id="rId1766"/>
    <hyperlink ref="A1768" r:id="rId1767"/>
    <hyperlink ref="A1769" r:id="rId1768"/>
    <hyperlink ref="A1770" r:id="rId1769"/>
    <hyperlink ref="A1771" r:id="rId1770"/>
    <hyperlink ref="A1772" r:id="rId1771"/>
    <hyperlink ref="A1773" r:id="rId1772"/>
    <hyperlink ref="A1774" r:id="rId1773"/>
    <hyperlink ref="A1775" r:id="rId1774"/>
    <hyperlink ref="A1776" r:id="rId1775"/>
    <hyperlink ref="A1777" r:id="rId1776"/>
    <hyperlink ref="A1778" r:id="rId1777"/>
    <hyperlink ref="A1779" r:id="rId1778"/>
    <hyperlink ref="A1780" r:id="rId1779"/>
    <hyperlink ref="A1781" r:id="rId1780"/>
    <hyperlink ref="A1782" r:id="rId1781"/>
    <hyperlink ref="A1783" r:id="rId1782"/>
    <hyperlink ref="A1784" r:id="rId1783"/>
    <hyperlink ref="A1785" r:id="rId1784"/>
    <hyperlink ref="A1786" r:id="rId1785"/>
    <hyperlink ref="A1787" r:id="rId1786"/>
    <hyperlink ref="A1788" r:id="rId1787"/>
    <hyperlink ref="A1789" r:id="rId1788"/>
    <hyperlink ref="A1790" r:id="rId1789"/>
    <hyperlink ref="A1791" r:id="rId1790"/>
    <hyperlink ref="A1792" r:id="rId1791"/>
    <hyperlink ref="A1793" r:id="rId1792"/>
    <hyperlink ref="A1794" r:id="rId1793"/>
    <hyperlink ref="A1795" r:id="rId1794"/>
    <hyperlink ref="A1796" r:id="rId1795"/>
    <hyperlink ref="A1797" r:id="rId1796"/>
    <hyperlink ref="A1798" r:id="rId1797"/>
    <hyperlink ref="A1799" r:id="rId1798"/>
    <hyperlink ref="A1800" r:id="rId1799"/>
    <hyperlink ref="A1801" r:id="rId1800"/>
    <hyperlink ref="A1802" r:id="rId1801"/>
    <hyperlink ref="A1803" r:id="rId1802"/>
    <hyperlink ref="A1804" r:id="rId1803"/>
    <hyperlink ref="A1805" r:id="rId1804"/>
    <hyperlink ref="A1806" r:id="rId1805"/>
    <hyperlink ref="A1807" r:id="rId1806"/>
    <hyperlink ref="A1808" r:id="rId1807"/>
    <hyperlink ref="A1809" r:id="rId1808"/>
    <hyperlink ref="A1810" r:id="rId1809"/>
    <hyperlink ref="A1811" r:id="rId1810"/>
    <hyperlink ref="A1812" r:id="rId1811"/>
    <hyperlink ref="A1813" r:id="rId1812"/>
    <hyperlink ref="A1814" r:id="rId1813"/>
    <hyperlink ref="A1815" r:id="rId1814"/>
    <hyperlink ref="A1816" r:id="rId1815"/>
    <hyperlink ref="A1817" r:id="rId1816"/>
    <hyperlink ref="A1818" r:id="rId1817"/>
    <hyperlink ref="A1819" r:id="rId1818"/>
    <hyperlink ref="A1820" r:id="rId1819"/>
    <hyperlink ref="A1821" r:id="rId1820"/>
    <hyperlink ref="A1822" r:id="rId1821"/>
    <hyperlink ref="A1823" r:id="rId1822"/>
    <hyperlink ref="A1824" r:id="rId1823"/>
    <hyperlink ref="A1825" r:id="rId1824"/>
    <hyperlink ref="A1826" r:id="rId1825"/>
    <hyperlink ref="A1827" r:id="rId1826"/>
    <hyperlink ref="A1828" r:id="rId1827"/>
    <hyperlink ref="A1829" r:id="rId1828"/>
    <hyperlink ref="A1830" r:id="rId1829"/>
    <hyperlink ref="A1831" r:id="rId1830"/>
    <hyperlink ref="A1832" r:id="rId1831"/>
    <hyperlink ref="A1833" r:id="rId1832"/>
    <hyperlink ref="A1834" r:id="rId1833"/>
    <hyperlink ref="A1835" r:id="rId1834"/>
    <hyperlink ref="A1836" r:id="rId1835"/>
    <hyperlink ref="A1837" r:id="rId1836"/>
    <hyperlink ref="A1838" r:id="rId1837"/>
    <hyperlink ref="A1839" r:id="rId1838"/>
    <hyperlink ref="A1840" r:id="rId1839"/>
    <hyperlink ref="A1841" r:id="rId1840"/>
    <hyperlink ref="A1842" r:id="rId1841"/>
    <hyperlink ref="A1843" r:id="rId1842"/>
    <hyperlink ref="A1844" r:id="rId1843"/>
    <hyperlink ref="A1845" r:id="rId1844"/>
    <hyperlink ref="A1846" r:id="rId1845"/>
    <hyperlink ref="A1847" r:id="rId1846"/>
    <hyperlink ref="A1848" r:id="rId1847"/>
    <hyperlink ref="A1849" r:id="rId1848"/>
    <hyperlink ref="A1850" r:id="rId1849"/>
    <hyperlink ref="A1851" r:id="rId1850"/>
    <hyperlink ref="A1852" r:id="rId1851"/>
    <hyperlink ref="A1853" r:id="rId1852"/>
    <hyperlink ref="A1854" r:id="rId1853"/>
    <hyperlink ref="A1855" r:id="rId1854"/>
    <hyperlink ref="A1856" r:id="rId1855"/>
    <hyperlink ref="A1857" r:id="rId1856"/>
    <hyperlink ref="A1858" r:id="rId1857"/>
    <hyperlink ref="A1859" r:id="rId1858"/>
    <hyperlink ref="A1860" r:id="rId1859"/>
    <hyperlink ref="A1861" r:id="rId1860"/>
    <hyperlink ref="A1862" r:id="rId1861"/>
    <hyperlink ref="A1863" r:id="rId1862"/>
    <hyperlink ref="A1864" r:id="rId1863"/>
    <hyperlink ref="A1865" r:id="rId1864"/>
    <hyperlink ref="A1866" r:id="rId1865"/>
    <hyperlink ref="A1867" r:id="rId1866"/>
    <hyperlink ref="A1868" r:id="rId1867"/>
    <hyperlink ref="A1869" r:id="rId1868"/>
    <hyperlink ref="A1870" r:id="rId1869"/>
    <hyperlink ref="A1871" r:id="rId1870"/>
    <hyperlink ref="A1872" r:id="rId1871"/>
    <hyperlink ref="A1873" r:id="rId1872"/>
    <hyperlink ref="A1874" r:id="rId1873"/>
    <hyperlink ref="A1875" r:id="rId1874"/>
    <hyperlink ref="A1876" r:id="rId1875"/>
    <hyperlink ref="A1877" r:id="rId1876"/>
    <hyperlink ref="A1878" r:id="rId1877"/>
    <hyperlink ref="A1879" r:id="rId1878"/>
    <hyperlink ref="A1880" r:id="rId1879"/>
    <hyperlink ref="A1881" r:id="rId1880"/>
    <hyperlink ref="A1882" r:id="rId1881"/>
    <hyperlink ref="A1883" r:id="rId1882"/>
    <hyperlink ref="A1884" r:id="rId1883"/>
    <hyperlink ref="A1885" r:id="rId1884"/>
    <hyperlink ref="A1886" r:id="rId1885"/>
    <hyperlink ref="A1887" r:id="rId1886"/>
    <hyperlink ref="A1888" r:id="rId1887"/>
    <hyperlink ref="A1889" r:id="rId1888"/>
    <hyperlink ref="A1890" r:id="rId1889"/>
    <hyperlink ref="A1891" r:id="rId1890"/>
    <hyperlink ref="A1892" r:id="rId1891"/>
    <hyperlink ref="A1893" r:id="rId1892"/>
    <hyperlink ref="A1894" r:id="rId1893"/>
    <hyperlink ref="A1895" r:id="rId1894"/>
    <hyperlink ref="A1896" r:id="rId1895"/>
    <hyperlink ref="A1897" r:id="rId1896"/>
    <hyperlink ref="A1898" r:id="rId1897"/>
    <hyperlink ref="A1899" r:id="rId1898"/>
    <hyperlink ref="A1900" r:id="rId1899"/>
    <hyperlink ref="A1901" r:id="rId1900"/>
    <hyperlink ref="A1902" r:id="rId1901"/>
    <hyperlink ref="A1903" r:id="rId1902"/>
    <hyperlink ref="A1904" r:id="rId1903"/>
    <hyperlink ref="A1905" r:id="rId1904"/>
    <hyperlink ref="A1906" r:id="rId1905"/>
    <hyperlink ref="A1907" r:id="rId1906"/>
    <hyperlink ref="A1908" r:id="rId1907"/>
    <hyperlink ref="A1909" r:id="rId1908"/>
    <hyperlink ref="A1910" r:id="rId1909"/>
    <hyperlink ref="A1911" r:id="rId1910"/>
    <hyperlink ref="A1912" r:id="rId1911"/>
    <hyperlink ref="A1913" r:id="rId1912"/>
    <hyperlink ref="A1914" r:id="rId1913"/>
    <hyperlink ref="A1915" r:id="rId1914"/>
    <hyperlink ref="A1916" r:id="rId1915"/>
    <hyperlink ref="A1917" r:id="rId1916"/>
    <hyperlink ref="A1918" r:id="rId1917"/>
    <hyperlink ref="A1919" r:id="rId1918"/>
    <hyperlink ref="A1920" r:id="rId1919"/>
    <hyperlink ref="A1921" r:id="rId1920"/>
    <hyperlink ref="A1922" r:id="rId1921"/>
    <hyperlink ref="A1923" r:id="rId1922"/>
    <hyperlink ref="A1924" r:id="rId1923"/>
    <hyperlink ref="A1925" r:id="rId1924"/>
    <hyperlink ref="A1926" r:id="rId1925"/>
    <hyperlink ref="A1927" r:id="rId1926"/>
    <hyperlink ref="A1928" r:id="rId1927"/>
    <hyperlink ref="A1929" r:id="rId1928"/>
    <hyperlink ref="A1930" r:id="rId1929"/>
    <hyperlink ref="A1931" r:id="rId1930"/>
    <hyperlink ref="A1932" r:id="rId1931"/>
    <hyperlink ref="A1933" r:id="rId1932"/>
    <hyperlink ref="A1934" r:id="rId1933"/>
    <hyperlink ref="A1935" r:id="rId1934"/>
    <hyperlink ref="A1936" r:id="rId1935"/>
    <hyperlink ref="A1937" r:id="rId1936"/>
    <hyperlink ref="A1938" r:id="rId1937"/>
    <hyperlink ref="A1939" r:id="rId1938"/>
    <hyperlink ref="A1940" r:id="rId1939"/>
    <hyperlink ref="A1941" r:id="rId1940"/>
    <hyperlink ref="A1942" r:id="rId1941"/>
    <hyperlink ref="A1943" r:id="rId1942"/>
    <hyperlink ref="A1944" r:id="rId1943"/>
    <hyperlink ref="A1945" r:id="rId1944"/>
    <hyperlink ref="A1946" r:id="rId1945"/>
    <hyperlink ref="A1947" r:id="rId1946"/>
    <hyperlink ref="A1948" r:id="rId1947"/>
    <hyperlink ref="A1949" r:id="rId1948"/>
    <hyperlink ref="A1950" r:id="rId1949"/>
    <hyperlink ref="A1951" r:id="rId1950"/>
    <hyperlink ref="A1952" r:id="rId1951"/>
    <hyperlink ref="A1953" r:id="rId1952"/>
    <hyperlink ref="A1954" r:id="rId1953"/>
    <hyperlink ref="A1955" r:id="rId1954"/>
    <hyperlink ref="A1956" r:id="rId1955"/>
    <hyperlink ref="A1957" r:id="rId1956"/>
    <hyperlink ref="A1958" r:id="rId1957"/>
    <hyperlink ref="A1959" r:id="rId1958"/>
    <hyperlink ref="A1960" r:id="rId1959"/>
    <hyperlink ref="A1961" r:id="rId1960"/>
    <hyperlink ref="A1962" r:id="rId1961"/>
    <hyperlink ref="A1963" r:id="rId1962"/>
    <hyperlink ref="A1964" r:id="rId1963"/>
    <hyperlink ref="A1965" r:id="rId1964"/>
    <hyperlink ref="A1966" r:id="rId1965"/>
    <hyperlink ref="A1967" r:id="rId1966"/>
    <hyperlink ref="A1968" r:id="rId1967"/>
    <hyperlink ref="A1969" r:id="rId1968"/>
    <hyperlink ref="A1970" r:id="rId1969"/>
    <hyperlink ref="A1971" r:id="rId1970"/>
    <hyperlink ref="A1972" r:id="rId1971"/>
    <hyperlink ref="A1973" r:id="rId1972"/>
    <hyperlink ref="A1974" r:id="rId1973"/>
    <hyperlink ref="A1975" r:id="rId1974"/>
    <hyperlink ref="A1976" r:id="rId1975"/>
    <hyperlink ref="A1977" r:id="rId1976"/>
    <hyperlink ref="A1978" r:id="rId1977"/>
    <hyperlink ref="A1979" r:id="rId1978"/>
    <hyperlink ref="A1980" r:id="rId1979"/>
    <hyperlink ref="A1981" r:id="rId1980"/>
    <hyperlink ref="A1982" r:id="rId1981"/>
    <hyperlink ref="A1983" r:id="rId1982"/>
    <hyperlink ref="A1984" r:id="rId1983"/>
    <hyperlink ref="A1985" r:id="rId1984"/>
    <hyperlink ref="A1986" r:id="rId1985"/>
    <hyperlink ref="A1987" r:id="rId1986"/>
    <hyperlink ref="A1988" r:id="rId1987"/>
    <hyperlink ref="A1989" r:id="rId1988"/>
    <hyperlink ref="A1990" r:id="rId1989"/>
    <hyperlink ref="A1991" r:id="rId1990"/>
    <hyperlink ref="A1992" r:id="rId1991"/>
    <hyperlink ref="A1993" r:id="rId1992"/>
    <hyperlink ref="A1994" r:id="rId1993"/>
    <hyperlink ref="A1995" r:id="rId1994"/>
    <hyperlink ref="A1996" r:id="rId1995"/>
    <hyperlink ref="A1997" r:id="rId1996"/>
    <hyperlink ref="A1998" r:id="rId1997"/>
    <hyperlink ref="A1999" r:id="rId1998"/>
    <hyperlink ref="A2000" r:id="rId1999"/>
    <hyperlink ref="A2001" r:id="rId2000"/>
    <hyperlink ref="A2002" r:id="rId2001"/>
    <hyperlink ref="A2003" r:id="rId2002"/>
    <hyperlink ref="A2004" r:id="rId2003"/>
    <hyperlink ref="A2005" r:id="rId2004"/>
    <hyperlink ref="A2006" r:id="rId2005"/>
    <hyperlink ref="A2007" r:id="rId2006"/>
    <hyperlink ref="A2008" r:id="rId2007"/>
    <hyperlink ref="A2009" r:id="rId2008"/>
    <hyperlink ref="A2010" r:id="rId2009"/>
    <hyperlink ref="A2011" r:id="rId2010"/>
    <hyperlink ref="A2012" r:id="rId2011"/>
    <hyperlink ref="A2013" r:id="rId2012"/>
    <hyperlink ref="A2014" r:id="rId2013"/>
    <hyperlink ref="A2015" r:id="rId2014"/>
    <hyperlink ref="A2016" r:id="rId2015"/>
    <hyperlink ref="A2017" r:id="rId2016"/>
    <hyperlink ref="A2018" r:id="rId2017"/>
    <hyperlink ref="A2019" r:id="rId2018"/>
    <hyperlink ref="A2020" r:id="rId2019"/>
    <hyperlink ref="A2021" r:id="rId2020"/>
    <hyperlink ref="A2022" r:id="rId2021"/>
    <hyperlink ref="A2023" r:id="rId2022"/>
    <hyperlink ref="A2024" r:id="rId2023"/>
    <hyperlink ref="A2025" r:id="rId2024"/>
    <hyperlink ref="A2026" r:id="rId2025"/>
    <hyperlink ref="A2027" r:id="rId2026"/>
    <hyperlink ref="A2028" r:id="rId2027"/>
    <hyperlink ref="A2029" r:id="rId2028"/>
    <hyperlink ref="A2030" r:id="rId2029"/>
    <hyperlink ref="A2031" r:id="rId2030"/>
    <hyperlink ref="A2032" r:id="rId2031"/>
    <hyperlink ref="A2033" r:id="rId2032"/>
    <hyperlink ref="A2034" r:id="rId2033"/>
    <hyperlink ref="A2035" r:id="rId2034"/>
    <hyperlink ref="A2036" r:id="rId2035"/>
    <hyperlink ref="A2037" r:id="rId2036"/>
    <hyperlink ref="A2038" r:id="rId2037"/>
    <hyperlink ref="A2039" r:id="rId2038"/>
    <hyperlink ref="A2040" r:id="rId2039"/>
    <hyperlink ref="A2041" r:id="rId2040"/>
    <hyperlink ref="A2042" r:id="rId2041"/>
    <hyperlink ref="A2043" r:id="rId2042"/>
    <hyperlink ref="A2044" r:id="rId2043"/>
    <hyperlink ref="A2045" r:id="rId2044"/>
    <hyperlink ref="A2046" r:id="rId2045"/>
    <hyperlink ref="A2047" r:id="rId2046"/>
    <hyperlink ref="A2048" r:id="rId2047"/>
    <hyperlink ref="A2049" r:id="rId2048"/>
    <hyperlink ref="A2050" r:id="rId2049"/>
    <hyperlink ref="A2051" r:id="rId2050"/>
    <hyperlink ref="A2052" r:id="rId2051"/>
    <hyperlink ref="A2053" r:id="rId2052"/>
    <hyperlink ref="A2054" r:id="rId2053"/>
    <hyperlink ref="A2055" r:id="rId2054"/>
    <hyperlink ref="A2056" r:id="rId2055"/>
    <hyperlink ref="A2057" r:id="rId2056"/>
    <hyperlink ref="A2058" r:id="rId2057"/>
    <hyperlink ref="A2059" r:id="rId2058"/>
    <hyperlink ref="A2060" r:id="rId2059"/>
    <hyperlink ref="A2061" r:id="rId2060"/>
    <hyperlink ref="A2062" r:id="rId2061"/>
    <hyperlink ref="A2063" r:id="rId2062"/>
    <hyperlink ref="A2064" r:id="rId2063"/>
    <hyperlink ref="A2065" r:id="rId2064"/>
    <hyperlink ref="A2066" r:id="rId2065"/>
    <hyperlink ref="A2067" r:id="rId2066"/>
    <hyperlink ref="A2068" r:id="rId2067"/>
    <hyperlink ref="A2069" r:id="rId2068"/>
    <hyperlink ref="A2070" r:id="rId2069"/>
    <hyperlink ref="A2071" r:id="rId2070"/>
    <hyperlink ref="A2072" r:id="rId2071"/>
    <hyperlink ref="A2073" r:id="rId2072"/>
    <hyperlink ref="A2074" r:id="rId2073"/>
    <hyperlink ref="A2075" r:id="rId2074"/>
    <hyperlink ref="A2076" r:id="rId2075"/>
    <hyperlink ref="A2077" r:id="rId2076"/>
    <hyperlink ref="A2078" r:id="rId2077"/>
    <hyperlink ref="A2079" r:id="rId2078"/>
    <hyperlink ref="A2080" r:id="rId2079"/>
    <hyperlink ref="A2081" r:id="rId2080"/>
    <hyperlink ref="A2082" r:id="rId2081"/>
    <hyperlink ref="A2083" r:id="rId2082"/>
    <hyperlink ref="A2084" r:id="rId2083"/>
    <hyperlink ref="A2085" r:id="rId2084"/>
    <hyperlink ref="A2086" r:id="rId2085"/>
    <hyperlink ref="A2087" r:id="rId2086"/>
    <hyperlink ref="A2088" r:id="rId2087"/>
    <hyperlink ref="A2089" r:id="rId2088"/>
    <hyperlink ref="A2090" r:id="rId2089"/>
    <hyperlink ref="A2091" r:id="rId2090"/>
    <hyperlink ref="A2092" r:id="rId2091"/>
    <hyperlink ref="A2093" r:id="rId2092"/>
    <hyperlink ref="A2094" r:id="rId2093"/>
    <hyperlink ref="A2095" r:id="rId2094"/>
    <hyperlink ref="A2096" r:id="rId2095"/>
    <hyperlink ref="A2097" r:id="rId2096"/>
    <hyperlink ref="A2098" r:id="rId2097"/>
    <hyperlink ref="A2099" r:id="rId2098"/>
    <hyperlink ref="A2100" r:id="rId2099"/>
    <hyperlink ref="A2101" r:id="rId2100"/>
    <hyperlink ref="A2102" r:id="rId2101"/>
    <hyperlink ref="A2103" r:id="rId2102"/>
    <hyperlink ref="A2104" r:id="rId2103"/>
    <hyperlink ref="A2105" r:id="rId2104"/>
    <hyperlink ref="A2106" r:id="rId2105"/>
    <hyperlink ref="A2107" r:id="rId2106"/>
    <hyperlink ref="A2108" r:id="rId2107"/>
    <hyperlink ref="A2109" r:id="rId2108"/>
    <hyperlink ref="A2110" r:id="rId2109"/>
    <hyperlink ref="A2111" r:id="rId2110"/>
    <hyperlink ref="A2112" r:id="rId2111"/>
    <hyperlink ref="A2113" r:id="rId2112"/>
    <hyperlink ref="A2114" r:id="rId2113"/>
    <hyperlink ref="A2115" r:id="rId2114"/>
    <hyperlink ref="A2116" r:id="rId2115"/>
    <hyperlink ref="A2117" r:id="rId2116"/>
    <hyperlink ref="A2118" r:id="rId2117"/>
    <hyperlink ref="A2119" r:id="rId2118"/>
    <hyperlink ref="A2120" r:id="rId2119"/>
    <hyperlink ref="A2121" r:id="rId2120"/>
    <hyperlink ref="A2122" r:id="rId2121"/>
    <hyperlink ref="A2123" r:id="rId2122"/>
    <hyperlink ref="A2124" r:id="rId2123"/>
    <hyperlink ref="A2125" r:id="rId2124"/>
    <hyperlink ref="A2126" r:id="rId2125"/>
    <hyperlink ref="A2127" r:id="rId2126"/>
    <hyperlink ref="A2128" r:id="rId2127"/>
    <hyperlink ref="A2129" r:id="rId2128"/>
    <hyperlink ref="A2130" r:id="rId2129"/>
    <hyperlink ref="A2131" r:id="rId2130"/>
    <hyperlink ref="A2132" r:id="rId2131"/>
    <hyperlink ref="A2133" r:id="rId2132"/>
    <hyperlink ref="A2134" r:id="rId2133"/>
    <hyperlink ref="A2135" r:id="rId2134"/>
    <hyperlink ref="A2136" r:id="rId2135"/>
    <hyperlink ref="A2137" r:id="rId2136"/>
    <hyperlink ref="A2138" r:id="rId2137"/>
    <hyperlink ref="A2139" r:id="rId2138"/>
    <hyperlink ref="A2140" r:id="rId2139"/>
    <hyperlink ref="A2141" r:id="rId2140"/>
    <hyperlink ref="A2142" r:id="rId2141"/>
    <hyperlink ref="A2143" r:id="rId2142"/>
    <hyperlink ref="A2144" r:id="rId2143"/>
    <hyperlink ref="A2145" r:id="rId2144"/>
    <hyperlink ref="A2146" r:id="rId2145"/>
    <hyperlink ref="A2147" r:id="rId2146"/>
    <hyperlink ref="A2148" r:id="rId2147"/>
    <hyperlink ref="A2149" r:id="rId2148"/>
    <hyperlink ref="A2150" r:id="rId2149"/>
    <hyperlink ref="A2151" r:id="rId2150"/>
    <hyperlink ref="A2152" r:id="rId2151"/>
    <hyperlink ref="A2153" r:id="rId2152"/>
    <hyperlink ref="A2154" r:id="rId2153"/>
    <hyperlink ref="A2155" r:id="rId2154"/>
    <hyperlink ref="A2156" r:id="rId2155"/>
    <hyperlink ref="A2157" r:id="rId2156"/>
    <hyperlink ref="A2158" r:id="rId2157"/>
    <hyperlink ref="A2159" r:id="rId2158"/>
    <hyperlink ref="A2160" r:id="rId2159"/>
    <hyperlink ref="A2161" r:id="rId2160"/>
    <hyperlink ref="A2162" r:id="rId2161"/>
    <hyperlink ref="A2163" r:id="rId2162"/>
    <hyperlink ref="A2164" r:id="rId2163"/>
    <hyperlink ref="A2165" r:id="rId2164"/>
    <hyperlink ref="A2166" r:id="rId2165"/>
    <hyperlink ref="A2167" r:id="rId2166"/>
    <hyperlink ref="A2168" r:id="rId2167"/>
    <hyperlink ref="A2169" r:id="rId2168"/>
    <hyperlink ref="A2170" r:id="rId2169"/>
    <hyperlink ref="A2171" r:id="rId2170"/>
    <hyperlink ref="A2172" r:id="rId2171"/>
    <hyperlink ref="A2173" r:id="rId2172"/>
    <hyperlink ref="A2174" r:id="rId2173"/>
    <hyperlink ref="A2175" r:id="rId2174"/>
    <hyperlink ref="A2176" r:id="rId2175"/>
    <hyperlink ref="A2177" r:id="rId2176"/>
    <hyperlink ref="A2178" r:id="rId2177"/>
    <hyperlink ref="A2179" r:id="rId2178"/>
    <hyperlink ref="A2180" r:id="rId2179"/>
    <hyperlink ref="A2181" r:id="rId2180"/>
    <hyperlink ref="A2182" r:id="rId2181"/>
    <hyperlink ref="A2183" r:id="rId2182"/>
    <hyperlink ref="A2184" r:id="rId2183"/>
    <hyperlink ref="A2185" r:id="rId2184"/>
    <hyperlink ref="A2186" r:id="rId2185"/>
    <hyperlink ref="A2187" r:id="rId2186"/>
    <hyperlink ref="A2188" r:id="rId2187"/>
    <hyperlink ref="A2189" r:id="rId2188"/>
    <hyperlink ref="A2190" r:id="rId2189"/>
    <hyperlink ref="A2191" r:id="rId2190"/>
    <hyperlink ref="A2192" r:id="rId2191"/>
    <hyperlink ref="A2193" r:id="rId2192"/>
    <hyperlink ref="A2194" r:id="rId2193"/>
    <hyperlink ref="A2195" r:id="rId2194"/>
    <hyperlink ref="A2196" r:id="rId2195"/>
    <hyperlink ref="A2197" r:id="rId2196"/>
    <hyperlink ref="A2198" r:id="rId2197"/>
    <hyperlink ref="A2199" r:id="rId2198"/>
    <hyperlink ref="A2200" r:id="rId2199"/>
    <hyperlink ref="A2201" r:id="rId2200"/>
    <hyperlink ref="A2202" r:id="rId2201"/>
    <hyperlink ref="A2203" r:id="rId2202"/>
    <hyperlink ref="A2204" r:id="rId2203"/>
    <hyperlink ref="A2205" r:id="rId2204"/>
    <hyperlink ref="A2206" r:id="rId2205"/>
    <hyperlink ref="A2207" r:id="rId2206"/>
    <hyperlink ref="A2208" r:id="rId2207"/>
    <hyperlink ref="A2209" r:id="rId2208"/>
    <hyperlink ref="A2210" r:id="rId2209"/>
    <hyperlink ref="A2211" r:id="rId2210"/>
    <hyperlink ref="A2212" r:id="rId2211"/>
    <hyperlink ref="A2213" r:id="rId2212"/>
    <hyperlink ref="A2214" r:id="rId2213"/>
    <hyperlink ref="A2215" r:id="rId2214"/>
    <hyperlink ref="A2216" r:id="rId2215"/>
    <hyperlink ref="A2217" r:id="rId2216"/>
    <hyperlink ref="A2218" r:id="rId2217"/>
    <hyperlink ref="A2219" r:id="rId2218"/>
    <hyperlink ref="A2220" r:id="rId2219"/>
    <hyperlink ref="A2221" r:id="rId2220"/>
    <hyperlink ref="A2222" r:id="rId2221"/>
    <hyperlink ref="A2223" r:id="rId2222"/>
    <hyperlink ref="A2224" r:id="rId2223"/>
    <hyperlink ref="A2225" r:id="rId2224"/>
    <hyperlink ref="A2226" r:id="rId2225"/>
    <hyperlink ref="A2227" r:id="rId2226"/>
    <hyperlink ref="A2228" r:id="rId2227"/>
    <hyperlink ref="A2229" r:id="rId2228"/>
    <hyperlink ref="A2230" r:id="rId2229"/>
    <hyperlink ref="A2231" r:id="rId2230"/>
    <hyperlink ref="A2232" r:id="rId2231"/>
    <hyperlink ref="A2233" r:id="rId2232"/>
    <hyperlink ref="A2234" r:id="rId2233"/>
    <hyperlink ref="A2235" r:id="rId2234"/>
    <hyperlink ref="A2236" r:id="rId2235"/>
    <hyperlink ref="A2237" r:id="rId2236"/>
    <hyperlink ref="A2238" r:id="rId2237"/>
    <hyperlink ref="A2239" r:id="rId2238"/>
    <hyperlink ref="A2240" r:id="rId2239"/>
    <hyperlink ref="A2241" r:id="rId2240"/>
    <hyperlink ref="A2242" r:id="rId2241"/>
    <hyperlink ref="A2243" r:id="rId2242"/>
    <hyperlink ref="A2244" r:id="rId2243"/>
    <hyperlink ref="A2245" r:id="rId2244"/>
    <hyperlink ref="A2246" r:id="rId2245"/>
    <hyperlink ref="A2247" r:id="rId2246"/>
    <hyperlink ref="A2248" r:id="rId2247"/>
    <hyperlink ref="A2249" r:id="rId2248"/>
    <hyperlink ref="A2250" r:id="rId2249"/>
    <hyperlink ref="A2251" r:id="rId2250"/>
    <hyperlink ref="A2252" r:id="rId2251"/>
    <hyperlink ref="A2253" r:id="rId2252"/>
    <hyperlink ref="A2254" r:id="rId2253"/>
    <hyperlink ref="A2255" r:id="rId2254"/>
    <hyperlink ref="A2256" r:id="rId2255"/>
    <hyperlink ref="A2257" r:id="rId2256"/>
    <hyperlink ref="A2258" r:id="rId2257"/>
    <hyperlink ref="A2259" r:id="rId2258"/>
    <hyperlink ref="A2260" r:id="rId2259"/>
    <hyperlink ref="A2261" r:id="rId2260"/>
    <hyperlink ref="A2262" r:id="rId2261"/>
    <hyperlink ref="A2263" r:id="rId2262"/>
    <hyperlink ref="A2264" r:id="rId2263"/>
    <hyperlink ref="A2265" r:id="rId2264"/>
    <hyperlink ref="A2266" r:id="rId2265"/>
    <hyperlink ref="A2267" r:id="rId2266"/>
    <hyperlink ref="A2268" r:id="rId2267"/>
    <hyperlink ref="A2269" r:id="rId2268"/>
    <hyperlink ref="A2270" r:id="rId2269"/>
    <hyperlink ref="A2271" r:id="rId2270"/>
    <hyperlink ref="A2272" r:id="rId2271"/>
    <hyperlink ref="A2273" r:id="rId2272"/>
    <hyperlink ref="A2274" r:id="rId2273"/>
    <hyperlink ref="A2275" r:id="rId2274"/>
    <hyperlink ref="A2276" r:id="rId2275"/>
    <hyperlink ref="A2277" r:id="rId2276"/>
    <hyperlink ref="A2278" r:id="rId2277"/>
    <hyperlink ref="A2279" r:id="rId2278"/>
    <hyperlink ref="A2280" r:id="rId2279"/>
    <hyperlink ref="A2281" r:id="rId2280"/>
    <hyperlink ref="A2282" r:id="rId2281"/>
    <hyperlink ref="A2283" r:id="rId2282"/>
    <hyperlink ref="A2284" r:id="rId2283"/>
    <hyperlink ref="A2285" r:id="rId2284"/>
    <hyperlink ref="A2286" r:id="rId2285"/>
    <hyperlink ref="A2287" r:id="rId2286"/>
    <hyperlink ref="A2288" r:id="rId2287"/>
    <hyperlink ref="A2289" r:id="rId2288"/>
    <hyperlink ref="A2290" r:id="rId2289"/>
    <hyperlink ref="A2291" r:id="rId2290"/>
    <hyperlink ref="A2292" r:id="rId2291"/>
    <hyperlink ref="A2293" r:id="rId2292"/>
    <hyperlink ref="A2294" r:id="rId2293"/>
    <hyperlink ref="A2295" r:id="rId2294"/>
    <hyperlink ref="A2296" r:id="rId2295"/>
    <hyperlink ref="A2297" r:id="rId2296"/>
    <hyperlink ref="A2298" r:id="rId2297"/>
    <hyperlink ref="A2299" r:id="rId2298"/>
    <hyperlink ref="A2300" r:id="rId2299"/>
    <hyperlink ref="A2301" r:id="rId2300"/>
    <hyperlink ref="A2302" r:id="rId2301"/>
    <hyperlink ref="A2303" r:id="rId2302"/>
    <hyperlink ref="A2304" r:id="rId2303"/>
    <hyperlink ref="A2305" r:id="rId2304"/>
    <hyperlink ref="A2306" r:id="rId2305"/>
    <hyperlink ref="A2307" r:id="rId2306"/>
    <hyperlink ref="A2308" r:id="rId2307"/>
    <hyperlink ref="A2309" r:id="rId2308"/>
    <hyperlink ref="A2310" r:id="rId2309"/>
    <hyperlink ref="A2311" r:id="rId2310"/>
    <hyperlink ref="A2312" r:id="rId2311"/>
    <hyperlink ref="A2313" r:id="rId2312"/>
    <hyperlink ref="A2314" r:id="rId2313"/>
    <hyperlink ref="A2315" r:id="rId2314"/>
    <hyperlink ref="A2316" r:id="rId2315"/>
    <hyperlink ref="A2317" r:id="rId2316"/>
    <hyperlink ref="A2318" r:id="rId2317"/>
    <hyperlink ref="A2319" r:id="rId2318"/>
    <hyperlink ref="A2320" r:id="rId2319"/>
    <hyperlink ref="A2321" r:id="rId2320"/>
    <hyperlink ref="A2322" r:id="rId2321"/>
    <hyperlink ref="A2323" r:id="rId2322"/>
    <hyperlink ref="A2324" r:id="rId2323"/>
    <hyperlink ref="A2325" r:id="rId2324"/>
    <hyperlink ref="A2326" r:id="rId2325"/>
    <hyperlink ref="A2327" r:id="rId2326"/>
    <hyperlink ref="A2328" r:id="rId2327"/>
    <hyperlink ref="A2329" r:id="rId2328"/>
    <hyperlink ref="A2330" r:id="rId2329"/>
    <hyperlink ref="A2331" r:id="rId2330"/>
    <hyperlink ref="A2332" r:id="rId2331"/>
    <hyperlink ref="A2333" r:id="rId2332"/>
    <hyperlink ref="A2334" r:id="rId2333"/>
    <hyperlink ref="A2335" r:id="rId2334"/>
    <hyperlink ref="A2336" r:id="rId2335"/>
    <hyperlink ref="A2337" r:id="rId2336"/>
    <hyperlink ref="A2338" r:id="rId2337"/>
    <hyperlink ref="A2339" r:id="rId2338"/>
    <hyperlink ref="A2340" r:id="rId2339"/>
    <hyperlink ref="A2341" r:id="rId2340"/>
    <hyperlink ref="A2342" r:id="rId2341"/>
    <hyperlink ref="A2343" r:id="rId2342"/>
    <hyperlink ref="A2344" r:id="rId2343"/>
    <hyperlink ref="A2345" r:id="rId2344"/>
    <hyperlink ref="A2346" r:id="rId2345"/>
    <hyperlink ref="A2347" r:id="rId2346"/>
    <hyperlink ref="A2348" r:id="rId2347"/>
    <hyperlink ref="A2349" r:id="rId2348"/>
    <hyperlink ref="A2350" r:id="rId2349"/>
    <hyperlink ref="A2351" r:id="rId2350"/>
    <hyperlink ref="A2352" r:id="rId2351"/>
    <hyperlink ref="A2353" r:id="rId2352"/>
    <hyperlink ref="A2354" r:id="rId2353"/>
    <hyperlink ref="A2355" r:id="rId2354"/>
    <hyperlink ref="A2356" r:id="rId2355"/>
    <hyperlink ref="A2357" r:id="rId2356"/>
    <hyperlink ref="A2358" r:id="rId2357"/>
    <hyperlink ref="A2359" r:id="rId2358"/>
    <hyperlink ref="A2360" r:id="rId2359"/>
    <hyperlink ref="A2361" r:id="rId2360"/>
    <hyperlink ref="A2362" r:id="rId2361"/>
    <hyperlink ref="A2363" r:id="rId2362"/>
    <hyperlink ref="A2364" r:id="rId2363"/>
    <hyperlink ref="A2365" r:id="rId2364"/>
    <hyperlink ref="A2366" r:id="rId2365"/>
    <hyperlink ref="A2367" r:id="rId2366"/>
    <hyperlink ref="A2368" r:id="rId2367"/>
    <hyperlink ref="A2369" r:id="rId2368"/>
    <hyperlink ref="A2370" r:id="rId2369"/>
    <hyperlink ref="A2371" r:id="rId2370"/>
    <hyperlink ref="A2372" r:id="rId2371"/>
    <hyperlink ref="A2373" r:id="rId2372"/>
    <hyperlink ref="A2374" r:id="rId2373"/>
    <hyperlink ref="A2375" r:id="rId2374"/>
    <hyperlink ref="A2376" r:id="rId2375"/>
    <hyperlink ref="A2377" r:id="rId2376"/>
    <hyperlink ref="A2378" r:id="rId2377"/>
    <hyperlink ref="A2379" r:id="rId2378"/>
    <hyperlink ref="A2380" r:id="rId2379"/>
    <hyperlink ref="A2381" r:id="rId2380"/>
    <hyperlink ref="A2382" r:id="rId2381"/>
    <hyperlink ref="A2383" r:id="rId2382"/>
    <hyperlink ref="A2384" r:id="rId2383"/>
    <hyperlink ref="A2385" r:id="rId2384"/>
    <hyperlink ref="A2386" r:id="rId2385"/>
    <hyperlink ref="A2387" r:id="rId2386"/>
    <hyperlink ref="A2388" r:id="rId2387"/>
    <hyperlink ref="A2389" r:id="rId2388"/>
    <hyperlink ref="A2390" r:id="rId2389"/>
    <hyperlink ref="A2391" r:id="rId2390"/>
    <hyperlink ref="A2392" r:id="rId2391"/>
    <hyperlink ref="A2393" r:id="rId2392"/>
    <hyperlink ref="A2394" r:id="rId2393"/>
    <hyperlink ref="A2395" r:id="rId2394"/>
    <hyperlink ref="A2396" r:id="rId2395"/>
    <hyperlink ref="A2397" r:id="rId2396"/>
    <hyperlink ref="A2398" r:id="rId2397"/>
    <hyperlink ref="A2399" r:id="rId2398"/>
    <hyperlink ref="A2400" r:id="rId2399"/>
    <hyperlink ref="A2401" r:id="rId2400"/>
    <hyperlink ref="A2402" r:id="rId2401"/>
    <hyperlink ref="A2403" r:id="rId2402"/>
    <hyperlink ref="A2404" r:id="rId2403"/>
    <hyperlink ref="A2405" r:id="rId2404"/>
    <hyperlink ref="A2406" r:id="rId2405"/>
    <hyperlink ref="A2407" r:id="rId2406"/>
    <hyperlink ref="A2408" r:id="rId2407"/>
    <hyperlink ref="A2409" r:id="rId2408"/>
    <hyperlink ref="A2410" r:id="rId2409"/>
    <hyperlink ref="A2411" r:id="rId2410"/>
    <hyperlink ref="A2412" r:id="rId2411"/>
    <hyperlink ref="A2413" r:id="rId2412"/>
    <hyperlink ref="A2414" r:id="rId2413"/>
    <hyperlink ref="A2415" r:id="rId2414"/>
    <hyperlink ref="A2416" r:id="rId2415"/>
    <hyperlink ref="A2417" r:id="rId2416"/>
    <hyperlink ref="A2418" r:id="rId2417"/>
    <hyperlink ref="A2419" r:id="rId2418"/>
    <hyperlink ref="A2420" r:id="rId2419"/>
    <hyperlink ref="A2421" r:id="rId2420"/>
    <hyperlink ref="A2422" r:id="rId2421"/>
    <hyperlink ref="A2423" r:id="rId2422"/>
    <hyperlink ref="A2424" r:id="rId2423"/>
    <hyperlink ref="A2425" r:id="rId2424"/>
    <hyperlink ref="A2426" r:id="rId2425"/>
    <hyperlink ref="A2427" r:id="rId2426"/>
    <hyperlink ref="A2428" r:id="rId2427"/>
    <hyperlink ref="A2429" r:id="rId2428"/>
    <hyperlink ref="A2430" r:id="rId2429"/>
    <hyperlink ref="A2431" r:id="rId2430"/>
    <hyperlink ref="A2432" r:id="rId2431"/>
    <hyperlink ref="A2433" r:id="rId2432"/>
    <hyperlink ref="A2434" r:id="rId2433"/>
    <hyperlink ref="A2435" r:id="rId2434"/>
    <hyperlink ref="A2436" r:id="rId2435"/>
    <hyperlink ref="A2437" r:id="rId2436"/>
    <hyperlink ref="A2438" r:id="rId2437"/>
    <hyperlink ref="A2439" r:id="rId2438"/>
    <hyperlink ref="A2440" r:id="rId2439"/>
    <hyperlink ref="A2441" r:id="rId2440"/>
    <hyperlink ref="A2442" r:id="rId2441"/>
    <hyperlink ref="A2443" r:id="rId2442"/>
    <hyperlink ref="A2444" r:id="rId2443"/>
    <hyperlink ref="A2445" r:id="rId2444"/>
    <hyperlink ref="A2446" r:id="rId2445"/>
    <hyperlink ref="A2447" r:id="rId2446"/>
    <hyperlink ref="A2448" r:id="rId2447"/>
    <hyperlink ref="A2449" r:id="rId2448"/>
    <hyperlink ref="A2450" r:id="rId2449"/>
    <hyperlink ref="A2451" r:id="rId2450"/>
    <hyperlink ref="A2452" r:id="rId2451"/>
    <hyperlink ref="A2453" r:id="rId2452"/>
    <hyperlink ref="A2454" r:id="rId2453"/>
    <hyperlink ref="A2455" r:id="rId2454"/>
    <hyperlink ref="A2456" r:id="rId2455"/>
    <hyperlink ref="A2457" r:id="rId2456"/>
    <hyperlink ref="A2458" r:id="rId2457"/>
    <hyperlink ref="A2459" r:id="rId2458"/>
    <hyperlink ref="A2460" r:id="rId2459"/>
    <hyperlink ref="A2461" r:id="rId2460"/>
    <hyperlink ref="A2462" r:id="rId2461"/>
    <hyperlink ref="A2463" r:id="rId2462"/>
    <hyperlink ref="A2464" r:id="rId2463"/>
    <hyperlink ref="A2465" r:id="rId2464"/>
    <hyperlink ref="A2466" r:id="rId2465"/>
    <hyperlink ref="A2467" r:id="rId2466"/>
    <hyperlink ref="A2468" r:id="rId2467"/>
    <hyperlink ref="A2469" r:id="rId2468"/>
    <hyperlink ref="A2470" r:id="rId2469"/>
    <hyperlink ref="A2471" r:id="rId2470"/>
    <hyperlink ref="A2472" r:id="rId2471"/>
    <hyperlink ref="A2473" r:id="rId2472"/>
    <hyperlink ref="A2474" r:id="rId2473"/>
    <hyperlink ref="A2475" r:id="rId2474"/>
    <hyperlink ref="A2476" r:id="rId2475"/>
    <hyperlink ref="A2477" r:id="rId2476"/>
    <hyperlink ref="A2478" r:id="rId2477"/>
    <hyperlink ref="A2479" r:id="rId2478"/>
    <hyperlink ref="A2480" r:id="rId2479"/>
    <hyperlink ref="A2481" r:id="rId2480"/>
    <hyperlink ref="A2482" r:id="rId2481"/>
    <hyperlink ref="A2483" r:id="rId2482"/>
    <hyperlink ref="A2484" r:id="rId2483"/>
    <hyperlink ref="A2485" r:id="rId2484"/>
    <hyperlink ref="A2486" r:id="rId2485"/>
    <hyperlink ref="A2487" r:id="rId2486"/>
    <hyperlink ref="A2488" r:id="rId2487"/>
    <hyperlink ref="A2489" r:id="rId2488"/>
    <hyperlink ref="A2490" r:id="rId2489"/>
    <hyperlink ref="A2491" r:id="rId2490"/>
    <hyperlink ref="A2492" r:id="rId2491"/>
    <hyperlink ref="A2493" r:id="rId2492"/>
    <hyperlink ref="A2494" r:id="rId2493"/>
    <hyperlink ref="A2495" r:id="rId2494"/>
    <hyperlink ref="A2496" r:id="rId2495"/>
    <hyperlink ref="A2497" r:id="rId2496"/>
    <hyperlink ref="A2498" r:id="rId2497"/>
    <hyperlink ref="A2499" r:id="rId2498"/>
    <hyperlink ref="A2500" r:id="rId2499"/>
    <hyperlink ref="A2501" r:id="rId2500"/>
    <hyperlink ref="A2502" r:id="rId2501"/>
    <hyperlink ref="A2503" r:id="rId2502"/>
    <hyperlink ref="A2504" r:id="rId2503"/>
    <hyperlink ref="A2505" r:id="rId2504"/>
    <hyperlink ref="A2506" r:id="rId2505"/>
    <hyperlink ref="A2507" r:id="rId2506"/>
    <hyperlink ref="A2508" r:id="rId2507"/>
    <hyperlink ref="A2509" r:id="rId2508"/>
    <hyperlink ref="A2510" r:id="rId2509"/>
    <hyperlink ref="A2511" r:id="rId2510"/>
    <hyperlink ref="A2512" r:id="rId2511"/>
    <hyperlink ref="A2513" r:id="rId2512"/>
    <hyperlink ref="A2514" r:id="rId2513"/>
    <hyperlink ref="A2515" r:id="rId2514"/>
    <hyperlink ref="A2516" r:id="rId2515"/>
    <hyperlink ref="A2517" r:id="rId2516"/>
    <hyperlink ref="A2518" r:id="rId2517"/>
    <hyperlink ref="A2519" r:id="rId2518"/>
    <hyperlink ref="A2520" r:id="rId2519"/>
    <hyperlink ref="A2521" r:id="rId2520"/>
    <hyperlink ref="A2522" r:id="rId2521"/>
    <hyperlink ref="A2523" r:id="rId2522"/>
    <hyperlink ref="A2524" r:id="rId2523"/>
    <hyperlink ref="A2525" r:id="rId2524"/>
    <hyperlink ref="A2526" r:id="rId2525"/>
    <hyperlink ref="A2527" r:id="rId2526"/>
    <hyperlink ref="A2528" r:id="rId2527"/>
    <hyperlink ref="A2529" r:id="rId2528"/>
    <hyperlink ref="A2530" r:id="rId2529"/>
    <hyperlink ref="A2531" r:id="rId2530"/>
    <hyperlink ref="A2532" r:id="rId2531"/>
    <hyperlink ref="A2533" r:id="rId2532"/>
    <hyperlink ref="A2534" r:id="rId2533"/>
    <hyperlink ref="A2535" r:id="rId2534"/>
    <hyperlink ref="A2536" r:id="rId2535"/>
    <hyperlink ref="A2537" r:id="rId2536"/>
    <hyperlink ref="A2538" r:id="rId2537"/>
    <hyperlink ref="A2539" r:id="rId2538"/>
    <hyperlink ref="A2540" r:id="rId2539"/>
    <hyperlink ref="A2541" r:id="rId2540"/>
    <hyperlink ref="A2542" r:id="rId2541"/>
    <hyperlink ref="A2543" r:id="rId2542"/>
    <hyperlink ref="A2544" r:id="rId2543"/>
    <hyperlink ref="A2545" r:id="rId2544"/>
    <hyperlink ref="A2546" r:id="rId2545"/>
    <hyperlink ref="A2547" r:id="rId2546"/>
    <hyperlink ref="A2548" r:id="rId2547"/>
    <hyperlink ref="A2549" r:id="rId2548"/>
    <hyperlink ref="A2550" r:id="rId2549"/>
    <hyperlink ref="A2551" r:id="rId2550"/>
    <hyperlink ref="A2552" r:id="rId2551"/>
    <hyperlink ref="A2553" r:id="rId2552"/>
    <hyperlink ref="A2554" r:id="rId2553"/>
    <hyperlink ref="A2555" r:id="rId2554"/>
    <hyperlink ref="A2556" r:id="rId2555"/>
    <hyperlink ref="A2557" r:id="rId2556"/>
    <hyperlink ref="A2558" r:id="rId2557"/>
    <hyperlink ref="A2559" r:id="rId2558"/>
    <hyperlink ref="A2560" r:id="rId2559"/>
    <hyperlink ref="A2561" r:id="rId2560"/>
    <hyperlink ref="A2562" r:id="rId2561"/>
    <hyperlink ref="A2563" r:id="rId2562"/>
    <hyperlink ref="A2564" r:id="rId2563"/>
    <hyperlink ref="A2565" r:id="rId2564"/>
    <hyperlink ref="A2566" r:id="rId2565"/>
    <hyperlink ref="A2567" r:id="rId2566"/>
    <hyperlink ref="A2568" r:id="rId2567"/>
    <hyperlink ref="A2569" r:id="rId2568"/>
    <hyperlink ref="A2570" r:id="rId2569"/>
    <hyperlink ref="A2571" r:id="rId2570"/>
    <hyperlink ref="A2572" r:id="rId2571"/>
    <hyperlink ref="A2573" r:id="rId2572"/>
    <hyperlink ref="A2574" r:id="rId2573"/>
    <hyperlink ref="A2575" r:id="rId2574"/>
    <hyperlink ref="A2576" r:id="rId2575"/>
    <hyperlink ref="A2577" r:id="rId2576"/>
    <hyperlink ref="A2578" r:id="rId2577"/>
    <hyperlink ref="A2579" r:id="rId2578"/>
    <hyperlink ref="A2580" r:id="rId2579"/>
    <hyperlink ref="A2581" r:id="rId2580"/>
    <hyperlink ref="A2582" r:id="rId2581"/>
    <hyperlink ref="A2583" r:id="rId2582"/>
    <hyperlink ref="A2584" r:id="rId2583"/>
    <hyperlink ref="A2585" r:id="rId2584"/>
    <hyperlink ref="A2586" r:id="rId2585"/>
    <hyperlink ref="A2587" r:id="rId2586"/>
    <hyperlink ref="A2588" r:id="rId2587"/>
    <hyperlink ref="A2589" r:id="rId2588"/>
    <hyperlink ref="A2590" r:id="rId2589"/>
    <hyperlink ref="A2591" r:id="rId2590"/>
    <hyperlink ref="A2592" r:id="rId2591"/>
    <hyperlink ref="A2593" r:id="rId2592"/>
    <hyperlink ref="A2594" r:id="rId2593"/>
    <hyperlink ref="A2595" r:id="rId2594"/>
    <hyperlink ref="A2596" r:id="rId2595"/>
    <hyperlink ref="A2597" r:id="rId2596"/>
    <hyperlink ref="A2598" r:id="rId2597"/>
    <hyperlink ref="A2599" r:id="rId2598"/>
    <hyperlink ref="A2600" r:id="rId2599"/>
    <hyperlink ref="A2601" r:id="rId2600"/>
    <hyperlink ref="A2602" r:id="rId2601"/>
    <hyperlink ref="A2603" r:id="rId2602"/>
    <hyperlink ref="A2604" r:id="rId2603"/>
    <hyperlink ref="A2605" r:id="rId2604"/>
    <hyperlink ref="A2606" r:id="rId2605"/>
    <hyperlink ref="A2607" r:id="rId2606"/>
    <hyperlink ref="A2608" r:id="rId2607"/>
    <hyperlink ref="A2609" r:id="rId2608"/>
    <hyperlink ref="A2610" r:id="rId2609"/>
    <hyperlink ref="A2611" r:id="rId2610"/>
    <hyperlink ref="A2612" r:id="rId2611"/>
    <hyperlink ref="A2613" r:id="rId2612"/>
    <hyperlink ref="A2614" r:id="rId2613"/>
    <hyperlink ref="A2615" r:id="rId2614"/>
    <hyperlink ref="A2616" r:id="rId2615"/>
    <hyperlink ref="A2617" r:id="rId2616"/>
    <hyperlink ref="A2618" r:id="rId2617"/>
    <hyperlink ref="A2619" r:id="rId2618"/>
    <hyperlink ref="A2620" r:id="rId2619"/>
    <hyperlink ref="A2621" r:id="rId2620"/>
    <hyperlink ref="A2622" r:id="rId2621"/>
    <hyperlink ref="A2623" r:id="rId2622"/>
    <hyperlink ref="A2624" r:id="rId2623"/>
    <hyperlink ref="A2625" r:id="rId2624"/>
    <hyperlink ref="A2626" r:id="rId2625"/>
    <hyperlink ref="A2627" r:id="rId2626"/>
    <hyperlink ref="A2628" r:id="rId2627"/>
    <hyperlink ref="A2629" r:id="rId2628"/>
    <hyperlink ref="A2630" r:id="rId2629"/>
    <hyperlink ref="A2631" r:id="rId2630"/>
    <hyperlink ref="A2632" r:id="rId2631"/>
    <hyperlink ref="A2633" r:id="rId2632"/>
    <hyperlink ref="A2634" r:id="rId2633"/>
    <hyperlink ref="A2635" r:id="rId2634"/>
    <hyperlink ref="A2636" r:id="rId2635"/>
    <hyperlink ref="A2637" r:id="rId2636"/>
    <hyperlink ref="A2638" r:id="rId2637"/>
    <hyperlink ref="A2639" r:id="rId2638"/>
    <hyperlink ref="A2640" r:id="rId2639"/>
    <hyperlink ref="A2641" r:id="rId2640"/>
    <hyperlink ref="A2642" r:id="rId2641"/>
    <hyperlink ref="A2643" r:id="rId2642"/>
    <hyperlink ref="A2644" r:id="rId2643"/>
    <hyperlink ref="A2645" r:id="rId2644"/>
    <hyperlink ref="A2646" r:id="rId2645"/>
    <hyperlink ref="A2647" r:id="rId2646"/>
    <hyperlink ref="A2648" r:id="rId2647"/>
    <hyperlink ref="A2649" r:id="rId2648"/>
    <hyperlink ref="A2650" r:id="rId2649"/>
    <hyperlink ref="A2651" r:id="rId2650"/>
    <hyperlink ref="A2652" r:id="rId2651"/>
    <hyperlink ref="A2653" r:id="rId2652"/>
    <hyperlink ref="A2654" r:id="rId2653"/>
    <hyperlink ref="A2655" r:id="rId2654"/>
    <hyperlink ref="A2656" r:id="rId2655"/>
    <hyperlink ref="A2657" r:id="rId2656"/>
    <hyperlink ref="A2658" r:id="rId2657"/>
    <hyperlink ref="A2659" r:id="rId2658"/>
    <hyperlink ref="A2660" r:id="rId2659"/>
    <hyperlink ref="A2661" r:id="rId2660"/>
    <hyperlink ref="A2662" r:id="rId2661"/>
    <hyperlink ref="A2663" r:id="rId2662"/>
    <hyperlink ref="A2664" r:id="rId2663"/>
    <hyperlink ref="A2665" r:id="rId2664"/>
    <hyperlink ref="A2666" r:id="rId2665"/>
    <hyperlink ref="A2667" r:id="rId2666"/>
    <hyperlink ref="A2668" r:id="rId2667"/>
    <hyperlink ref="A2669" r:id="rId2668"/>
    <hyperlink ref="A2670" r:id="rId2669"/>
    <hyperlink ref="A2671" r:id="rId2670"/>
    <hyperlink ref="A2672" r:id="rId2671"/>
    <hyperlink ref="A2673" r:id="rId2672"/>
    <hyperlink ref="A2674" r:id="rId2673"/>
    <hyperlink ref="A2675" r:id="rId2674"/>
    <hyperlink ref="A2676" r:id="rId2675"/>
    <hyperlink ref="A2677" r:id="rId2676"/>
    <hyperlink ref="A2678" r:id="rId2677"/>
    <hyperlink ref="A2679" r:id="rId2678"/>
    <hyperlink ref="A2680" r:id="rId2679"/>
    <hyperlink ref="A2681" r:id="rId2680"/>
    <hyperlink ref="A2682" r:id="rId2681"/>
    <hyperlink ref="A2683" r:id="rId2682"/>
    <hyperlink ref="A2684" r:id="rId2683"/>
    <hyperlink ref="A2685" r:id="rId2684"/>
    <hyperlink ref="A2686" r:id="rId2685"/>
    <hyperlink ref="A2687" r:id="rId2686"/>
    <hyperlink ref="A2688" r:id="rId2687"/>
    <hyperlink ref="A2689" r:id="rId2688"/>
    <hyperlink ref="A2690" r:id="rId2689"/>
    <hyperlink ref="A2691" r:id="rId2690"/>
    <hyperlink ref="A2692" r:id="rId2691"/>
    <hyperlink ref="A2693" r:id="rId2692"/>
    <hyperlink ref="A2694" r:id="rId2693"/>
    <hyperlink ref="A2695" r:id="rId2694"/>
    <hyperlink ref="A2696" r:id="rId2695"/>
    <hyperlink ref="A2697" r:id="rId2696"/>
    <hyperlink ref="A2698" r:id="rId2697"/>
    <hyperlink ref="A2699" r:id="rId2698"/>
    <hyperlink ref="A2700" r:id="rId2699"/>
    <hyperlink ref="A2701" r:id="rId2700"/>
    <hyperlink ref="A2702" r:id="rId2701"/>
    <hyperlink ref="A2703" r:id="rId2702"/>
    <hyperlink ref="A2704" r:id="rId2703"/>
    <hyperlink ref="A2705" r:id="rId2704"/>
    <hyperlink ref="A2706" r:id="rId2705"/>
    <hyperlink ref="A2707" r:id="rId2706"/>
    <hyperlink ref="A2708" r:id="rId2707"/>
    <hyperlink ref="A2709" r:id="rId2708"/>
    <hyperlink ref="A2710" r:id="rId2709"/>
    <hyperlink ref="A2711" r:id="rId2710"/>
    <hyperlink ref="A2712" r:id="rId2711"/>
    <hyperlink ref="A2713" r:id="rId2712"/>
    <hyperlink ref="A2714" r:id="rId2713"/>
    <hyperlink ref="A2715" r:id="rId2714"/>
    <hyperlink ref="A2716" r:id="rId2715"/>
    <hyperlink ref="A2717" r:id="rId2716"/>
    <hyperlink ref="A2718" r:id="rId2717"/>
    <hyperlink ref="A2719" r:id="rId2718"/>
    <hyperlink ref="A2720" r:id="rId2719"/>
    <hyperlink ref="A2721" r:id="rId2720"/>
    <hyperlink ref="A2722" r:id="rId2721"/>
    <hyperlink ref="A2723" r:id="rId2722"/>
    <hyperlink ref="A2724" r:id="rId2723"/>
    <hyperlink ref="A2725" r:id="rId2724"/>
    <hyperlink ref="A2726" r:id="rId2725"/>
    <hyperlink ref="A2727" r:id="rId2726"/>
    <hyperlink ref="A2728" r:id="rId2727"/>
    <hyperlink ref="A2729" r:id="rId2728"/>
    <hyperlink ref="A2730" r:id="rId2729"/>
    <hyperlink ref="A2731" r:id="rId2730"/>
    <hyperlink ref="A2732" r:id="rId2731"/>
    <hyperlink ref="A2733" r:id="rId2732"/>
    <hyperlink ref="A2734" r:id="rId2733"/>
    <hyperlink ref="A2735" r:id="rId2734"/>
    <hyperlink ref="A2736" r:id="rId2735"/>
    <hyperlink ref="A2737" r:id="rId2736"/>
    <hyperlink ref="A2738" r:id="rId2737"/>
    <hyperlink ref="A2739" r:id="rId2738"/>
    <hyperlink ref="A2740" r:id="rId2739"/>
    <hyperlink ref="A2741" r:id="rId2740"/>
    <hyperlink ref="A2742" r:id="rId2741"/>
    <hyperlink ref="A2743" r:id="rId2742"/>
    <hyperlink ref="A2744" r:id="rId2743"/>
    <hyperlink ref="A2745" r:id="rId2744"/>
    <hyperlink ref="A2746" r:id="rId2745"/>
    <hyperlink ref="A2747" r:id="rId2746"/>
    <hyperlink ref="A2748" r:id="rId2747"/>
    <hyperlink ref="A2749" r:id="rId2748"/>
    <hyperlink ref="A2750" r:id="rId2749"/>
    <hyperlink ref="A2751" r:id="rId2750"/>
    <hyperlink ref="A2752" r:id="rId2751"/>
    <hyperlink ref="A2753" r:id="rId2752"/>
    <hyperlink ref="A2754" r:id="rId2753"/>
    <hyperlink ref="A2755" r:id="rId2754"/>
    <hyperlink ref="A2756" r:id="rId2755"/>
    <hyperlink ref="A2757" r:id="rId2756"/>
    <hyperlink ref="A2758" r:id="rId2757"/>
    <hyperlink ref="A2759" r:id="rId2758"/>
    <hyperlink ref="A2760" r:id="rId2759"/>
    <hyperlink ref="A2761" r:id="rId2760"/>
    <hyperlink ref="A2762" r:id="rId2761"/>
    <hyperlink ref="A2763" r:id="rId2762"/>
    <hyperlink ref="A2764" r:id="rId2763"/>
    <hyperlink ref="A2765" r:id="rId2764"/>
    <hyperlink ref="A2766" r:id="rId2765"/>
    <hyperlink ref="A2767" r:id="rId2766"/>
    <hyperlink ref="A2768" r:id="rId2767"/>
    <hyperlink ref="A2769" r:id="rId2768"/>
    <hyperlink ref="A2770" r:id="rId2769"/>
    <hyperlink ref="A2771" r:id="rId2770"/>
    <hyperlink ref="A2772" r:id="rId2771"/>
    <hyperlink ref="A2773" r:id="rId2772"/>
    <hyperlink ref="A2774" r:id="rId2773"/>
    <hyperlink ref="A2775" r:id="rId2774"/>
    <hyperlink ref="A2776" r:id="rId2775"/>
    <hyperlink ref="A2777" r:id="rId2776"/>
    <hyperlink ref="A2778" r:id="rId2777"/>
    <hyperlink ref="A2779" r:id="rId2778"/>
    <hyperlink ref="A2780" r:id="rId2779"/>
    <hyperlink ref="A2781" r:id="rId2780"/>
    <hyperlink ref="A2782" r:id="rId2781"/>
    <hyperlink ref="A2783" r:id="rId2782"/>
    <hyperlink ref="A2784" r:id="rId2783"/>
    <hyperlink ref="A2785" r:id="rId2784"/>
    <hyperlink ref="A2786" r:id="rId2785"/>
    <hyperlink ref="A2787" r:id="rId2786"/>
    <hyperlink ref="A2788" r:id="rId2787"/>
    <hyperlink ref="A2789" r:id="rId2788"/>
    <hyperlink ref="A2790" r:id="rId2789"/>
    <hyperlink ref="A2791" r:id="rId2790"/>
    <hyperlink ref="A2792" r:id="rId2791"/>
    <hyperlink ref="A2793" r:id="rId2792"/>
    <hyperlink ref="A2794" r:id="rId2793"/>
    <hyperlink ref="A2795" r:id="rId2794"/>
    <hyperlink ref="A2796" r:id="rId2795"/>
    <hyperlink ref="A2797" r:id="rId2796"/>
    <hyperlink ref="A2798" r:id="rId2797"/>
    <hyperlink ref="A2799" r:id="rId2798"/>
    <hyperlink ref="A2800" r:id="rId2799"/>
    <hyperlink ref="A2801" r:id="rId2800"/>
    <hyperlink ref="A2802" r:id="rId2801"/>
    <hyperlink ref="A2803" r:id="rId2802"/>
    <hyperlink ref="A2804" r:id="rId2803"/>
    <hyperlink ref="A2805" r:id="rId2804"/>
    <hyperlink ref="A2806" r:id="rId2805"/>
    <hyperlink ref="A2807" r:id="rId2806"/>
    <hyperlink ref="A2808" r:id="rId2807"/>
    <hyperlink ref="A2809" r:id="rId2808"/>
    <hyperlink ref="A2810" r:id="rId2809"/>
    <hyperlink ref="A2811" r:id="rId2810"/>
    <hyperlink ref="A2812" r:id="rId2811"/>
    <hyperlink ref="A2813" r:id="rId2812"/>
    <hyperlink ref="A2814" r:id="rId2813"/>
    <hyperlink ref="A2815" r:id="rId2814"/>
    <hyperlink ref="A2816" r:id="rId2815"/>
    <hyperlink ref="A2817" r:id="rId2816"/>
    <hyperlink ref="A2818" r:id="rId2817"/>
    <hyperlink ref="A2819" r:id="rId2818"/>
    <hyperlink ref="A2820" r:id="rId2819"/>
    <hyperlink ref="A2821" r:id="rId2820"/>
    <hyperlink ref="A2822" r:id="rId2821"/>
    <hyperlink ref="A2823" r:id="rId2822"/>
    <hyperlink ref="A2824" r:id="rId2823"/>
    <hyperlink ref="A2825" r:id="rId2824"/>
    <hyperlink ref="A2826" r:id="rId2825"/>
    <hyperlink ref="A2827" r:id="rId2826"/>
    <hyperlink ref="A2828" r:id="rId2827"/>
    <hyperlink ref="A2829" r:id="rId2828"/>
    <hyperlink ref="A2830" r:id="rId2829"/>
    <hyperlink ref="A2831" r:id="rId2830"/>
    <hyperlink ref="A2832" r:id="rId2831"/>
    <hyperlink ref="A2833" r:id="rId2832"/>
    <hyperlink ref="A2834" r:id="rId2833"/>
    <hyperlink ref="A2835" r:id="rId2834"/>
    <hyperlink ref="A2836" r:id="rId2835"/>
    <hyperlink ref="A2837" r:id="rId2836"/>
    <hyperlink ref="A2838" r:id="rId2837"/>
    <hyperlink ref="A2839" r:id="rId2838"/>
    <hyperlink ref="A2840" r:id="rId2839"/>
    <hyperlink ref="A2841" r:id="rId2840"/>
    <hyperlink ref="A2842" r:id="rId2841"/>
    <hyperlink ref="A2843" r:id="rId2842"/>
    <hyperlink ref="A2844" r:id="rId2843"/>
    <hyperlink ref="A2845" r:id="rId2844"/>
    <hyperlink ref="A2846" r:id="rId2845"/>
    <hyperlink ref="A2847" r:id="rId2846"/>
    <hyperlink ref="A2848" r:id="rId2847"/>
    <hyperlink ref="A2849" r:id="rId2848"/>
    <hyperlink ref="A2850" r:id="rId2849"/>
    <hyperlink ref="A2851" r:id="rId2850"/>
    <hyperlink ref="A2852" r:id="rId2851"/>
    <hyperlink ref="A2853" r:id="rId2852"/>
    <hyperlink ref="A2854" r:id="rId2853"/>
    <hyperlink ref="A2855" r:id="rId2854"/>
    <hyperlink ref="A2856" r:id="rId2855"/>
    <hyperlink ref="A2857" r:id="rId2856"/>
    <hyperlink ref="A2858" r:id="rId2857"/>
    <hyperlink ref="A2859" r:id="rId2858"/>
    <hyperlink ref="A2860" r:id="rId2859"/>
    <hyperlink ref="A2861" r:id="rId2860"/>
    <hyperlink ref="A2862" r:id="rId2861"/>
    <hyperlink ref="A2863" r:id="rId2862"/>
    <hyperlink ref="A2864" r:id="rId2863"/>
    <hyperlink ref="A2865" r:id="rId2864"/>
    <hyperlink ref="A2866" r:id="rId2865"/>
    <hyperlink ref="A2867" r:id="rId2866"/>
    <hyperlink ref="A2868" r:id="rId2867"/>
    <hyperlink ref="A2869" r:id="rId2868"/>
    <hyperlink ref="A2870" r:id="rId2869"/>
    <hyperlink ref="A2871" r:id="rId2870"/>
    <hyperlink ref="A2872" r:id="rId2871"/>
    <hyperlink ref="A2873" r:id="rId2872"/>
    <hyperlink ref="A2874" r:id="rId2873"/>
    <hyperlink ref="A2875" r:id="rId2874"/>
    <hyperlink ref="A2876" r:id="rId2875"/>
    <hyperlink ref="A2877" r:id="rId2876"/>
    <hyperlink ref="A2878" r:id="rId2877"/>
    <hyperlink ref="A2879" r:id="rId2878"/>
    <hyperlink ref="A2880" r:id="rId2879"/>
    <hyperlink ref="A2881" r:id="rId2880"/>
    <hyperlink ref="A2882" r:id="rId2881"/>
    <hyperlink ref="A2883" r:id="rId2882"/>
    <hyperlink ref="A2884" r:id="rId2883"/>
    <hyperlink ref="A2885" r:id="rId2884"/>
    <hyperlink ref="A2886" r:id="rId2885"/>
    <hyperlink ref="A2887" r:id="rId2886"/>
    <hyperlink ref="A2888" r:id="rId2887"/>
    <hyperlink ref="A2889" r:id="rId2888"/>
    <hyperlink ref="A2890" r:id="rId2889"/>
    <hyperlink ref="A2891" r:id="rId2890"/>
    <hyperlink ref="A2892" r:id="rId2891"/>
    <hyperlink ref="A2893" r:id="rId2892"/>
    <hyperlink ref="A2894" r:id="rId2893"/>
    <hyperlink ref="A2895" r:id="rId2894"/>
    <hyperlink ref="A2896" r:id="rId2895"/>
    <hyperlink ref="A2897" r:id="rId2896"/>
    <hyperlink ref="A2898" r:id="rId2897"/>
    <hyperlink ref="A2899" r:id="rId2898"/>
    <hyperlink ref="A2900" r:id="rId2899"/>
    <hyperlink ref="A2901" r:id="rId2900"/>
    <hyperlink ref="A2902" r:id="rId2901"/>
    <hyperlink ref="A2903" r:id="rId2902"/>
    <hyperlink ref="A2904" r:id="rId2903"/>
    <hyperlink ref="A2905" r:id="rId2904"/>
    <hyperlink ref="A2906" r:id="rId2905"/>
    <hyperlink ref="A2907" r:id="rId2906"/>
    <hyperlink ref="A2908" r:id="rId2907"/>
    <hyperlink ref="A2909" r:id="rId2908"/>
    <hyperlink ref="A2910" r:id="rId2909"/>
    <hyperlink ref="A2911" r:id="rId2910"/>
    <hyperlink ref="A2912" r:id="rId2911"/>
    <hyperlink ref="A2913" r:id="rId2912"/>
    <hyperlink ref="A2914" r:id="rId2913"/>
    <hyperlink ref="A2915" r:id="rId2914"/>
    <hyperlink ref="A2916" r:id="rId2915"/>
    <hyperlink ref="A2917" r:id="rId2916"/>
    <hyperlink ref="A2918" r:id="rId2917"/>
    <hyperlink ref="A2919" r:id="rId2918"/>
    <hyperlink ref="A2920" r:id="rId2919"/>
    <hyperlink ref="A2921" r:id="rId2920"/>
    <hyperlink ref="A2922" r:id="rId2921"/>
    <hyperlink ref="A2923" r:id="rId2922"/>
    <hyperlink ref="A2924" r:id="rId2923"/>
    <hyperlink ref="A2925" r:id="rId2924"/>
    <hyperlink ref="A2926" r:id="rId2925"/>
    <hyperlink ref="A2927" r:id="rId2926"/>
    <hyperlink ref="A2928" r:id="rId2927"/>
    <hyperlink ref="A2929" r:id="rId2928"/>
    <hyperlink ref="A2930" r:id="rId2929"/>
    <hyperlink ref="A2931" r:id="rId2930"/>
    <hyperlink ref="A2932" r:id="rId2931"/>
    <hyperlink ref="A2933" r:id="rId2932"/>
    <hyperlink ref="A2934" r:id="rId2933"/>
    <hyperlink ref="A2935" r:id="rId2934"/>
    <hyperlink ref="A2936" r:id="rId2935"/>
    <hyperlink ref="A2937" r:id="rId2936"/>
    <hyperlink ref="A2938" r:id="rId2937"/>
    <hyperlink ref="A2939" r:id="rId2938"/>
    <hyperlink ref="A2940" r:id="rId2939"/>
    <hyperlink ref="A2941" r:id="rId2940"/>
    <hyperlink ref="A2942" r:id="rId2941"/>
    <hyperlink ref="A2943" r:id="rId2942"/>
    <hyperlink ref="A2944" r:id="rId2943"/>
    <hyperlink ref="A2945" r:id="rId2944"/>
    <hyperlink ref="A2946" r:id="rId2945"/>
    <hyperlink ref="A2947" r:id="rId2946"/>
    <hyperlink ref="A2948" r:id="rId2947"/>
    <hyperlink ref="A2949" r:id="rId2948"/>
    <hyperlink ref="A2950" r:id="rId2949"/>
    <hyperlink ref="A2951" r:id="rId2950"/>
    <hyperlink ref="A2952" r:id="rId2951"/>
    <hyperlink ref="A2953" r:id="rId2952"/>
    <hyperlink ref="A2954" r:id="rId2953"/>
    <hyperlink ref="A2955" r:id="rId2954"/>
    <hyperlink ref="A2956" r:id="rId2955"/>
    <hyperlink ref="A2957" r:id="rId2956"/>
    <hyperlink ref="A2958" r:id="rId2957"/>
    <hyperlink ref="A2959" r:id="rId2958"/>
    <hyperlink ref="A2960" r:id="rId2959"/>
    <hyperlink ref="A2961" r:id="rId2960"/>
    <hyperlink ref="A2962" r:id="rId2961"/>
    <hyperlink ref="A2963" r:id="rId2962"/>
    <hyperlink ref="A2964" r:id="rId2963"/>
    <hyperlink ref="A2965" r:id="rId2964"/>
    <hyperlink ref="A2966" r:id="rId2965"/>
    <hyperlink ref="A2967" r:id="rId2966"/>
    <hyperlink ref="A2968" r:id="rId2967"/>
    <hyperlink ref="A2969" r:id="rId2968"/>
    <hyperlink ref="A2970" r:id="rId2969"/>
    <hyperlink ref="A2971" r:id="rId2970"/>
    <hyperlink ref="A2972" r:id="rId2971"/>
    <hyperlink ref="A2973" r:id="rId2972"/>
    <hyperlink ref="A2974" r:id="rId2973"/>
    <hyperlink ref="A2975" r:id="rId2974"/>
    <hyperlink ref="A2976" r:id="rId2975"/>
    <hyperlink ref="A2977" r:id="rId2976"/>
    <hyperlink ref="A2978" r:id="rId2977"/>
    <hyperlink ref="A2979" r:id="rId2978"/>
    <hyperlink ref="A2980" r:id="rId2979"/>
    <hyperlink ref="A2981" r:id="rId2980"/>
    <hyperlink ref="A2982" r:id="rId2981"/>
    <hyperlink ref="A2983" r:id="rId2982"/>
    <hyperlink ref="A2984" r:id="rId2983"/>
    <hyperlink ref="A2985" r:id="rId2984"/>
    <hyperlink ref="A2986" r:id="rId2985"/>
    <hyperlink ref="A2987" r:id="rId2986"/>
    <hyperlink ref="A2988" r:id="rId2987"/>
    <hyperlink ref="A2989" r:id="rId2988"/>
    <hyperlink ref="A2990" r:id="rId2989"/>
    <hyperlink ref="A2991" r:id="rId2990"/>
    <hyperlink ref="A2992" r:id="rId2991"/>
    <hyperlink ref="A2993" r:id="rId2992"/>
    <hyperlink ref="A2994" r:id="rId2993"/>
    <hyperlink ref="A2995" r:id="rId2994"/>
    <hyperlink ref="A2996" r:id="rId2995"/>
    <hyperlink ref="A2997" r:id="rId2996"/>
    <hyperlink ref="A2998" r:id="rId2997"/>
    <hyperlink ref="A2999" r:id="rId2998"/>
    <hyperlink ref="A3000" r:id="rId2999"/>
    <hyperlink ref="A3001" r:id="rId3000"/>
    <hyperlink ref="A3002" r:id="rId3001"/>
    <hyperlink ref="A3003" r:id="rId3002"/>
    <hyperlink ref="A3004" r:id="rId3003"/>
    <hyperlink ref="A3005" r:id="rId3004"/>
    <hyperlink ref="A3006" r:id="rId3005"/>
    <hyperlink ref="A3007" r:id="rId3006"/>
    <hyperlink ref="A3008" r:id="rId3007"/>
    <hyperlink ref="A3009" r:id="rId3008"/>
    <hyperlink ref="A3010" r:id="rId3009"/>
    <hyperlink ref="A3011" r:id="rId3010"/>
    <hyperlink ref="A3012" r:id="rId3011"/>
    <hyperlink ref="A3013" r:id="rId3012"/>
    <hyperlink ref="A3014" r:id="rId3013"/>
    <hyperlink ref="A3015" r:id="rId3014"/>
    <hyperlink ref="A3016" r:id="rId3015"/>
    <hyperlink ref="A3017" r:id="rId3016"/>
    <hyperlink ref="A3018" r:id="rId3017"/>
    <hyperlink ref="A3019" r:id="rId3018"/>
    <hyperlink ref="A3020" r:id="rId3019"/>
    <hyperlink ref="A3021" r:id="rId3020"/>
    <hyperlink ref="A3022" r:id="rId3021"/>
    <hyperlink ref="A3023" r:id="rId3022"/>
    <hyperlink ref="A3024" r:id="rId3023"/>
    <hyperlink ref="A3025" r:id="rId3024"/>
    <hyperlink ref="A3026" r:id="rId3025"/>
    <hyperlink ref="A3027" r:id="rId3026"/>
    <hyperlink ref="A3028" r:id="rId3027"/>
    <hyperlink ref="A3029" r:id="rId3028"/>
    <hyperlink ref="A3030" r:id="rId3029"/>
    <hyperlink ref="A3031" r:id="rId3030"/>
    <hyperlink ref="A3032" r:id="rId3031"/>
    <hyperlink ref="A3033" r:id="rId3032"/>
    <hyperlink ref="A3034" r:id="rId3033"/>
    <hyperlink ref="A3035" r:id="rId3034"/>
    <hyperlink ref="A3036" r:id="rId3035"/>
    <hyperlink ref="A3037" r:id="rId3036"/>
    <hyperlink ref="A3038" r:id="rId3037"/>
    <hyperlink ref="A3039" r:id="rId3038"/>
    <hyperlink ref="A3040" r:id="rId3039"/>
    <hyperlink ref="A3041" r:id="rId3040"/>
    <hyperlink ref="A3042" r:id="rId3041"/>
    <hyperlink ref="A3043" r:id="rId3042"/>
    <hyperlink ref="A3044" r:id="rId3043"/>
    <hyperlink ref="A3045" r:id="rId3044"/>
    <hyperlink ref="A3046" r:id="rId3045"/>
    <hyperlink ref="A3047" r:id="rId3046"/>
    <hyperlink ref="A3048" r:id="rId3047"/>
    <hyperlink ref="A3049" r:id="rId3048"/>
    <hyperlink ref="A3050" r:id="rId3049"/>
    <hyperlink ref="A3051" r:id="rId3050"/>
    <hyperlink ref="A3052" r:id="rId3051"/>
    <hyperlink ref="A3053" r:id="rId3052"/>
    <hyperlink ref="A3054" r:id="rId3053"/>
    <hyperlink ref="A3055" r:id="rId3054"/>
    <hyperlink ref="A3056" r:id="rId3055"/>
    <hyperlink ref="A3057" r:id="rId3056"/>
    <hyperlink ref="A3058" r:id="rId3057"/>
    <hyperlink ref="A3059" r:id="rId3058"/>
    <hyperlink ref="A3060" r:id="rId3059"/>
    <hyperlink ref="A3061" r:id="rId3060"/>
    <hyperlink ref="A3062" r:id="rId3061"/>
    <hyperlink ref="A3063" r:id="rId3062"/>
    <hyperlink ref="A3064" r:id="rId3063"/>
    <hyperlink ref="A3065" r:id="rId3064"/>
    <hyperlink ref="A3066" r:id="rId3065"/>
    <hyperlink ref="A3067" r:id="rId3066"/>
    <hyperlink ref="A3068" r:id="rId3067"/>
    <hyperlink ref="A3069" r:id="rId3068"/>
    <hyperlink ref="A3070" r:id="rId3069"/>
    <hyperlink ref="A3071" r:id="rId3070"/>
    <hyperlink ref="A3072" r:id="rId3071"/>
    <hyperlink ref="A3073" r:id="rId3072"/>
    <hyperlink ref="A3074" r:id="rId3073"/>
    <hyperlink ref="A3075" r:id="rId3074"/>
    <hyperlink ref="A3076" r:id="rId3075"/>
    <hyperlink ref="A3077" r:id="rId3076"/>
    <hyperlink ref="A3078" r:id="rId3077"/>
    <hyperlink ref="A3079" r:id="rId3078"/>
    <hyperlink ref="A3080" r:id="rId3079"/>
    <hyperlink ref="A3081" r:id="rId3080"/>
    <hyperlink ref="A3082" r:id="rId3081"/>
    <hyperlink ref="A3083" r:id="rId3082"/>
    <hyperlink ref="A3084" r:id="rId3083"/>
    <hyperlink ref="A3085" r:id="rId3084"/>
    <hyperlink ref="A3086" r:id="rId3085"/>
    <hyperlink ref="A3087" r:id="rId3086"/>
    <hyperlink ref="A3088" r:id="rId3087"/>
    <hyperlink ref="A3089" r:id="rId3088"/>
    <hyperlink ref="A3090" r:id="rId3089"/>
    <hyperlink ref="A3091" r:id="rId3090"/>
    <hyperlink ref="A3092" r:id="rId3091"/>
    <hyperlink ref="A3093" r:id="rId3092"/>
    <hyperlink ref="A3094" r:id="rId3093"/>
    <hyperlink ref="A3095" r:id="rId3094"/>
    <hyperlink ref="A3096" r:id="rId3095"/>
    <hyperlink ref="A3097" r:id="rId3096"/>
    <hyperlink ref="A3098" r:id="rId3097"/>
    <hyperlink ref="A3099" r:id="rId3098"/>
    <hyperlink ref="A3100" r:id="rId3099"/>
    <hyperlink ref="A3101" r:id="rId3100"/>
    <hyperlink ref="A3102" r:id="rId3101"/>
    <hyperlink ref="A3103" r:id="rId3102"/>
    <hyperlink ref="A3104" r:id="rId3103"/>
    <hyperlink ref="A3105" r:id="rId3104"/>
    <hyperlink ref="A3106" r:id="rId3105"/>
    <hyperlink ref="A3107" r:id="rId3106"/>
    <hyperlink ref="A3108" r:id="rId3107"/>
    <hyperlink ref="A3109" r:id="rId3108"/>
    <hyperlink ref="A3110" r:id="rId3109"/>
    <hyperlink ref="A3111" r:id="rId3110"/>
    <hyperlink ref="A3112" r:id="rId3111"/>
    <hyperlink ref="A3113" r:id="rId3112"/>
    <hyperlink ref="A3114" r:id="rId3113"/>
    <hyperlink ref="A3115" r:id="rId3114"/>
    <hyperlink ref="A3116" r:id="rId3115"/>
    <hyperlink ref="A3117" r:id="rId3116"/>
    <hyperlink ref="A3118" r:id="rId3117"/>
    <hyperlink ref="A3119" r:id="rId3118"/>
    <hyperlink ref="A3120" r:id="rId3119"/>
    <hyperlink ref="A3121" r:id="rId3120"/>
    <hyperlink ref="A3122" r:id="rId3121"/>
    <hyperlink ref="A3123" r:id="rId3122"/>
    <hyperlink ref="A3124" r:id="rId3123"/>
    <hyperlink ref="A3125" r:id="rId3124"/>
    <hyperlink ref="A3126" r:id="rId3125"/>
    <hyperlink ref="A3127" r:id="rId3126"/>
    <hyperlink ref="A3128" r:id="rId3127"/>
    <hyperlink ref="A3129" r:id="rId3128"/>
    <hyperlink ref="A3130" r:id="rId3129"/>
    <hyperlink ref="A3131" r:id="rId3130"/>
    <hyperlink ref="A3132" r:id="rId3131"/>
    <hyperlink ref="A3133" r:id="rId3132"/>
    <hyperlink ref="A3134" r:id="rId3133"/>
    <hyperlink ref="A3135" r:id="rId3134"/>
    <hyperlink ref="A3136" r:id="rId3135"/>
    <hyperlink ref="A3137" r:id="rId3136"/>
    <hyperlink ref="A3138" r:id="rId3137"/>
    <hyperlink ref="A3139" r:id="rId3138"/>
    <hyperlink ref="A3140" r:id="rId3139"/>
    <hyperlink ref="A3141" r:id="rId3140"/>
    <hyperlink ref="A3142" r:id="rId3141"/>
    <hyperlink ref="A3143" r:id="rId3142"/>
    <hyperlink ref="A3144" r:id="rId3143"/>
    <hyperlink ref="A3145" r:id="rId3144"/>
    <hyperlink ref="A3146" r:id="rId3145"/>
    <hyperlink ref="A3147" r:id="rId3146"/>
    <hyperlink ref="A3148" r:id="rId3147"/>
    <hyperlink ref="A3149" r:id="rId3148"/>
    <hyperlink ref="A3150" r:id="rId3149"/>
    <hyperlink ref="A3151" r:id="rId3150"/>
    <hyperlink ref="A3152" r:id="rId3151"/>
    <hyperlink ref="A3153" r:id="rId3152"/>
    <hyperlink ref="A3154" r:id="rId3153"/>
    <hyperlink ref="A3155" r:id="rId3154"/>
    <hyperlink ref="A3156" r:id="rId3155"/>
    <hyperlink ref="A3157" r:id="rId3156"/>
    <hyperlink ref="A3158" r:id="rId3157"/>
    <hyperlink ref="A3159" r:id="rId3158"/>
    <hyperlink ref="A3160" r:id="rId3159"/>
    <hyperlink ref="A3161" r:id="rId3160"/>
    <hyperlink ref="A3162" r:id="rId3161"/>
    <hyperlink ref="A3163" r:id="rId3162"/>
    <hyperlink ref="A3164" r:id="rId3163"/>
    <hyperlink ref="A3165" r:id="rId3164"/>
    <hyperlink ref="A3166" r:id="rId3165"/>
    <hyperlink ref="A3167" r:id="rId3166"/>
    <hyperlink ref="A3168" r:id="rId3167"/>
    <hyperlink ref="A3169" r:id="rId3168"/>
    <hyperlink ref="A3170" r:id="rId3169"/>
    <hyperlink ref="A3171" r:id="rId3170"/>
    <hyperlink ref="A3172" r:id="rId3171"/>
    <hyperlink ref="A3173" r:id="rId3172"/>
    <hyperlink ref="A3174" r:id="rId3173"/>
    <hyperlink ref="A3175" r:id="rId3174"/>
    <hyperlink ref="A3176" r:id="rId3175"/>
    <hyperlink ref="A3177" r:id="rId3176"/>
    <hyperlink ref="A3178" r:id="rId3177"/>
    <hyperlink ref="A3179" r:id="rId3178"/>
    <hyperlink ref="A3180" r:id="rId3179"/>
    <hyperlink ref="A3181" r:id="rId3180"/>
    <hyperlink ref="A3182" r:id="rId3181"/>
    <hyperlink ref="A3183" r:id="rId3182"/>
    <hyperlink ref="A3184" r:id="rId3183"/>
    <hyperlink ref="A3185" r:id="rId3184"/>
    <hyperlink ref="A3186" r:id="rId3185"/>
    <hyperlink ref="A3187" r:id="rId3186"/>
    <hyperlink ref="A3188" r:id="rId3187"/>
    <hyperlink ref="A3189" r:id="rId3188"/>
    <hyperlink ref="A3190" r:id="rId3189"/>
    <hyperlink ref="A3191" r:id="rId3190"/>
    <hyperlink ref="A3192" r:id="rId3191"/>
    <hyperlink ref="A3193" r:id="rId3192"/>
    <hyperlink ref="A3194" r:id="rId3193"/>
    <hyperlink ref="A3195" r:id="rId3194"/>
    <hyperlink ref="A3196" r:id="rId3195"/>
    <hyperlink ref="A3197" r:id="rId3196"/>
    <hyperlink ref="A3198" r:id="rId3197"/>
    <hyperlink ref="A3199" r:id="rId3198"/>
    <hyperlink ref="A3200" r:id="rId3199"/>
    <hyperlink ref="A3201" r:id="rId3200"/>
    <hyperlink ref="A3202" r:id="rId3201"/>
    <hyperlink ref="A3203" r:id="rId3202"/>
    <hyperlink ref="A3204" r:id="rId3203"/>
    <hyperlink ref="A3205" r:id="rId3204"/>
    <hyperlink ref="A3206" r:id="rId3205"/>
    <hyperlink ref="A3207" r:id="rId3206"/>
    <hyperlink ref="A3208" r:id="rId3207"/>
    <hyperlink ref="A3209" r:id="rId3208"/>
    <hyperlink ref="A3210" r:id="rId3209"/>
    <hyperlink ref="A3211" r:id="rId3210"/>
    <hyperlink ref="A3212" r:id="rId3211"/>
    <hyperlink ref="A3213" r:id="rId3212"/>
    <hyperlink ref="A3214" r:id="rId3213"/>
    <hyperlink ref="A3215" r:id="rId3214"/>
    <hyperlink ref="A3216" r:id="rId3215"/>
    <hyperlink ref="A3217" r:id="rId3216"/>
    <hyperlink ref="A3218" r:id="rId3217"/>
    <hyperlink ref="A3219" r:id="rId3218"/>
    <hyperlink ref="A3220" r:id="rId3219"/>
    <hyperlink ref="A3221" r:id="rId3220"/>
    <hyperlink ref="A3222" r:id="rId3221"/>
    <hyperlink ref="A3223" r:id="rId3222"/>
    <hyperlink ref="A3224" r:id="rId3223"/>
    <hyperlink ref="A3225" r:id="rId3224"/>
    <hyperlink ref="A3226" r:id="rId3225"/>
    <hyperlink ref="A3227" r:id="rId3226"/>
    <hyperlink ref="A3228" r:id="rId3227"/>
    <hyperlink ref="A3229" r:id="rId3228"/>
    <hyperlink ref="A3230" r:id="rId3229"/>
    <hyperlink ref="A3231" r:id="rId3230"/>
    <hyperlink ref="A3232" r:id="rId3231"/>
    <hyperlink ref="A3233" r:id="rId3232"/>
    <hyperlink ref="A3234" r:id="rId3233"/>
    <hyperlink ref="A3235" r:id="rId3234"/>
    <hyperlink ref="A3236" r:id="rId3235"/>
    <hyperlink ref="A3237" r:id="rId3236"/>
    <hyperlink ref="A3238" r:id="rId3237"/>
    <hyperlink ref="A3239" r:id="rId3238"/>
    <hyperlink ref="A3240" r:id="rId3239"/>
    <hyperlink ref="A3241" r:id="rId3240"/>
    <hyperlink ref="A3242" r:id="rId3241"/>
    <hyperlink ref="A3243" r:id="rId3242"/>
    <hyperlink ref="A3244" r:id="rId3243"/>
    <hyperlink ref="A3245" r:id="rId3244"/>
    <hyperlink ref="A3246" r:id="rId3245"/>
    <hyperlink ref="A3247" r:id="rId3246"/>
    <hyperlink ref="A3248" r:id="rId3247"/>
    <hyperlink ref="A3249" r:id="rId3248"/>
    <hyperlink ref="A3250" r:id="rId3249"/>
    <hyperlink ref="A3251" r:id="rId3250"/>
    <hyperlink ref="A3252" r:id="rId3251"/>
    <hyperlink ref="A3253" r:id="rId3252"/>
    <hyperlink ref="A3254" r:id="rId3253"/>
    <hyperlink ref="A3255" r:id="rId3254"/>
    <hyperlink ref="A3256" r:id="rId3255"/>
    <hyperlink ref="A3257" r:id="rId3256"/>
    <hyperlink ref="A3258" r:id="rId3257"/>
    <hyperlink ref="A3259" r:id="rId3258"/>
    <hyperlink ref="A3260" r:id="rId3259"/>
    <hyperlink ref="A3261" r:id="rId3260"/>
    <hyperlink ref="A3262" r:id="rId3261"/>
    <hyperlink ref="A3263" r:id="rId3262"/>
    <hyperlink ref="A3264" r:id="rId3263"/>
    <hyperlink ref="A3265" r:id="rId3264"/>
    <hyperlink ref="A3266" r:id="rId3265"/>
    <hyperlink ref="A3267" r:id="rId3266"/>
    <hyperlink ref="A3268" r:id="rId3267"/>
    <hyperlink ref="A3269" r:id="rId3268"/>
    <hyperlink ref="A3270" r:id="rId3269"/>
    <hyperlink ref="A3271" r:id="rId3270"/>
    <hyperlink ref="A3272" r:id="rId3271"/>
    <hyperlink ref="A3273" r:id="rId3272"/>
    <hyperlink ref="A3274" r:id="rId3273"/>
    <hyperlink ref="A3275" r:id="rId3274"/>
    <hyperlink ref="A3276" r:id="rId3275"/>
    <hyperlink ref="A3277" r:id="rId3276"/>
    <hyperlink ref="A3278" r:id="rId3277"/>
    <hyperlink ref="A3279" r:id="rId3278"/>
    <hyperlink ref="A3280" r:id="rId3279"/>
    <hyperlink ref="A3281" r:id="rId3280"/>
    <hyperlink ref="A3282" r:id="rId3281"/>
    <hyperlink ref="A3283" r:id="rId3282"/>
    <hyperlink ref="A3284" r:id="rId3283"/>
    <hyperlink ref="A3285" r:id="rId3284"/>
    <hyperlink ref="A3286" r:id="rId3285"/>
    <hyperlink ref="A3287" r:id="rId3286"/>
    <hyperlink ref="A3288" r:id="rId3287"/>
    <hyperlink ref="A3289" r:id="rId3288"/>
    <hyperlink ref="A3290" r:id="rId3289"/>
    <hyperlink ref="A3291" r:id="rId3290"/>
    <hyperlink ref="A3292" r:id="rId3291"/>
    <hyperlink ref="A3293" r:id="rId3292"/>
    <hyperlink ref="A3294" r:id="rId3293"/>
    <hyperlink ref="A3295" r:id="rId3294"/>
    <hyperlink ref="A3296" r:id="rId3295"/>
    <hyperlink ref="A3297" r:id="rId3296"/>
    <hyperlink ref="A3298" r:id="rId3297"/>
    <hyperlink ref="A3299" r:id="rId3298"/>
    <hyperlink ref="A3300" r:id="rId3299"/>
    <hyperlink ref="A3301" r:id="rId3300"/>
    <hyperlink ref="A3302" r:id="rId3301"/>
    <hyperlink ref="A3303" r:id="rId3302"/>
    <hyperlink ref="A3304" r:id="rId3303"/>
    <hyperlink ref="A3305" r:id="rId3304"/>
    <hyperlink ref="A3306" r:id="rId3305"/>
    <hyperlink ref="A3307" r:id="rId3306"/>
    <hyperlink ref="A3308" r:id="rId3307"/>
    <hyperlink ref="A3309" r:id="rId3308"/>
    <hyperlink ref="A3310" r:id="rId3309"/>
    <hyperlink ref="A3311" r:id="rId3310"/>
    <hyperlink ref="A3312" r:id="rId3311"/>
    <hyperlink ref="A3313" r:id="rId3312"/>
    <hyperlink ref="A3314" r:id="rId3313"/>
    <hyperlink ref="A3315" r:id="rId3314"/>
    <hyperlink ref="A3316" r:id="rId3315"/>
    <hyperlink ref="A3317" r:id="rId3316"/>
    <hyperlink ref="A3318" r:id="rId3317"/>
    <hyperlink ref="A3319" r:id="rId3318"/>
    <hyperlink ref="A3320" r:id="rId3319"/>
    <hyperlink ref="A3321" r:id="rId3320"/>
    <hyperlink ref="A3322" r:id="rId3321"/>
    <hyperlink ref="A3323" r:id="rId3322"/>
    <hyperlink ref="A3324" r:id="rId3323"/>
    <hyperlink ref="A3325" r:id="rId3324"/>
    <hyperlink ref="A3326" r:id="rId3325"/>
    <hyperlink ref="A3327" r:id="rId3326"/>
    <hyperlink ref="A3328" r:id="rId3327"/>
    <hyperlink ref="A3329" r:id="rId3328"/>
    <hyperlink ref="A3330" r:id="rId3329"/>
    <hyperlink ref="A3331" r:id="rId3330"/>
    <hyperlink ref="A3332" r:id="rId3331"/>
    <hyperlink ref="A3333" r:id="rId3332"/>
    <hyperlink ref="A3334" r:id="rId3333"/>
    <hyperlink ref="A3335" r:id="rId3334"/>
    <hyperlink ref="A3336" r:id="rId3335"/>
    <hyperlink ref="A3337" r:id="rId3336"/>
    <hyperlink ref="A3338" r:id="rId3337"/>
    <hyperlink ref="A3339" r:id="rId3338"/>
    <hyperlink ref="A3340" r:id="rId3339"/>
    <hyperlink ref="A3341" r:id="rId3340"/>
    <hyperlink ref="A3342" r:id="rId3341"/>
    <hyperlink ref="A3343" r:id="rId3342"/>
    <hyperlink ref="A3344" r:id="rId3343"/>
    <hyperlink ref="A3345" r:id="rId3344"/>
    <hyperlink ref="A3346" r:id="rId3345"/>
    <hyperlink ref="A3347" r:id="rId3346"/>
    <hyperlink ref="A3348" r:id="rId3347"/>
    <hyperlink ref="A3349" r:id="rId3348"/>
    <hyperlink ref="A3350" r:id="rId3349"/>
    <hyperlink ref="A3351" r:id="rId3350"/>
    <hyperlink ref="A3352" r:id="rId3351"/>
    <hyperlink ref="A3353" r:id="rId3352"/>
    <hyperlink ref="A3354" r:id="rId3353"/>
    <hyperlink ref="A3355" r:id="rId3354"/>
    <hyperlink ref="A3356" r:id="rId3355"/>
    <hyperlink ref="A3357" r:id="rId3356"/>
    <hyperlink ref="A3358" r:id="rId3357"/>
    <hyperlink ref="A3359" r:id="rId3358"/>
    <hyperlink ref="A3360" r:id="rId3359"/>
    <hyperlink ref="A3361" r:id="rId3360"/>
    <hyperlink ref="A3362" r:id="rId3361"/>
    <hyperlink ref="A3363" r:id="rId3362"/>
    <hyperlink ref="A3364" r:id="rId3363"/>
    <hyperlink ref="A3365" r:id="rId3364"/>
    <hyperlink ref="A3366" r:id="rId3365"/>
    <hyperlink ref="A3367" r:id="rId3366"/>
    <hyperlink ref="A3368" r:id="rId3367"/>
    <hyperlink ref="A3369" r:id="rId3368"/>
    <hyperlink ref="A3370" r:id="rId3369"/>
    <hyperlink ref="A3371" r:id="rId3370"/>
    <hyperlink ref="A3372" r:id="rId3371"/>
    <hyperlink ref="A3373" r:id="rId3372"/>
    <hyperlink ref="A3374" r:id="rId3373"/>
    <hyperlink ref="A3375" r:id="rId3374"/>
    <hyperlink ref="A3376" r:id="rId3375"/>
    <hyperlink ref="A3377" r:id="rId3376"/>
    <hyperlink ref="A3378" r:id="rId3377"/>
    <hyperlink ref="A3379" r:id="rId3378"/>
    <hyperlink ref="A3380" r:id="rId3379"/>
    <hyperlink ref="A3381" r:id="rId3380"/>
    <hyperlink ref="A3382" r:id="rId3381"/>
    <hyperlink ref="A3383" r:id="rId3382"/>
    <hyperlink ref="A3384" r:id="rId3383"/>
    <hyperlink ref="A3385" r:id="rId3384"/>
    <hyperlink ref="A3386" r:id="rId3385"/>
    <hyperlink ref="A3387" r:id="rId3386"/>
    <hyperlink ref="A3388" r:id="rId3387"/>
    <hyperlink ref="A3389" r:id="rId3388"/>
    <hyperlink ref="A3390" r:id="rId3389"/>
    <hyperlink ref="A3391" r:id="rId3390"/>
    <hyperlink ref="A3392" r:id="rId3391"/>
    <hyperlink ref="A3393" r:id="rId3392"/>
    <hyperlink ref="A3394" r:id="rId3393"/>
    <hyperlink ref="A3395" r:id="rId3394"/>
    <hyperlink ref="A3396" r:id="rId3395"/>
    <hyperlink ref="A3397" r:id="rId3396"/>
    <hyperlink ref="A3398" r:id="rId3397"/>
    <hyperlink ref="A3399" r:id="rId3398"/>
    <hyperlink ref="A3400" r:id="rId3399"/>
    <hyperlink ref="A3401" r:id="rId3400"/>
    <hyperlink ref="A3402" r:id="rId3401"/>
    <hyperlink ref="A3403" r:id="rId3402"/>
    <hyperlink ref="A3404" r:id="rId3403"/>
    <hyperlink ref="A3405" r:id="rId3404"/>
    <hyperlink ref="A3406" r:id="rId3405"/>
    <hyperlink ref="A3407" r:id="rId3406"/>
    <hyperlink ref="A3408" r:id="rId3407"/>
    <hyperlink ref="A3409" r:id="rId3408"/>
    <hyperlink ref="A3410" r:id="rId3409"/>
    <hyperlink ref="A3411" r:id="rId3410"/>
    <hyperlink ref="A3412" r:id="rId3411"/>
    <hyperlink ref="A3413" r:id="rId3412"/>
    <hyperlink ref="A3414" r:id="rId3413"/>
    <hyperlink ref="A3415" r:id="rId3414"/>
    <hyperlink ref="A3416" r:id="rId3415"/>
    <hyperlink ref="A3417" r:id="rId3416"/>
    <hyperlink ref="A3418" r:id="rId3417"/>
    <hyperlink ref="A3419" r:id="rId3418"/>
    <hyperlink ref="A3420" r:id="rId3419"/>
    <hyperlink ref="A3421" r:id="rId3420"/>
    <hyperlink ref="A3422" r:id="rId3421"/>
    <hyperlink ref="A3423" r:id="rId3422"/>
    <hyperlink ref="A3424" r:id="rId3423"/>
    <hyperlink ref="A3425" r:id="rId3424"/>
    <hyperlink ref="A3426" r:id="rId3425"/>
    <hyperlink ref="A3427" r:id="rId3426"/>
    <hyperlink ref="A3428" r:id="rId3427"/>
    <hyperlink ref="A3429" r:id="rId3428"/>
    <hyperlink ref="A3430" r:id="rId3429"/>
    <hyperlink ref="A3431" r:id="rId3430"/>
    <hyperlink ref="A3432" r:id="rId3431"/>
    <hyperlink ref="A3433" r:id="rId3432"/>
    <hyperlink ref="A3434" r:id="rId3433"/>
    <hyperlink ref="A3435" r:id="rId3434"/>
    <hyperlink ref="A3436" r:id="rId3435"/>
    <hyperlink ref="A3437" r:id="rId3436"/>
    <hyperlink ref="A3438" r:id="rId3437"/>
    <hyperlink ref="A3439" r:id="rId3438"/>
    <hyperlink ref="A3440" r:id="rId3439"/>
    <hyperlink ref="A3441" r:id="rId3440"/>
    <hyperlink ref="A3442" r:id="rId3441"/>
    <hyperlink ref="A3443" r:id="rId3442"/>
    <hyperlink ref="A3444" r:id="rId3443"/>
    <hyperlink ref="A3445" r:id="rId3444"/>
    <hyperlink ref="A3446" r:id="rId3445"/>
    <hyperlink ref="A3447" r:id="rId3446"/>
    <hyperlink ref="A3448" r:id="rId3447"/>
    <hyperlink ref="A3449" r:id="rId3448"/>
    <hyperlink ref="A3450" r:id="rId3449"/>
    <hyperlink ref="A3451" r:id="rId3450"/>
    <hyperlink ref="A3452" r:id="rId3451"/>
    <hyperlink ref="A3453" r:id="rId3452"/>
    <hyperlink ref="A3454" r:id="rId3453"/>
    <hyperlink ref="A3455" r:id="rId3454"/>
    <hyperlink ref="A3456" r:id="rId3455"/>
    <hyperlink ref="A3457" r:id="rId3456"/>
    <hyperlink ref="A3458" r:id="rId3457"/>
    <hyperlink ref="A3459" r:id="rId3458"/>
    <hyperlink ref="A3460" r:id="rId3459"/>
    <hyperlink ref="A3461" r:id="rId3460"/>
    <hyperlink ref="A3462" r:id="rId3461"/>
    <hyperlink ref="A3463" r:id="rId3462"/>
    <hyperlink ref="A3464" r:id="rId3463"/>
    <hyperlink ref="A3465" r:id="rId3464"/>
    <hyperlink ref="A3466" r:id="rId3465"/>
    <hyperlink ref="A3467" r:id="rId3466"/>
    <hyperlink ref="A3468" r:id="rId3467"/>
    <hyperlink ref="A3469" r:id="rId3468"/>
    <hyperlink ref="A3470" r:id="rId3469"/>
    <hyperlink ref="A3471" r:id="rId3470"/>
    <hyperlink ref="A3472" r:id="rId3471"/>
    <hyperlink ref="A3473" r:id="rId3472"/>
    <hyperlink ref="A3474" r:id="rId3473"/>
    <hyperlink ref="A3475" r:id="rId3474"/>
    <hyperlink ref="A3476" r:id="rId3475"/>
    <hyperlink ref="A3477" r:id="rId3476"/>
    <hyperlink ref="A3478" r:id="rId3477"/>
    <hyperlink ref="A3479" r:id="rId3478"/>
    <hyperlink ref="A3480" r:id="rId3479"/>
    <hyperlink ref="A3481" r:id="rId3480"/>
    <hyperlink ref="A3482" r:id="rId3481"/>
    <hyperlink ref="A3483" r:id="rId3482"/>
    <hyperlink ref="A3484" r:id="rId3483"/>
    <hyperlink ref="A3485" r:id="rId3484"/>
    <hyperlink ref="A3486" r:id="rId3485"/>
    <hyperlink ref="A3487" r:id="rId3486"/>
    <hyperlink ref="A3488" r:id="rId3487"/>
    <hyperlink ref="A3489" r:id="rId3488"/>
    <hyperlink ref="A3490" r:id="rId3489"/>
    <hyperlink ref="A3491" r:id="rId3490"/>
    <hyperlink ref="A3492" r:id="rId3491"/>
    <hyperlink ref="A3493" r:id="rId3492"/>
    <hyperlink ref="A3494" r:id="rId3493"/>
    <hyperlink ref="A3495" r:id="rId3494"/>
    <hyperlink ref="A3496" r:id="rId3495"/>
    <hyperlink ref="A3497" r:id="rId3496"/>
    <hyperlink ref="A3498" r:id="rId3497"/>
    <hyperlink ref="A3499" r:id="rId3498"/>
    <hyperlink ref="A3500" r:id="rId3499"/>
    <hyperlink ref="A3501" r:id="rId3500"/>
    <hyperlink ref="A3502" r:id="rId3501"/>
    <hyperlink ref="A3503" r:id="rId3502"/>
    <hyperlink ref="A3504" r:id="rId3503"/>
    <hyperlink ref="A3505" r:id="rId3504"/>
    <hyperlink ref="A3506" r:id="rId3505"/>
    <hyperlink ref="A3507" r:id="rId3506"/>
    <hyperlink ref="A3508" r:id="rId3507"/>
    <hyperlink ref="A3509" r:id="rId3508"/>
    <hyperlink ref="A3510" r:id="rId3509"/>
    <hyperlink ref="A3511" r:id="rId3510"/>
    <hyperlink ref="A3512" r:id="rId3511"/>
    <hyperlink ref="A3513" r:id="rId3512"/>
    <hyperlink ref="A3514" r:id="rId3513"/>
    <hyperlink ref="A3515" r:id="rId3514"/>
    <hyperlink ref="A3516" r:id="rId3515"/>
    <hyperlink ref="A3517" r:id="rId3516"/>
    <hyperlink ref="A3518" r:id="rId3517"/>
    <hyperlink ref="A3519" r:id="rId3518"/>
    <hyperlink ref="A3520" r:id="rId3519"/>
    <hyperlink ref="A3521" r:id="rId3520"/>
    <hyperlink ref="A3522" r:id="rId3521"/>
    <hyperlink ref="A3523" r:id="rId3522"/>
    <hyperlink ref="A3524" r:id="rId3523"/>
    <hyperlink ref="A3525" r:id="rId3524"/>
    <hyperlink ref="A3526" r:id="rId3525"/>
    <hyperlink ref="A3527" r:id="rId3526"/>
    <hyperlink ref="A3528" r:id="rId3527"/>
    <hyperlink ref="A3529" r:id="rId3528"/>
    <hyperlink ref="A3530" r:id="rId3529"/>
    <hyperlink ref="A3531" r:id="rId3530"/>
    <hyperlink ref="A3532" r:id="rId3531"/>
    <hyperlink ref="A3533" r:id="rId3532"/>
    <hyperlink ref="A3534" r:id="rId3533"/>
    <hyperlink ref="A3535" r:id="rId3534"/>
    <hyperlink ref="A3536" r:id="rId3535"/>
    <hyperlink ref="A3537" r:id="rId3536"/>
    <hyperlink ref="A3538" r:id="rId3537"/>
    <hyperlink ref="A3539" r:id="rId3538"/>
    <hyperlink ref="A3540" r:id="rId3539"/>
    <hyperlink ref="A3541" r:id="rId3540"/>
    <hyperlink ref="A3542" r:id="rId3541"/>
    <hyperlink ref="A3543" r:id="rId3542"/>
    <hyperlink ref="A3544" r:id="rId3543"/>
    <hyperlink ref="A3545" r:id="rId3544"/>
    <hyperlink ref="A3546" r:id="rId3545"/>
    <hyperlink ref="A3547" r:id="rId3546"/>
    <hyperlink ref="A3548" r:id="rId3547"/>
    <hyperlink ref="A3549" r:id="rId3548"/>
    <hyperlink ref="A3550" r:id="rId3549"/>
    <hyperlink ref="A3551" r:id="rId3550"/>
    <hyperlink ref="A3552" r:id="rId3551"/>
    <hyperlink ref="A3553" r:id="rId3552"/>
    <hyperlink ref="A3554" r:id="rId3553"/>
    <hyperlink ref="A3555" r:id="rId3554"/>
    <hyperlink ref="A3556" r:id="rId3555"/>
    <hyperlink ref="A3557" r:id="rId3556"/>
    <hyperlink ref="A3558" r:id="rId3557"/>
    <hyperlink ref="A3559" r:id="rId3558"/>
    <hyperlink ref="A3560" r:id="rId3559"/>
    <hyperlink ref="A3561" r:id="rId3560"/>
    <hyperlink ref="A3562" r:id="rId3561"/>
    <hyperlink ref="A3563" r:id="rId3562"/>
    <hyperlink ref="A3564" r:id="rId3563"/>
    <hyperlink ref="A3565" r:id="rId3564"/>
    <hyperlink ref="A3566" r:id="rId3565"/>
    <hyperlink ref="A3567" r:id="rId3566"/>
    <hyperlink ref="A3568" r:id="rId3567"/>
    <hyperlink ref="A3569" r:id="rId3568"/>
    <hyperlink ref="A3570" r:id="rId3569"/>
    <hyperlink ref="A3571" r:id="rId3570"/>
    <hyperlink ref="A3572" r:id="rId3571"/>
    <hyperlink ref="A3573" r:id="rId3572"/>
    <hyperlink ref="A3574" r:id="rId3573"/>
    <hyperlink ref="A3575" r:id="rId3574"/>
    <hyperlink ref="A3576" r:id="rId3575"/>
    <hyperlink ref="A3577" r:id="rId3576"/>
    <hyperlink ref="A3578" r:id="rId3577"/>
    <hyperlink ref="A3579" r:id="rId3578"/>
    <hyperlink ref="A3580" r:id="rId3579"/>
    <hyperlink ref="A3581" r:id="rId3580"/>
    <hyperlink ref="A3582" r:id="rId3581"/>
    <hyperlink ref="A3583" r:id="rId3582"/>
    <hyperlink ref="A3584" r:id="rId3583"/>
    <hyperlink ref="A3585" r:id="rId3584"/>
    <hyperlink ref="A3586" r:id="rId3585"/>
    <hyperlink ref="A3587" r:id="rId3586"/>
    <hyperlink ref="A3588" r:id="rId3587"/>
    <hyperlink ref="A3589" r:id="rId3588"/>
    <hyperlink ref="A3590" r:id="rId3589"/>
    <hyperlink ref="A3591" r:id="rId3590"/>
    <hyperlink ref="A3592" r:id="rId3591"/>
    <hyperlink ref="A3593" r:id="rId3592"/>
    <hyperlink ref="A3594" r:id="rId3593"/>
    <hyperlink ref="A3595" r:id="rId3594"/>
    <hyperlink ref="A3596" r:id="rId3595"/>
    <hyperlink ref="A3597" r:id="rId3596"/>
    <hyperlink ref="A3598" r:id="rId3597"/>
    <hyperlink ref="A3599" r:id="rId3598"/>
    <hyperlink ref="A3600" r:id="rId3599"/>
    <hyperlink ref="A3601" r:id="rId3600"/>
    <hyperlink ref="A3602" r:id="rId3601"/>
    <hyperlink ref="A3603" r:id="rId3602"/>
    <hyperlink ref="A3604" r:id="rId3603"/>
    <hyperlink ref="A3605" r:id="rId3604"/>
    <hyperlink ref="A3606" r:id="rId3605"/>
    <hyperlink ref="A3607" r:id="rId3606"/>
    <hyperlink ref="A3608" r:id="rId3607"/>
    <hyperlink ref="A3609" r:id="rId3608"/>
    <hyperlink ref="A3610" r:id="rId3609"/>
    <hyperlink ref="A3611" r:id="rId3610"/>
    <hyperlink ref="A3612" r:id="rId3611"/>
    <hyperlink ref="A3613" r:id="rId3612"/>
    <hyperlink ref="A3614" r:id="rId3613"/>
    <hyperlink ref="A3615" r:id="rId3614"/>
    <hyperlink ref="A3616" r:id="rId3615"/>
    <hyperlink ref="A3617" r:id="rId3616"/>
    <hyperlink ref="A3618" r:id="rId3617"/>
    <hyperlink ref="A3619" r:id="rId3618"/>
    <hyperlink ref="A3620" r:id="rId3619"/>
    <hyperlink ref="A3621" r:id="rId3620"/>
    <hyperlink ref="A3622" r:id="rId3621"/>
    <hyperlink ref="A3623" r:id="rId3622"/>
    <hyperlink ref="A3624" r:id="rId3623"/>
    <hyperlink ref="A3625" r:id="rId3624"/>
    <hyperlink ref="A3626" r:id="rId3625"/>
    <hyperlink ref="A3627" r:id="rId3626"/>
    <hyperlink ref="A3628" r:id="rId3627"/>
    <hyperlink ref="A3629" r:id="rId3628"/>
    <hyperlink ref="A3630" r:id="rId3629"/>
    <hyperlink ref="A3631" r:id="rId3630"/>
    <hyperlink ref="A3632" r:id="rId3631"/>
    <hyperlink ref="A3633" r:id="rId3632"/>
    <hyperlink ref="A3634" r:id="rId3633"/>
    <hyperlink ref="A3635" r:id="rId3634"/>
    <hyperlink ref="A3636" r:id="rId3635"/>
    <hyperlink ref="A3637" r:id="rId3636"/>
    <hyperlink ref="A3638" r:id="rId3637"/>
    <hyperlink ref="A3639" r:id="rId3638"/>
    <hyperlink ref="A3640" r:id="rId3639"/>
    <hyperlink ref="A3641" r:id="rId3640"/>
    <hyperlink ref="A3642" r:id="rId3641"/>
    <hyperlink ref="A3643" r:id="rId3642"/>
    <hyperlink ref="A3644" r:id="rId3643"/>
    <hyperlink ref="A3645" r:id="rId3644"/>
    <hyperlink ref="A3646" r:id="rId3645"/>
    <hyperlink ref="A3647" r:id="rId3646"/>
    <hyperlink ref="A3648" r:id="rId3647"/>
    <hyperlink ref="A3649" r:id="rId3648"/>
    <hyperlink ref="A3650" r:id="rId3649"/>
    <hyperlink ref="A3651" r:id="rId3650"/>
    <hyperlink ref="A3652" r:id="rId3651"/>
    <hyperlink ref="A3653" r:id="rId3652"/>
    <hyperlink ref="A3654" r:id="rId3653"/>
    <hyperlink ref="A3655" r:id="rId3654"/>
    <hyperlink ref="A3656" r:id="rId3655"/>
    <hyperlink ref="A3657" r:id="rId3656"/>
    <hyperlink ref="A3658" r:id="rId3657"/>
    <hyperlink ref="A3659" r:id="rId3658"/>
    <hyperlink ref="A3660" r:id="rId3659"/>
    <hyperlink ref="A3661" r:id="rId3660"/>
    <hyperlink ref="A3662" r:id="rId3661"/>
    <hyperlink ref="A3663" r:id="rId3662"/>
    <hyperlink ref="A3664" r:id="rId3663"/>
    <hyperlink ref="A3665" r:id="rId3664"/>
    <hyperlink ref="A3666" r:id="rId3665"/>
    <hyperlink ref="A3667" r:id="rId3666"/>
    <hyperlink ref="A3668" r:id="rId3667"/>
    <hyperlink ref="A3669" r:id="rId3668"/>
    <hyperlink ref="A3670" r:id="rId3669"/>
    <hyperlink ref="A3671" r:id="rId3670"/>
    <hyperlink ref="A3672" r:id="rId3671"/>
    <hyperlink ref="A3673" r:id="rId3672"/>
    <hyperlink ref="A3674" r:id="rId3673"/>
    <hyperlink ref="A3675" r:id="rId3674"/>
    <hyperlink ref="A3676" r:id="rId3675"/>
    <hyperlink ref="A3677" r:id="rId3676"/>
    <hyperlink ref="A3678" r:id="rId3677"/>
    <hyperlink ref="A3679" r:id="rId3678"/>
    <hyperlink ref="A3680" r:id="rId3679"/>
    <hyperlink ref="A3681" r:id="rId3680"/>
    <hyperlink ref="A3682" r:id="rId3681"/>
    <hyperlink ref="A3683" r:id="rId3682"/>
    <hyperlink ref="A3684" r:id="rId3683"/>
    <hyperlink ref="A3685" r:id="rId3684"/>
    <hyperlink ref="A3686" r:id="rId3685"/>
    <hyperlink ref="A3687" r:id="rId3686"/>
    <hyperlink ref="A3688" r:id="rId3687"/>
    <hyperlink ref="A3689" r:id="rId3688"/>
    <hyperlink ref="A3690" r:id="rId3689"/>
    <hyperlink ref="A3691" r:id="rId3690"/>
    <hyperlink ref="A3692" r:id="rId3691"/>
    <hyperlink ref="A3693" r:id="rId3692"/>
    <hyperlink ref="A3694" r:id="rId3693"/>
    <hyperlink ref="A3695" r:id="rId3694"/>
    <hyperlink ref="A3696" r:id="rId3695"/>
    <hyperlink ref="A3697" r:id="rId3696"/>
    <hyperlink ref="A3698" r:id="rId3697"/>
    <hyperlink ref="A3699" r:id="rId3698"/>
    <hyperlink ref="A3700" r:id="rId3699"/>
    <hyperlink ref="A3701" r:id="rId3700"/>
    <hyperlink ref="A3702" r:id="rId3701"/>
    <hyperlink ref="A3703" r:id="rId3702"/>
    <hyperlink ref="A3704" r:id="rId3703"/>
    <hyperlink ref="A3705" r:id="rId3704"/>
    <hyperlink ref="A3706" r:id="rId3705"/>
    <hyperlink ref="A3707" r:id="rId3706"/>
    <hyperlink ref="A3708" r:id="rId3707"/>
    <hyperlink ref="A3709" r:id="rId3708"/>
    <hyperlink ref="A3710" r:id="rId3709"/>
    <hyperlink ref="A3711" r:id="rId3710"/>
    <hyperlink ref="A3712" r:id="rId3711"/>
    <hyperlink ref="A3713" r:id="rId3712"/>
    <hyperlink ref="A3714" r:id="rId3713"/>
    <hyperlink ref="A3715" r:id="rId3714"/>
    <hyperlink ref="A3716" r:id="rId3715"/>
    <hyperlink ref="A3717" r:id="rId3716"/>
    <hyperlink ref="A3718" r:id="rId3717"/>
    <hyperlink ref="A3719" r:id="rId3718"/>
    <hyperlink ref="A3720" r:id="rId3719"/>
    <hyperlink ref="A3721" r:id="rId3720"/>
    <hyperlink ref="A3722" r:id="rId3721"/>
    <hyperlink ref="A3723" r:id="rId3722"/>
    <hyperlink ref="A3724" r:id="rId3723"/>
    <hyperlink ref="A3725" r:id="rId3724"/>
    <hyperlink ref="A3726" r:id="rId3725"/>
    <hyperlink ref="A3727" r:id="rId3726"/>
    <hyperlink ref="A3728" r:id="rId3727"/>
    <hyperlink ref="A3729" r:id="rId3728"/>
    <hyperlink ref="A3730" r:id="rId3729"/>
    <hyperlink ref="A3731" r:id="rId3730"/>
    <hyperlink ref="A3732" r:id="rId3731"/>
    <hyperlink ref="A3733" r:id="rId3732"/>
    <hyperlink ref="A3734" r:id="rId3733"/>
    <hyperlink ref="A3735" r:id="rId3734"/>
    <hyperlink ref="A3736" r:id="rId3735"/>
    <hyperlink ref="A3737" r:id="rId3736"/>
    <hyperlink ref="A3738" r:id="rId3737"/>
    <hyperlink ref="A3739" r:id="rId3738"/>
    <hyperlink ref="A3740" r:id="rId3739"/>
    <hyperlink ref="A3741" r:id="rId3740"/>
    <hyperlink ref="A3742" r:id="rId3741"/>
    <hyperlink ref="A3743" r:id="rId3742"/>
    <hyperlink ref="A3744" r:id="rId3743"/>
    <hyperlink ref="A3745" r:id="rId3744"/>
    <hyperlink ref="A3746" r:id="rId3745"/>
    <hyperlink ref="A3747" r:id="rId3746"/>
    <hyperlink ref="A3748" r:id="rId3747"/>
    <hyperlink ref="A3749" r:id="rId3748"/>
    <hyperlink ref="A3750" r:id="rId3749"/>
    <hyperlink ref="A3751" r:id="rId3750"/>
    <hyperlink ref="A3752" r:id="rId3751"/>
    <hyperlink ref="A3753" r:id="rId3752"/>
    <hyperlink ref="A3754" r:id="rId3753"/>
    <hyperlink ref="A3755" r:id="rId3754"/>
    <hyperlink ref="A3756" r:id="rId3755"/>
    <hyperlink ref="A3757" r:id="rId3756"/>
    <hyperlink ref="A3758" r:id="rId3757"/>
    <hyperlink ref="A3759" r:id="rId3758"/>
    <hyperlink ref="A3760" r:id="rId3759"/>
    <hyperlink ref="A3761" r:id="rId3760"/>
    <hyperlink ref="A3762" r:id="rId3761"/>
    <hyperlink ref="A3763" r:id="rId3762"/>
    <hyperlink ref="A3764" r:id="rId3763"/>
    <hyperlink ref="A3765" r:id="rId3764"/>
    <hyperlink ref="A3766" r:id="rId3765"/>
    <hyperlink ref="A3767" r:id="rId3766"/>
    <hyperlink ref="A3768" r:id="rId3767"/>
    <hyperlink ref="A3769" r:id="rId3768"/>
    <hyperlink ref="A3770" r:id="rId3769"/>
    <hyperlink ref="A3771" r:id="rId3770"/>
    <hyperlink ref="A3772" r:id="rId3771"/>
    <hyperlink ref="A3773" r:id="rId3772"/>
    <hyperlink ref="A3774" r:id="rId3773"/>
    <hyperlink ref="A3775" r:id="rId3774"/>
    <hyperlink ref="A3776" r:id="rId3775"/>
    <hyperlink ref="A3777" r:id="rId3776"/>
    <hyperlink ref="A3778" r:id="rId3777"/>
    <hyperlink ref="A3779" r:id="rId3778"/>
    <hyperlink ref="A3780" r:id="rId3779"/>
    <hyperlink ref="A3781" r:id="rId3780"/>
    <hyperlink ref="A3782" r:id="rId3781"/>
    <hyperlink ref="A3783" r:id="rId3782"/>
    <hyperlink ref="A3784" r:id="rId3783"/>
    <hyperlink ref="A3785" r:id="rId3784"/>
    <hyperlink ref="A3786" r:id="rId3785"/>
    <hyperlink ref="A3787" r:id="rId3786"/>
    <hyperlink ref="A3788" r:id="rId3787"/>
    <hyperlink ref="A3789" r:id="rId3788"/>
    <hyperlink ref="A3790" r:id="rId3789"/>
    <hyperlink ref="A3791" r:id="rId3790"/>
    <hyperlink ref="A3792" r:id="rId3791"/>
    <hyperlink ref="A3793" r:id="rId3792"/>
    <hyperlink ref="A3794" r:id="rId3793"/>
    <hyperlink ref="A3795" r:id="rId3794"/>
    <hyperlink ref="A3796" r:id="rId3795"/>
    <hyperlink ref="A3797" r:id="rId3796"/>
    <hyperlink ref="A3798" r:id="rId3797"/>
    <hyperlink ref="A3799" r:id="rId3798"/>
    <hyperlink ref="A3800" r:id="rId3799"/>
    <hyperlink ref="A3801" r:id="rId3800"/>
    <hyperlink ref="A3802" r:id="rId3801"/>
    <hyperlink ref="A3803" r:id="rId3802"/>
    <hyperlink ref="A3804" r:id="rId3803"/>
    <hyperlink ref="A3805" r:id="rId3804"/>
    <hyperlink ref="A3806" r:id="rId3805"/>
    <hyperlink ref="A3807" r:id="rId3806"/>
    <hyperlink ref="A3808" r:id="rId3807"/>
    <hyperlink ref="A3809" r:id="rId3808"/>
    <hyperlink ref="A3810" r:id="rId3809"/>
    <hyperlink ref="A3811" r:id="rId3810"/>
    <hyperlink ref="A3812" r:id="rId3811"/>
    <hyperlink ref="A3813" r:id="rId3812"/>
    <hyperlink ref="A3814" r:id="rId3813"/>
    <hyperlink ref="A3815" r:id="rId3814"/>
    <hyperlink ref="A3816" r:id="rId3815"/>
    <hyperlink ref="A3817" r:id="rId3816"/>
    <hyperlink ref="A3818" r:id="rId3817"/>
    <hyperlink ref="A3819" r:id="rId3818"/>
    <hyperlink ref="A3820" r:id="rId3819"/>
    <hyperlink ref="A3821" r:id="rId3820"/>
    <hyperlink ref="A3822" r:id="rId3821"/>
    <hyperlink ref="A3823" r:id="rId3822"/>
    <hyperlink ref="A3824" r:id="rId3823"/>
    <hyperlink ref="A3825" r:id="rId3824"/>
    <hyperlink ref="A3826" r:id="rId3825"/>
    <hyperlink ref="A3827" r:id="rId3826"/>
    <hyperlink ref="A3828" r:id="rId3827"/>
    <hyperlink ref="A3829" r:id="rId3828"/>
    <hyperlink ref="A3830" r:id="rId3829"/>
    <hyperlink ref="A3831" r:id="rId3830"/>
    <hyperlink ref="A3832" r:id="rId3831"/>
    <hyperlink ref="A3833" r:id="rId3832"/>
    <hyperlink ref="A3834" r:id="rId3833"/>
    <hyperlink ref="A3835" r:id="rId3834"/>
    <hyperlink ref="A3836" r:id="rId3835"/>
    <hyperlink ref="A3837" r:id="rId3836"/>
    <hyperlink ref="A3838" r:id="rId3837"/>
    <hyperlink ref="A3839" r:id="rId3838"/>
    <hyperlink ref="A3840" r:id="rId3839"/>
    <hyperlink ref="A3841" r:id="rId3840"/>
    <hyperlink ref="A3842" r:id="rId3841"/>
    <hyperlink ref="A3843" r:id="rId3842"/>
    <hyperlink ref="A3844" r:id="rId3843"/>
    <hyperlink ref="A3845" r:id="rId3844"/>
    <hyperlink ref="A3846" r:id="rId3845"/>
    <hyperlink ref="A3847" r:id="rId3846"/>
    <hyperlink ref="A3848" r:id="rId3847"/>
    <hyperlink ref="A3849" r:id="rId3848"/>
    <hyperlink ref="A3850" r:id="rId3849"/>
    <hyperlink ref="A3851" r:id="rId3850"/>
    <hyperlink ref="A3852" r:id="rId3851"/>
    <hyperlink ref="A3853" r:id="rId3852"/>
    <hyperlink ref="A3854" r:id="rId3853"/>
    <hyperlink ref="A3855" r:id="rId3854"/>
    <hyperlink ref="A3856" r:id="rId3855"/>
    <hyperlink ref="A3857" r:id="rId3856"/>
    <hyperlink ref="A3858" r:id="rId3857"/>
    <hyperlink ref="A3859" r:id="rId3858"/>
    <hyperlink ref="A3860" r:id="rId3859"/>
    <hyperlink ref="A3861" r:id="rId3860"/>
    <hyperlink ref="A3862" r:id="rId3861"/>
    <hyperlink ref="A3863" r:id="rId3862"/>
    <hyperlink ref="A3864" r:id="rId3863"/>
    <hyperlink ref="A3865" r:id="rId3864"/>
    <hyperlink ref="A3866" r:id="rId3865"/>
    <hyperlink ref="A3867" r:id="rId3866"/>
    <hyperlink ref="A3868" r:id="rId3867"/>
    <hyperlink ref="A3869" r:id="rId3868"/>
    <hyperlink ref="A3870" r:id="rId3869"/>
    <hyperlink ref="A3871" r:id="rId3870"/>
    <hyperlink ref="A3872" r:id="rId3871"/>
    <hyperlink ref="A3873" r:id="rId3872"/>
    <hyperlink ref="A3874" r:id="rId3873"/>
    <hyperlink ref="A3875" r:id="rId3874"/>
    <hyperlink ref="A3876" r:id="rId3875"/>
    <hyperlink ref="A3877" r:id="rId3876"/>
    <hyperlink ref="A3878" r:id="rId3877"/>
    <hyperlink ref="A3879" r:id="rId3878"/>
    <hyperlink ref="A3880" r:id="rId3879"/>
    <hyperlink ref="A3881" r:id="rId3880"/>
    <hyperlink ref="A3882" r:id="rId3881"/>
    <hyperlink ref="A3883" r:id="rId3882"/>
    <hyperlink ref="A3884" r:id="rId3883"/>
    <hyperlink ref="A3885" r:id="rId3884"/>
    <hyperlink ref="A3886" r:id="rId3885"/>
    <hyperlink ref="A3887" r:id="rId3886"/>
    <hyperlink ref="A3888" r:id="rId3887"/>
    <hyperlink ref="A3889" r:id="rId3888"/>
    <hyperlink ref="A3890" r:id="rId3889"/>
    <hyperlink ref="A3891" r:id="rId3890"/>
    <hyperlink ref="A3892" r:id="rId3891"/>
    <hyperlink ref="A3893" r:id="rId3892"/>
    <hyperlink ref="A3894" r:id="rId3893"/>
    <hyperlink ref="A3895" r:id="rId3894"/>
    <hyperlink ref="A3896" r:id="rId3895"/>
    <hyperlink ref="A3897" r:id="rId3896"/>
    <hyperlink ref="A3898" r:id="rId3897"/>
    <hyperlink ref="A3899" r:id="rId3898"/>
    <hyperlink ref="A3900" r:id="rId3899"/>
    <hyperlink ref="A3901" r:id="rId3900"/>
    <hyperlink ref="A3902" r:id="rId3901"/>
    <hyperlink ref="A3903" r:id="rId3902"/>
    <hyperlink ref="A3904" r:id="rId3903"/>
    <hyperlink ref="A3905" r:id="rId3904"/>
    <hyperlink ref="A3906" r:id="rId3905"/>
    <hyperlink ref="A3907" r:id="rId3906"/>
    <hyperlink ref="A3908" r:id="rId3907"/>
    <hyperlink ref="A3909" r:id="rId3908"/>
    <hyperlink ref="A3910" r:id="rId3909"/>
    <hyperlink ref="A3911" r:id="rId3910"/>
    <hyperlink ref="A3912" r:id="rId3911"/>
    <hyperlink ref="A3913" r:id="rId3912"/>
    <hyperlink ref="A3914" r:id="rId3913"/>
    <hyperlink ref="A3915" r:id="rId3914"/>
    <hyperlink ref="A3916" r:id="rId3915"/>
    <hyperlink ref="A3917" r:id="rId3916"/>
    <hyperlink ref="A3918" r:id="rId3917"/>
    <hyperlink ref="A3919" r:id="rId3918"/>
    <hyperlink ref="A3920" r:id="rId3919"/>
    <hyperlink ref="A3921" r:id="rId3920"/>
    <hyperlink ref="A3922" r:id="rId3921"/>
    <hyperlink ref="A3923" r:id="rId3922"/>
    <hyperlink ref="A3924" r:id="rId3923"/>
    <hyperlink ref="A3925" r:id="rId3924"/>
    <hyperlink ref="A3926" r:id="rId3925"/>
    <hyperlink ref="A3927" r:id="rId3926"/>
    <hyperlink ref="A3928" r:id="rId3927"/>
    <hyperlink ref="A3929" r:id="rId3928"/>
    <hyperlink ref="A3930" r:id="rId3929"/>
    <hyperlink ref="A3931" r:id="rId3930"/>
    <hyperlink ref="A3932" r:id="rId3931"/>
    <hyperlink ref="A3933" r:id="rId3932"/>
    <hyperlink ref="A3934" r:id="rId3933"/>
    <hyperlink ref="A3935" r:id="rId3934"/>
    <hyperlink ref="A3936" r:id="rId3935"/>
    <hyperlink ref="A3937" r:id="rId3936"/>
    <hyperlink ref="A3938" r:id="rId3937"/>
    <hyperlink ref="A3939" r:id="rId3938"/>
    <hyperlink ref="A3940" r:id="rId3939"/>
    <hyperlink ref="A3941" r:id="rId3940"/>
    <hyperlink ref="A3942" r:id="rId3941"/>
    <hyperlink ref="A3943" r:id="rId3942"/>
    <hyperlink ref="A3944" r:id="rId3943"/>
    <hyperlink ref="A3945" r:id="rId3944"/>
    <hyperlink ref="A3946" r:id="rId3945"/>
    <hyperlink ref="A3947" r:id="rId3946"/>
    <hyperlink ref="A3948" r:id="rId3947"/>
    <hyperlink ref="A3949" r:id="rId3948"/>
    <hyperlink ref="A3950" r:id="rId3949"/>
    <hyperlink ref="A3951" r:id="rId3950"/>
    <hyperlink ref="A3952" r:id="rId3951"/>
    <hyperlink ref="A3953" r:id="rId3952"/>
    <hyperlink ref="A3954" r:id="rId3953"/>
    <hyperlink ref="A3955" r:id="rId3954"/>
    <hyperlink ref="A3956" r:id="rId3955"/>
    <hyperlink ref="A3957" r:id="rId3956"/>
    <hyperlink ref="A3958" r:id="rId3957"/>
    <hyperlink ref="A3959" r:id="rId3958"/>
    <hyperlink ref="A3960" r:id="rId3959"/>
    <hyperlink ref="A3961" r:id="rId3960"/>
    <hyperlink ref="A3962" r:id="rId3961"/>
    <hyperlink ref="A3963" r:id="rId3962"/>
    <hyperlink ref="A3964" r:id="rId3963"/>
    <hyperlink ref="A3965" r:id="rId3964"/>
    <hyperlink ref="A3966" r:id="rId3965"/>
    <hyperlink ref="A3967" r:id="rId3966"/>
    <hyperlink ref="A3968" r:id="rId3967"/>
    <hyperlink ref="A3969" r:id="rId3968"/>
    <hyperlink ref="A3970" r:id="rId3969"/>
    <hyperlink ref="A3971" r:id="rId3970"/>
    <hyperlink ref="A3972" r:id="rId3971"/>
    <hyperlink ref="A3973" r:id="rId3972"/>
    <hyperlink ref="A3974" r:id="rId3973"/>
    <hyperlink ref="A3975" r:id="rId3974"/>
    <hyperlink ref="A3976" r:id="rId3975"/>
    <hyperlink ref="A3977" r:id="rId3976"/>
    <hyperlink ref="A3978" r:id="rId3977"/>
    <hyperlink ref="A3979" r:id="rId3978"/>
    <hyperlink ref="A3980" r:id="rId3979"/>
    <hyperlink ref="A3981" r:id="rId3980"/>
    <hyperlink ref="A3982" r:id="rId3981"/>
    <hyperlink ref="A3983" r:id="rId3982"/>
    <hyperlink ref="A3984" r:id="rId3983"/>
    <hyperlink ref="A3985" r:id="rId3984"/>
    <hyperlink ref="A3986" r:id="rId3985"/>
    <hyperlink ref="A3987" r:id="rId3986"/>
    <hyperlink ref="A3988" r:id="rId3987"/>
    <hyperlink ref="A3989" r:id="rId3988"/>
    <hyperlink ref="A3990" r:id="rId3989"/>
    <hyperlink ref="A3991" r:id="rId3990"/>
    <hyperlink ref="A3992" r:id="rId3991"/>
    <hyperlink ref="A3993" r:id="rId3992"/>
    <hyperlink ref="A3994" r:id="rId3993"/>
    <hyperlink ref="A3995" r:id="rId3994"/>
    <hyperlink ref="A3996" r:id="rId3995"/>
    <hyperlink ref="A3997" r:id="rId3996"/>
    <hyperlink ref="A3998" r:id="rId3997"/>
    <hyperlink ref="A3999" r:id="rId3998"/>
    <hyperlink ref="A4000" r:id="rId3999"/>
    <hyperlink ref="A4001" r:id="rId4000"/>
    <hyperlink ref="A4002" r:id="rId4001"/>
    <hyperlink ref="A4003" r:id="rId4002"/>
    <hyperlink ref="A4004" r:id="rId4003"/>
    <hyperlink ref="A4005" r:id="rId4004"/>
    <hyperlink ref="A4006" r:id="rId4005"/>
    <hyperlink ref="A4007" r:id="rId4006"/>
    <hyperlink ref="A4008" r:id="rId4007"/>
    <hyperlink ref="A4009" r:id="rId4008"/>
    <hyperlink ref="A4010" r:id="rId4009"/>
    <hyperlink ref="A4011" r:id="rId4010"/>
    <hyperlink ref="A4012" r:id="rId4011"/>
    <hyperlink ref="A4013" r:id="rId4012"/>
    <hyperlink ref="A4014" r:id="rId4013"/>
    <hyperlink ref="A4015" r:id="rId4014"/>
    <hyperlink ref="A4016" r:id="rId4015"/>
    <hyperlink ref="A4017" r:id="rId4016"/>
    <hyperlink ref="A4018" r:id="rId4017"/>
    <hyperlink ref="A4019" r:id="rId4018"/>
    <hyperlink ref="A4020" r:id="rId4019"/>
    <hyperlink ref="A4021" r:id="rId4020"/>
    <hyperlink ref="A4022" r:id="rId4021"/>
    <hyperlink ref="A4023" r:id="rId4022"/>
    <hyperlink ref="A4024" r:id="rId4023"/>
    <hyperlink ref="A4025" r:id="rId4024"/>
    <hyperlink ref="A4026" r:id="rId4025"/>
    <hyperlink ref="A4027" r:id="rId4026"/>
    <hyperlink ref="A4028" r:id="rId4027"/>
    <hyperlink ref="A4029" r:id="rId4028"/>
    <hyperlink ref="A4030" r:id="rId4029"/>
    <hyperlink ref="A4031" r:id="rId4030"/>
    <hyperlink ref="A4032" r:id="rId4031"/>
    <hyperlink ref="A4033" r:id="rId4032"/>
    <hyperlink ref="A4034" r:id="rId4033"/>
    <hyperlink ref="A4035" r:id="rId4034"/>
    <hyperlink ref="A4036" r:id="rId4035"/>
    <hyperlink ref="A4037" r:id="rId4036"/>
    <hyperlink ref="A4038" r:id="rId4037"/>
    <hyperlink ref="A4039" r:id="rId4038"/>
    <hyperlink ref="A4040" r:id="rId4039"/>
    <hyperlink ref="A4041" r:id="rId4040"/>
    <hyperlink ref="A4042" r:id="rId4041"/>
    <hyperlink ref="A4043" r:id="rId4042"/>
    <hyperlink ref="A4044" r:id="rId4043"/>
    <hyperlink ref="A4045" r:id="rId4044"/>
    <hyperlink ref="A4046" r:id="rId4045"/>
    <hyperlink ref="A4047" r:id="rId4046"/>
    <hyperlink ref="A4048" r:id="rId4047"/>
    <hyperlink ref="A4049" r:id="rId4048"/>
    <hyperlink ref="A4050" r:id="rId4049"/>
    <hyperlink ref="A4051" r:id="rId4050"/>
    <hyperlink ref="A4052" r:id="rId4051"/>
    <hyperlink ref="A4053" r:id="rId4052"/>
    <hyperlink ref="A4054" r:id="rId4053"/>
    <hyperlink ref="A4055" r:id="rId4054"/>
    <hyperlink ref="A4056" r:id="rId4055"/>
    <hyperlink ref="A4057" r:id="rId4056"/>
    <hyperlink ref="A4058" r:id="rId4057"/>
    <hyperlink ref="A4059" r:id="rId4058"/>
    <hyperlink ref="A4060" r:id="rId4059"/>
    <hyperlink ref="A4061" r:id="rId4060"/>
    <hyperlink ref="A4062" r:id="rId4061"/>
    <hyperlink ref="A4063" r:id="rId4062"/>
    <hyperlink ref="A4064" r:id="rId4063"/>
    <hyperlink ref="A4065" r:id="rId4064"/>
    <hyperlink ref="A4066" r:id="rId4065"/>
    <hyperlink ref="A4067" r:id="rId4066"/>
    <hyperlink ref="A4068" r:id="rId4067"/>
    <hyperlink ref="A4069" r:id="rId4068"/>
    <hyperlink ref="A4070" r:id="rId4069"/>
    <hyperlink ref="A4071" r:id="rId4070"/>
    <hyperlink ref="A4072" r:id="rId4071"/>
    <hyperlink ref="A4073" r:id="rId4072"/>
    <hyperlink ref="A4074" r:id="rId4073"/>
    <hyperlink ref="A4075" r:id="rId4074"/>
    <hyperlink ref="A4076" r:id="rId4075"/>
    <hyperlink ref="A4077" r:id="rId4076"/>
    <hyperlink ref="A4078" r:id="rId4077"/>
    <hyperlink ref="A4079" r:id="rId4078"/>
    <hyperlink ref="A4080" r:id="rId4079"/>
    <hyperlink ref="A4081" r:id="rId4080"/>
    <hyperlink ref="A4082" r:id="rId4081"/>
    <hyperlink ref="A4083" r:id="rId4082"/>
    <hyperlink ref="A4084" r:id="rId4083"/>
    <hyperlink ref="A4085" r:id="rId4084"/>
    <hyperlink ref="A4086" r:id="rId4085"/>
    <hyperlink ref="A4087" r:id="rId4086"/>
    <hyperlink ref="A4088" r:id="rId4087"/>
    <hyperlink ref="A4089" r:id="rId4088"/>
    <hyperlink ref="A4090" r:id="rId4089"/>
    <hyperlink ref="A4091" r:id="rId4090"/>
    <hyperlink ref="A4092" r:id="rId4091"/>
    <hyperlink ref="A4093" r:id="rId4092"/>
    <hyperlink ref="A4094" r:id="rId4093"/>
    <hyperlink ref="A4095" r:id="rId4094"/>
    <hyperlink ref="A4096" r:id="rId4095"/>
    <hyperlink ref="A4097" r:id="rId4096"/>
    <hyperlink ref="A4098" r:id="rId4097"/>
    <hyperlink ref="A4099" r:id="rId4098"/>
    <hyperlink ref="A4100" r:id="rId4099"/>
    <hyperlink ref="A4101" r:id="rId4100"/>
    <hyperlink ref="A4102" r:id="rId4101"/>
    <hyperlink ref="A4103" r:id="rId4102"/>
    <hyperlink ref="A4104" r:id="rId4103"/>
    <hyperlink ref="A4105" r:id="rId4104"/>
    <hyperlink ref="A4106" r:id="rId4105"/>
    <hyperlink ref="A4107" r:id="rId4106"/>
    <hyperlink ref="A4108" r:id="rId4107"/>
    <hyperlink ref="A4109" r:id="rId4108"/>
    <hyperlink ref="A4110" r:id="rId4109"/>
    <hyperlink ref="A4111" r:id="rId4110"/>
    <hyperlink ref="A4112" r:id="rId4111"/>
    <hyperlink ref="A4113" r:id="rId4112"/>
    <hyperlink ref="A4114" r:id="rId4113"/>
    <hyperlink ref="A4115" r:id="rId4114"/>
    <hyperlink ref="A4116" r:id="rId4115"/>
    <hyperlink ref="A4117" r:id="rId4116"/>
    <hyperlink ref="A4118" r:id="rId4117"/>
    <hyperlink ref="A4119" r:id="rId4118"/>
    <hyperlink ref="A4120" r:id="rId4119"/>
    <hyperlink ref="A4121" r:id="rId4120"/>
    <hyperlink ref="A4122" r:id="rId4121"/>
    <hyperlink ref="A4123" r:id="rId4122"/>
    <hyperlink ref="A4124" r:id="rId4123"/>
    <hyperlink ref="A4125" r:id="rId4124"/>
    <hyperlink ref="A4126" r:id="rId4125"/>
    <hyperlink ref="A4127" r:id="rId4126"/>
    <hyperlink ref="A4128" r:id="rId4127"/>
    <hyperlink ref="A4129" r:id="rId4128"/>
    <hyperlink ref="A4130" r:id="rId4129"/>
    <hyperlink ref="A4131" r:id="rId4130"/>
    <hyperlink ref="A4132" r:id="rId4131"/>
    <hyperlink ref="A4133" r:id="rId4132"/>
    <hyperlink ref="A4134" r:id="rId4133"/>
    <hyperlink ref="A4135" r:id="rId4134"/>
    <hyperlink ref="A4136" r:id="rId4135"/>
    <hyperlink ref="A4137" r:id="rId4136"/>
    <hyperlink ref="A4138" r:id="rId4137"/>
    <hyperlink ref="A4139" r:id="rId4138"/>
    <hyperlink ref="A4140" r:id="rId4139"/>
    <hyperlink ref="A4141" r:id="rId4140"/>
    <hyperlink ref="A4142" r:id="rId4141"/>
    <hyperlink ref="A4143" r:id="rId4142"/>
    <hyperlink ref="A4144" r:id="rId4143"/>
    <hyperlink ref="A4145" r:id="rId4144"/>
    <hyperlink ref="A4146" r:id="rId4145"/>
    <hyperlink ref="A4147" r:id="rId4146"/>
    <hyperlink ref="A4148" r:id="rId4147"/>
    <hyperlink ref="A4149" r:id="rId4148"/>
    <hyperlink ref="A4150" r:id="rId4149"/>
    <hyperlink ref="A4151" r:id="rId4150"/>
    <hyperlink ref="A4152" r:id="rId4151"/>
    <hyperlink ref="A4153" r:id="rId4152"/>
    <hyperlink ref="A4154" r:id="rId4153"/>
    <hyperlink ref="A4155" r:id="rId4154"/>
    <hyperlink ref="A4156" r:id="rId4155"/>
    <hyperlink ref="A4157" r:id="rId4156"/>
    <hyperlink ref="A4158" r:id="rId4157"/>
    <hyperlink ref="A4159" r:id="rId4158"/>
    <hyperlink ref="A4160" r:id="rId4159"/>
    <hyperlink ref="A4161" r:id="rId4160"/>
    <hyperlink ref="A4162" r:id="rId4161"/>
    <hyperlink ref="A4163" r:id="rId4162"/>
    <hyperlink ref="A4164" r:id="rId4163"/>
    <hyperlink ref="A4165" r:id="rId4164"/>
    <hyperlink ref="A4166" r:id="rId4165"/>
    <hyperlink ref="A4167" r:id="rId4166"/>
    <hyperlink ref="A4168" r:id="rId4167"/>
    <hyperlink ref="A4169" r:id="rId4168"/>
    <hyperlink ref="A4170" r:id="rId4169"/>
    <hyperlink ref="A4171" r:id="rId4170"/>
    <hyperlink ref="A4172" r:id="rId4171"/>
    <hyperlink ref="A4173" r:id="rId4172"/>
    <hyperlink ref="A4174" r:id="rId4173"/>
    <hyperlink ref="A4175" r:id="rId4174"/>
    <hyperlink ref="A4176" r:id="rId4175"/>
    <hyperlink ref="A4177" r:id="rId4176"/>
    <hyperlink ref="A4178" r:id="rId4177"/>
    <hyperlink ref="A4179" r:id="rId4178"/>
    <hyperlink ref="A4180" r:id="rId4179"/>
    <hyperlink ref="A4181" r:id="rId4180"/>
    <hyperlink ref="A4182" r:id="rId4181"/>
    <hyperlink ref="A4183" r:id="rId4182"/>
    <hyperlink ref="A4184" r:id="rId4183"/>
    <hyperlink ref="A4185" r:id="rId4184"/>
    <hyperlink ref="A4186" r:id="rId4185"/>
    <hyperlink ref="A4187" r:id="rId4186"/>
    <hyperlink ref="A4188" r:id="rId4187"/>
    <hyperlink ref="A4189" r:id="rId4188"/>
    <hyperlink ref="A4190" r:id="rId4189"/>
    <hyperlink ref="A4191" r:id="rId4190"/>
    <hyperlink ref="A4192" r:id="rId4191"/>
    <hyperlink ref="A4193" r:id="rId4192"/>
    <hyperlink ref="A4194" r:id="rId4193"/>
    <hyperlink ref="A4195" r:id="rId4194"/>
    <hyperlink ref="A4196" r:id="rId4195"/>
    <hyperlink ref="A4197" r:id="rId4196"/>
    <hyperlink ref="A4198" r:id="rId4197"/>
    <hyperlink ref="A4199" r:id="rId4198"/>
    <hyperlink ref="A4200" r:id="rId4199"/>
    <hyperlink ref="A4201" r:id="rId4200"/>
    <hyperlink ref="A4202" r:id="rId4201"/>
    <hyperlink ref="A4203" r:id="rId4202"/>
    <hyperlink ref="A4204" r:id="rId4203"/>
    <hyperlink ref="A4205" r:id="rId4204"/>
    <hyperlink ref="A4206" r:id="rId4205"/>
    <hyperlink ref="A4207" r:id="rId4206"/>
    <hyperlink ref="A4208" r:id="rId4207"/>
    <hyperlink ref="A4209" r:id="rId4208"/>
    <hyperlink ref="A4210" r:id="rId4209"/>
    <hyperlink ref="A4211" r:id="rId4210"/>
    <hyperlink ref="A4212" r:id="rId4211"/>
    <hyperlink ref="A4213" r:id="rId4212"/>
    <hyperlink ref="A4214" r:id="rId4213"/>
    <hyperlink ref="A4215" r:id="rId4214"/>
    <hyperlink ref="A4216" r:id="rId4215"/>
    <hyperlink ref="A4217" r:id="rId4216"/>
    <hyperlink ref="A4218" r:id="rId4217"/>
    <hyperlink ref="A4219" r:id="rId4218"/>
    <hyperlink ref="A4220" r:id="rId4219"/>
    <hyperlink ref="A4221" r:id="rId4220"/>
    <hyperlink ref="A4222" r:id="rId4221"/>
    <hyperlink ref="A4223" r:id="rId4222"/>
    <hyperlink ref="A4224" r:id="rId4223"/>
    <hyperlink ref="A4225" r:id="rId4224"/>
    <hyperlink ref="A4226" r:id="rId4225"/>
    <hyperlink ref="A4227" r:id="rId4226"/>
    <hyperlink ref="A4228" r:id="rId4227"/>
    <hyperlink ref="A4229" r:id="rId4228"/>
    <hyperlink ref="A4230" r:id="rId4229"/>
    <hyperlink ref="A4231" r:id="rId4230"/>
    <hyperlink ref="A4232" r:id="rId4231"/>
    <hyperlink ref="A4233" r:id="rId4232"/>
    <hyperlink ref="A4234" r:id="rId4233"/>
    <hyperlink ref="A4235" r:id="rId4234"/>
    <hyperlink ref="A4236" r:id="rId4235"/>
    <hyperlink ref="A4237" r:id="rId4236"/>
    <hyperlink ref="A4238" r:id="rId4237"/>
    <hyperlink ref="A4239" r:id="rId4238"/>
    <hyperlink ref="A4240" r:id="rId4239"/>
    <hyperlink ref="A4241" r:id="rId4240"/>
    <hyperlink ref="A4242" r:id="rId4241"/>
    <hyperlink ref="A4243" r:id="rId4242"/>
    <hyperlink ref="A4244" r:id="rId4243"/>
    <hyperlink ref="A4245" r:id="rId4244"/>
    <hyperlink ref="A4246" r:id="rId4245"/>
    <hyperlink ref="A4247" r:id="rId4246"/>
    <hyperlink ref="A4248" r:id="rId4247"/>
    <hyperlink ref="A4249" r:id="rId4248"/>
    <hyperlink ref="A4250" r:id="rId4249"/>
    <hyperlink ref="A4251" r:id="rId4250"/>
    <hyperlink ref="A4252" r:id="rId4251"/>
    <hyperlink ref="A4253" r:id="rId4252"/>
    <hyperlink ref="A4254" r:id="rId4253"/>
    <hyperlink ref="A4255" r:id="rId4254"/>
    <hyperlink ref="A4256" r:id="rId4255"/>
    <hyperlink ref="A4257" r:id="rId4256"/>
    <hyperlink ref="A4258" r:id="rId4257"/>
    <hyperlink ref="A4259" r:id="rId4258"/>
    <hyperlink ref="A4260" r:id="rId4259"/>
    <hyperlink ref="A4261" r:id="rId4260"/>
    <hyperlink ref="A4262" r:id="rId4261"/>
    <hyperlink ref="A4263" r:id="rId4262"/>
    <hyperlink ref="A4264" r:id="rId4263"/>
    <hyperlink ref="A4265" r:id="rId4264"/>
    <hyperlink ref="A4266" r:id="rId4265"/>
    <hyperlink ref="A4267" r:id="rId4266"/>
    <hyperlink ref="A4268" r:id="rId4267"/>
    <hyperlink ref="A4269" r:id="rId4268"/>
    <hyperlink ref="A4270" r:id="rId4269"/>
    <hyperlink ref="A4271" r:id="rId4270"/>
    <hyperlink ref="A4272" r:id="rId4271"/>
    <hyperlink ref="A4273" r:id="rId4272"/>
    <hyperlink ref="A4274" r:id="rId4273"/>
    <hyperlink ref="A4275" r:id="rId4274"/>
    <hyperlink ref="A4276" r:id="rId4275"/>
    <hyperlink ref="A4277" r:id="rId4276"/>
    <hyperlink ref="A4278" r:id="rId4277"/>
    <hyperlink ref="A4279" r:id="rId4278"/>
    <hyperlink ref="A4280" r:id="rId4279"/>
    <hyperlink ref="A4281" r:id="rId4280"/>
    <hyperlink ref="A4282" r:id="rId4281"/>
    <hyperlink ref="A4283" r:id="rId4282"/>
    <hyperlink ref="A4284" r:id="rId4283"/>
    <hyperlink ref="A4285" r:id="rId4284"/>
    <hyperlink ref="A4286" r:id="rId4285"/>
    <hyperlink ref="A4287" r:id="rId4286"/>
    <hyperlink ref="A4288" r:id="rId4287"/>
    <hyperlink ref="A4289" r:id="rId4288"/>
    <hyperlink ref="A4290" r:id="rId4289"/>
    <hyperlink ref="A4291" r:id="rId4290"/>
    <hyperlink ref="A4292" r:id="rId4291"/>
    <hyperlink ref="A4293" r:id="rId4292"/>
    <hyperlink ref="A4294" r:id="rId4293"/>
    <hyperlink ref="A4295" r:id="rId4294"/>
    <hyperlink ref="A4296" r:id="rId4295"/>
    <hyperlink ref="A4297" r:id="rId4296"/>
    <hyperlink ref="A4298" r:id="rId4297"/>
    <hyperlink ref="A4299" r:id="rId4298"/>
    <hyperlink ref="A4300" r:id="rId4299"/>
    <hyperlink ref="A4301" r:id="rId4300"/>
    <hyperlink ref="A4302" r:id="rId4301"/>
    <hyperlink ref="A4303" r:id="rId4302"/>
    <hyperlink ref="A4304" r:id="rId4303"/>
    <hyperlink ref="A4305" r:id="rId4304"/>
    <hyperlink ref="A4306" r:id="rId4305"/>
    <hyperlink ref="A4307" r:id="rId4306"/>
    <hyperlink ref="A4308" r:id="rId4307"/>
    <hyperlink ref="A4309" r:id="rId4308"/>
    <hyperlink ref="A4310" r:id="rId4309"/>
    <hyperlink ref="A4311" r:id="rId4310"/>
    <hyperlink ref="A4312" r:id="rId4311"/>
    <hyperlink ref="A4313" r:id="rId4312"/>
    <hyperlink ref="A4314" r:id="rId4313"/>
    <hyperlink ref="A4315" r:id="rId4314"/>
    <hyperlink ref="A4316" r:id="rId4315"/>
    <hyperlink ref="A4317" r:id="rId4316"/>
    <hyperlink ref="A4318" r:id="rId4317"/>
    <hyperlink ref="A4319" r:id="rId4318"/>
    <hyperlink ref="A4320" r:id="rId4319"/>
    <hyperlink ref="A4321" r:id="rId4320"/>
    <hyperlink ref="A4322" r:id="rId4321"/>
    <hyperlink ref="A4323" r:id="rId4322"/>
    <hyperlink ref="A4324" r:id="rId4323"/>
    <hyperlink ref="A4325" r:id="rId4324"/>
    <hyperlink ref="A4326" r:id="rId4325"/>
    <hyperlink ref="A4327" r:id="rId4326"/>
    <hyperlink ref="A4328" r:id="rId4327"/>
    <hyperlink ref="A4329" r:id="rId4328"/>
    <hyperlink ref="A4330" r:id="rId4329"/>
    <hyperlink ref="A4331" r:id="rId4330"/>
    <hyperlink ref="A4332" r:id="rId4331"/>
    <hyperlink ref="A4333" r:id="rId4332"/>
    <hyperlink ref="A4334" r:id="rId4333"/>
    <hyperlink ref="A4335" r:id="rId4334"/>
    <hyperlink ref="A4336" r:id="rId4335"/>
    <hyperlink ref="A4337" r:id="rId4336"/>
    <hyperlink ref="A4338" r:id="rId4337"/>
    <hyperlink ref="A4339" r:id="rId4338"/>
    <hyperlink ref="A4340" r:id="rId4339"/>
    <hyperlink ref="A4341" r:id="rId4340"/>
    <hyperlink ref="A4342" r:id="rId4341"/>
    <hyperlink ref="A4343" r:id="rId4342"/>
    <hyperlink ref="A4344" r:id="rId4343"/>
    <hyperlink ref="A4345" r:id="rId4344"/>
    <hyperlink ref="A4346" r:id="rId4345"/>
    <hyperlink ref="A4347" r:id="rId4346"/>
    <hyperlink ref="A4348" r:id="rId4347"/>
    <hyperlink ref="A4349" r:id="rId4348"/>
    <hyperlink ref="A4350" r:id="rId4349"/>
    <hyperlink ref="A4351" r:id="rId4350"/>
    <hyperlink ref="A4352" r:id="rId4351"/>
    <hyperlink ref="A4353" r:id="rId4352"/>
    <hyperlink ref="A4354" r:id="rId4353"/>
    <hyperlink ref="A4355" r:id="rId4354"/>
    <hyperlink ref="A4356" r:id="rId4355"/>
    <hyperlink ref="A4357" r:id="rId4356"/>
    <hyperlink ref="A4358" r:id="rId4357"/>
    <hyperlink ref="A4359" r:id="rId4358"/>
    <hyperlink ref="A4360" r:id="rId4359"/>
    <hyperlink ref="A4361" r:id="rId4360"/>
    <hyperlink ref="A4362" r:id="rId4361"/>
    <hyperlink ref="A4363" r:id="rId4362"/>
    <hyperlink ref="A4364" r:id="rId4363"/>
    <hyperlink ref="A4365" r:id="rId4364"/>
    <hyperlink ref="A4366" r:id="rId4365"/>
    <hyperlink ref="A4367" r:id="rId4366"/>
    <hyperlink ref="A4368" r:id="rId4367"/>
    <hyperlink ref="A4369" r:id="rId4368"/>
    <hyperlink ref="A4370" r:id="rId4369"/>
    <hyperlink ref="A4371" r:id="rId4370"/>
    <hyperlink ref="A4372" r:id="rId4371"/>
    <hyperlink ref="A4373" r:id="rId4372"/>
    <hyperlink ref="A4374" r:id="rId4373"/>
    <hyperlink ref="A4375" r:id="rId4374"/>
    <hyperlink ref="A4376" r:id="rId4375"/>
    <hyperlink ref="A4377" r:id="rId4376"/>
    <hyperlink ref="A4378" r:id="rId4377"/>
    <hyperlink ref="A4379" r:id="rId4378"/>
    <hyperlink ref="A4380" r:id="rId4379"/>
    <hyperlink ref="A4381" r:id="rId4380"/>
    <hyperlink ref="A4382" r:id="rId4381"/>
    <hyperlink ref="A4383" r:id="rId4382"/>
    <hyperlink ref="A4384" r:id="rId4383"/>
    <hyperlink ref="A4385" r:id="rId4384"/>
    <hyperlink ref="A4386" r:id="rId4385"/>
    <hyperlink ref="A4387" r:id="rId4386"/>
    <hyperlink ref="A4388" r:id="rId4387"/>
    <hyperlink ref="A4389" r:id="rId4388"/>
    <hyperlink ref="A4390" r:id="rId4389"/>
    <hyperlink ref="A4391" r:id="rId4390"/>
    <hyperlink ref="A4392" r:id="rId4391"/>
    <hyperlink ref="A4393" r:id="rId4392"/>
    <hyperlink ref="A4394" r:id="rId4393"/>
    <hyperlink ref="A4395" r:id="rId4394"/>
    <hyperlink ref="A4396" r:id="rId4395"/>
    <hyperlink ref="A4397" r:id="rId4396"/>
    <hyperlink ref="A4398" r:id="rId4397"/>
    <hyperlink ref="A4399" r:id="rId4398"/>
    <hyperlink ref="A4400" r:id="rId4399"/>
    <hyperlink ref="A4401" r:id="rId4400"/>
    <hyperlink ref="A4402" r:id="rId4401"/>
    <hyperlink ref="A4403" r:id="rId4402"/>
    <hyperlink ref="A4404" r:id="rId4403"/>
    <hyperlink ref="A4405" r:id="rId4404"/>
    <hyperlink ref="A4406" r:id="rId4405"/>
    <hyperlink ref="A4407" r:id="rId4406"/>
    <hyperlink ref="A4408" r:id="rId4407"/>
    <hyperlink ref="A4409" r:id="rId4408"/>
    <hyperlink ref="A4410" r:id="rId4409"/>
    <hyperlink ref="A4411" r:id="rId4410"/>
    <hyperlink ref="A4412" r:id="rId4411"/>
    <hyperlink ref="A4413" r:id="rId4412"/>
    <hyperlink ref="A4414" r:id="rId4413"/>
    <hyperlink ref="A4415" r:id="rId4414"/>
    <hyperlink ref="A4416" r:id="rId4415"/>
    <hyperlink ref="A4417" r:id="rId4416"/>
    <hyperlink ref="A4418" r:id="rId4417"/>
    <hyperlink ref="A4419" r:id="rId4418"/>
    <hyperlink ref="A4420" r:id="rId4419"/>
    <hyperlink ref="A4421" r:id="rId4420"/>
    <hyperlink ref="A4422" r:id="rId4421"/>
    <hyperlink ref="A4423" r:id="rId4422"/>
    <hyperlink ref="A4424" r:id="rId4423"/>
    <hyperlink ref="A4425" r:id="rId4424"/>
    <hyperlink ref="A4426" r:id="rId4425"/>
    <hyperlink ref="A4427" r:id="rId4426"/>
    <hyperlink ref="A4428" r:id="rId4427"/>
    <hyperlink ref="A4429" r:id="rId4428"/>
    <hyperlink ref="A4430" r:id="rId4429"/>
    <hyperlink ref="A4431" r:id="rId4430"/>
    <hyperlink ref="A4432" r:id="rId4431"/>
    <hyperlink ref="A4433" r:id="rId4432"/>
    <hyperlink ref="A4434" r:id="rId4433"/>
    <hyperlink ref="A4435" r:id="rId4434"/>
    <hyperlink ref="A4436" r:id="rId4435"/>
    <hyperlink ref="A4437" r:id="rId4436"/>
    <hyperlink ref="A4438" r:id="rId4437"/>
    <hyperlink ref="A4439" r:id="rId4438"/>
    <hyperlink ref="A4440" r:id="rId4439"/>
    <hyperlink ref="A4441" r:id="rId4440"/>
    <hyperlink ref="A4442" r:id="rId4441"/>
    <hyperlink ref="A4443" r:id="rId4442"/>
    <hyperlink ref="A4444" r:id="rId4443"/>
    <hyperlink ref="A4445" r:id="rId4444"/>
    <hyperlink ref="A4446" r:id="rId4445"/>
    <hyperlink ref="A4447" r:id="rId4446"/>
    <hyperlink ref="A4448" r:id="rId4447"/>
    <hyperlink ref="A4449" r:id="rId4448"/>
    <hyperlink ref="A4450" r:id="rId4449"/>
    <hyperlink ref="A4451" r:id="rId4450"/>
    <hyperlink ref="A4452" r:id="rId4451"/>
    <hyperlink ref="A4453" r:id="rId4452"/>
    <hyperlink ref="A4454" r:id="rId4453"/>
    <hyperlink ref="A4455" r:id="rId4454"/>
    <hyperlink ref="A4456" r:id="rId4455"/>
    <hyperlink ref="A4457" r:id="rId4456"/>
    <hyperlink ref="A4458" r:id="rId4457"/>
    <hyperlink ref="A4459" r:id="rId4458"/>
    <hyperlink ref="A4460" r:id="rId4459"/>
    <hyperlink ref="A4461" r:id="rId4460"/>
    <hyperlink ref="A4462" r:id="rId4461"/>
    <hyperlink ref="A4463" r:id="rId4462"/>
    <hyperlink ref="A4464" r:id="rId4463"/>
    <hyperlink ref="A4465" r:id="rId4464"/>
    <hyperlink ref="A4466" r:id="rId4465"/>
    <hyperlink ref="A4467" r:id="rId4466"/>
    <hyperlink ref="A4468" r:id="rId4467"/>
    <hyperlink ref="A4469" r:id="rId4468"/>
    <hyperlink ref="A4470" r:id="rId4469"/>
    <hyperlink ref="A4471" r:id="rId4470"/>
    <hyperlink ref="A4472" r:id="rId4471"/>
    <hyperlink ref="A4473" r:id="rId4472"/>
    <hyperlink ref="A4474" r:id="rId4473"/>
    <hyperlink ref="A4475" r:id="rId4474"/>
    <hyperlink ref="A4476" r:id="rId4475"/>
    <hyperlink ref="A4477" r:id="rId4476"/>
    <hyperlink ref="A4478" r:id="rId4477"/>
    <hyperlink ref="A4479" r:id="rId4478"/>
    <hyperlink ref="A4480" r:id="rId4479"/>
    <hyperlink ref="A4481" r:id="rId4480"/>
    <hyperlink ref="A4482" r:id="rId4481"/>
    <hyperlink ref="A4483" r:id="rId4482"/>
    <hyperlink ref="A4484" r:id="rId4483"/>
    <hyperlink ref="A4485" r:id="rId4484"/>
    <hyperlink ref="A4486" r:id="rId4485"/>
    <hyperlink ref="A4487" r:id="rId4486"/>
    <hyperlink ref="A4488" r:id="rId4487"/>
    <hyperlink ref="A4489" r:id="rId4488"/>
    <hyperlink ref="A4490" r:id="rId4489"/>
    <hyperlink ref="A4491" r:id="rId4490"/>
    <hyperlink ref="A4492" r:id="rId4491"/>
    <hyperlink ref="A4493" r:id="rId4492"/>
    <hyperlink ref="A4494" r:id="rId4493"/>
    <hyperlink ref="A4495" r:id="rId4494"/>
    <hyperlink ref="A4496" r:id="rId4495"/>
    <hyperlink ref="A4497" r:id="rId4496"/>
    <hyperlink ref="A4498" r:id="rId4497"/>
    <hyperlink ref="A4499" r:id="rId4498"/>
    <hyperlink ref="A4500" r:id="rId4499"/>
    <hyperlink ref="A4501" r:id="rId4500"/>
    <hyperlink ref="A4502" r:id="rId4501"/>
    <hyperlink ref="A4503" r:id="rId4502"/>
    <hyperlink ref="A4504" r:id="rId4503"/>
    <hyperlink ref="A4505" r:id="rId4504"/>
    <hyperlink ref="A4506" r:id="rId4505"/>
    <hyperlink ref="A4507" r:id="rId4506"/>
    <hyperlink ref="A4508" r:id="rId4507"/>
    <hyperlink ref="A4509" r:id="rId4508"/>
    <hyperlink ref="A4510" r:id="rId4509"/>
    <hyperlink ref="A4511" r:id="rId4510"/>
    <hyperlink ref="A4512" r:id="rId4511"/>
    <hyperlink ref="A4513" r:id="rId4512"/>
    <hyperlink ref="A4514" r:id="rId4513"/>
    <hyperlink ref="A4515" r:id="rId4514"/>
    <hyperlink ref="A4516" r:id="rId4515"/>
    <hyperlink ref="A4517" r:id="rId4516"/>
    <hyperlink ref="A4518" r:id="rId4517"/>
    <hyperlink ref="A4519" r:id="rId4518"/>
    <hyperlink ref="A4520" r:id="rId4519"/>
    <hyperlink ref="A4521" r:id="rId4520"/>
    <hyperlink ref="A4522" r:id="rId4521"/>
    <hyperlink ref="A4523" r:id="rId4522"/>
    <hyperlink ref="A4524" r:id="rId4523"/>
    <hyperlink ref="A4525" r:id="rId4524"/>
    <hyperlink ref="A4526" r:id="rId4525"/>
    <hyperlink ref="A4527" r:id="rId4526"/>
    <hyperlink ref="A4528" r:id="rId4527"/>
    <hyperlink ref="A4529" r:id="rId4528"/>
    <hyperlink ref="A4530" r:id="rId4529"/>
    <hyperlink ref="A4531" r:id="rId4530"/>
    <hyperlink ref="A4532" r:id="rId4531"/>
    <hyperlink ref="A4533" r:id="rId4532"/>
    <hyperlink ref="A4534" r:id="rId4533"/>
    <hyperlink ref="A4535" r:id="rId4534"/>
    <hyperlink ref="A4536" r:id="rId4535"/>
    <hyperlink ref="A4537" r:id="rId4536"/>
    <hyperlink ref="A4538" r:id="rId4537"/>
    <hyperlink ref="A4539" r:id="rId4538"/>
    <hyperlink ref="A4540" r:id="rId4539"/>
    <hyperlink ref="A4541" r:id="rId4540"/>
    <hyperlink ref="A4542" r:id="rId4541"/>
    <hyperlink ref="A4543" r:id="rId4542"/>
    <hyperlink ref="A4544" r:id="rId4543"/>
    <hyperlink ref="A4545" r:id="rId4544"/>
    <hyperlink ref="A4546" r:id="rId4545"/>
    <hyperlink ref="A4547" r:id="rId4546"/>
    <hyperlink ref="A4548" r:id="rId4547"/>
    <hyperlink ref="A4549" r:id="rId4548"/>
    <hyperlink ref="A4550" r:id="rId4549"/>
    <hyperlink ref="A4551" r:id="rId4550"/>
    <hyperlink ref="A4552" r:id="rId4551"/>
    <hyperlink ref="A4553" r:id="rId4552"/>
    <hyperlink ref="A4554" r:id="rId4553"/>
    <hyperlink ref="A4555" r:id="rId4554"/>
    <hyperlink ref="A4556" r:id="rId4555"/>
    <hyperlink ref="A4557" r:id="rId4556"/>
    <hyperlink ref="A4558" r:id="rId4557"/>
    <hyperlink ref="A4559" r:id="rId4558"/>
    <hyperlink ref="A4560" r:id="rId4559"/>
    <hyperlink ref="A4561" r:id="rId4560"/>
    <hyperlink ref="A4562" r:id="rId4561"/>
    <hyperlink ref="A4563" r:id="rId4562"/>
    <hyperlink ref="A4564" r:id="rId4563"/>
    <hyperlink ref="A4565" r:id="rId4564"/>
    <hyperlink ref="A4566" r:id="rId4565"/>
    <hyperlink ref="A4567" r:id="rId4566"/>
    <hyperlink ref="A4568" r:id="rId4567"/>
    <hyperlink ref="A4569" r:id="rId4568"/>
    <hyperlink ref="A4570" r:id="rId4569"/>
    <hyperlink ref="A4571" r:id="rId4570"/>
    <hyperlink ref="A4572" r:id="rId4571"/>
    <hyperlink ref="A4573" r:id="rId4572"/>
    <hyperlink ref="A4574" r:id="rId4573"/>
    <hyperlink ref="A4575" r:id="rId4574"/>
    <hyperlink ref="A4576" r:id="rId4575"/>
    <hyperlink ref="A4577" r:id="rId4576"/>
    <hyperlink ref="A4578" r:id="rId4577"/>
    <hyperlink ref="A4579" r:id="rId4578"/>
    <hyperlink ref="A4580" r:id="rId4579"/>
    <hyperlink ref="A4581" r:id="rId4580"/>
    <hyperlink ref="A4582" r:id="rId4581"/>
    <hyperlink ref="A4583" r:id="rId4582"/>
    <hyperlink ref="A4584" r:id="rId4583"/>
    <hyperlink ref="A4585" r:id="rId4584"/>
    <hyperlink ref="A4586" r:id="rId4585"/>
    <hyperlink ref="A4587" r:id="rId4586"/>
    <hyperlink ref="A4588" r:id="rId4587"/>
    <hyperlink ref="A4589" r:id="rId4588"/>
    <hyperlink ref="A4590" r:id="rId4589"/>
    <hyperlink ref="A4591" r:id="rId4590"/>
    <hyperlink ref="A4592" r:id="rId4591"/>
    <hyperlink ref="A4593" r:id="rId4592"/>
    <hyperlink ref="A4594" r:id="rId4593"/>
    <hyperlink ref="A4595" r:id="rId4594"/>
    <hyperlink ref="A4596" r:id="rId4595"/>
    <hyperlink ref="A4597" r:id="rId4596"/>
    <hyperlink ref="A4598" r:id="rId4597"/>
    <hyperlink ref="A4599" r:id="rId4598"/>
    <hyperlink ref="A4600" r:id="rId4599"/>
    <hyperlink ref="A4601" r:id="rId4600"/>
    <hyperlink ref="A4602" r:id="rId4601"/>
    <hyperlink ref="A4603" r:id="rId4602"/>
    <hyperlink ref="A4604" r:id="rId4603"/>
    <hyperlink ref="A4605" r:id="rId4604"/>
    <hyperlink ref="A4606" r:id="rId4605"/>
    <hyperlink ref="A4607" r:id="rId4606"/>
    <hyperlink ref="A4608" r:id="rId4607"/>
  </hyperlinks>
  <headerFooter>
    <oddFooter>&amp;L&amp;Z&amp;F&amp;C&amp;A&amp;RPage &amp;P of &amp;N</oddFooter>
  </headerFooter>
</worksheet>
</file>