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Processing Report" sheetId="1" r:id="rId1"/>
  </sheets>
  <definedNames>
    <definedName name="_xlnm.Print_Titles" localSheetId="0">'Data Processing Report'!$A:$E,'Data Processing Report'!$1:$1</definedName>
  </definedNames>
  <calcPr fullCalcOnLoad="1"/>
</workbook>
</file>

<file path=xl/sharedStrings.xml><?xml version="1.0" encoding="utf-8"?>
<sst xmlns="http://schemas.openxmlformats.org/spreadsheetml/2006/main" count="35" uniqueCount="35">
  <si>
    <t>Project</t>
  </si>
  <si>
    <t>Bank</t>
  </si>
  <si>
    <t>Pages</t>
  </si>
  <si>
    <t>N/A</t>
  </si>
  <si>
    <t>Santander</t>
  </si>
  <si>
    <t>Revolut Business</t>
  </si>
  <si>
    <t>AIB</t>
  </si>
  <si>
    <t>Nat West</t>
  </si>
  <si>
    <t>Natwest_RG</t>
  </si>
  <si>
    <t>OTHER</t>
  </si>
  <si>
    <t>Investec</t>
  </si>
  <si>
    <t xml:space="preserve"> Revolut</t>
  </si>
  <si>
    <t>HSBC</t>
  </si>
  <si>
    <t>Bank Of Scotland</t>
  </si>
  <si>
    <t>First National Bank</t>
  </si>
  <si>
    <t>asda</t>
  </si>
  <si>
    <t>Metro Bank</t>
  </si>
  <si>
    <t>Mercury Bank,Wise Business</t>
  </si>
  <si>
    <t>Amex</t>
  </si>
  <si>
    <t>Bank Of Ireland</t>
  </si>
  <si>
    <t>blank</t>
  </si>
  <si>
    <t>Chase</t>
  </si>
  <si>
    <t>Danske</t>
  </si>
  <si>
    <t>Standard Bank</t>
  </si>
  <si>
    <t>HSBC,Wise Business</t>
  </si>
  <si>
    <t>sumup</t>
  </si>
  <si>
    <t>Virgin Money</t>
  </si>
  <si>
    <t xml:space="preserve"> Revolut,HSBC</t>
  </si>
  <si>
    <t>coles</t>
  </si>
  <si>
    <t>nab</t>
  </si>
  <si>
    <t>ord minnett</t>
  </si>
  <si>
    <t>Barclay</t>
  </si>
  <si>
    <t>Wise Business</t>
  </si>
  <si>
    <t>Starling Bank</t>
  </si>
  <si>
    <t>allica bank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</si>
</sst>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0"/>
      <name val="Arial"/>
    </font>
    <font>
      <b/>
      <sz val="10"/>
      <color rgb="FFFFFFFF" tint="0"/>
      <name val="Arial"/>
    </font>
    <font>
      <u/>
      <sz val="10"/>
      <color rgb="FF0576CA" tint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49" applyNumberFormat="1" fontId="1" applyFont="1" xfId="0" applyProtection="1"/>
    <xf numFmtId="3" applyNumberFormat="1" fontId="1" applyFont="1" xfId="0" applyProtection="1"/>
    <xf numFmtId="49" applyNumberFormat="1" fontId="3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app-web.statementrec.com/app#appuploadfiles/39dad0fe-e13d-03d8-e1a0-342ca68f6a22" TargetMode="External"/><Relationship Id="rId2" Type="http://schemas.openxmlformats.org/officeDocument/2006/relationships/hyperlink" Target="https://app-web.statementrec.com/app#appuploadfiles/39ed329e-9395-24af-3252-d63ea4b23ff2" TargetMode="External"/><Relationship Id="rId3" Type="http://schemas.openxmlformats.org/officeDocument/2006/relationships/hyperlink" Target="https://app-web.statementrec.com/app#appuploadfiles/39f30db9-ded3-a5b9-cbe8-eca976824edf" TargetMode="External"/><Relationship Id="rId4" Type="http://schemas.openxmlformats.org/officeDocument/2006/relationships/hyperlink" Target="https://app-web.statementrec.com/app#appuploadfiles/39fdac50-acd5-1253-f7f0-f8516aa78d61" TargetMode="External"/><Relationship Id="rId5" Type="http://schemas.openxmlformats.org/officeDocument/2006/relationships/hyperlink" Target="https://app-web.statementrec.com/app#appuploadfiles/39fdffec-3a74-e482-a745-d4fea90f585a" TargetMode="External"/><Relationship Id="rId6" Type="http://schemas.openxmlformats.org/officeDocument/2006/relationships/hyperlink" Target="https://app-web.statementrec.com/app#appuploadfiles/3a01ebb6-d265-53ac-202b-fa911c2730b4" TargetMode="External"/><Relationship Id="rId7" Type="http://schemas.openxmlformats.org/officeDocument/2006/relationships/hyperlink" Target="https://app-web.statementrec.com/app#appuploadfiles/3a032f5e-bcdc-20f9-7199-c1ad5ebfe735" TargetMode="External"/><Relationship Id="rId8" Type="http://schemas.openxmlformats.org/officeDocument/2006/relationships/hyperlink" Target="https://app-web.statementrec.com/app#appuploadfiles/3a04c5fe-d70d-b9e0-6727-4c5f04348df0" TargetMode="External"/><Relationship Id="rId9" Type="http://schemas.openxmlformats.org/officeDocument/2006/relationships/hyperlink" Target="https://app-web.statementrec.com/app#appuploadfiles/3a0503a1-4672-d271-726a-a9b841f6e82e" TargetMode="External"/><Relationship Id="rId10" Type="http://schemas.openxmlformats.org/officeDocument/2006/relationships/hyperlink" Target="https://app-web.statementrec.com/app#appuploadfiles/3a07fddb-8fb9-31a0-8e9f-4badd9227433" TargetMode="External"/><Relationship Id="rId11" Type="http://schemas.openxmlformats.org/officeDocument/2006/relationships/hyperlink" Target="https://app-web.statementrec.com/app#appuploadfiles/3a09b05b-c527-51bc-0b1d-7df0b56ab1a4" TargetMode="External"/><Relationship Id="rId12" Type="http://schemas.openxmlformats.org/officeDocument/2006/relationships/hyperlink" Target="https://app-web.statementrec.com/app#appuploadfiles/3a0af871-f421-25a0-bb1c-74b13c187879" TargetMode="External"/><Relationship Id="rId13" Type="http://schemas.openxmlformats.org/officeDocument/2006/relationships/hyperlink" Target="https://app-web.statementrec.com/app#appuploadfiles/3a0ea19c-e3a4-3972-e74c-414162e8adf8" TargetMode="External"/><Relationship Id="rId14" Type="http://schemas.openxmlformats.org/officeDocument/2006/relationships/hyperlink" Target="https://app-web.statementrec.com/app#appuploadfiles/3a1077f4-e768-6294-76dc-0e1cd22c318a" TargetMode="External"/><Relationship Id="rId15" Type="http://schemas.openxmlformats.org/officeDocument/2006/relationships/hyperlink" Target="https://app-web.statementrec.com/app#appuploadfiles/3a10b8dc-18c8-d54d-3237-09183f629473" TargetMode="External"/><Relationship Id="rId16" Type="http://schemas.openxmlformats.org/officeDocument/2006/relationships/hyperlink" Target="https://app-web.statementrec.com/app#appuploadfiles/3a124566-691e-5408-457e-0849ead1dcee" TargetMode="External"/><Relationship Id="rId17" Type="http://schemas.openxmlformats.org/officeDocument/2006/relationships/hyperlink" Target="https://app-web.statementrec.com/app#appuploadfiles/3a138f2e-cd61-8254-3908-7edaf285086b" TargetMode="External"/><Relationship Id="rId18" Type="http://schemas.openxmlformats.org/officeDocument/2006/relationships/hyperlink" Target="https://app-web.statementrec.com/app#appuploadfiles/3a15f43b-ca19-a6c0-7a4a-ae33dce4385a" TargetMode="External"/><Relationship Id="rId19" Type="http://schemas.openxmlformats.org/officeDocument/2006/relationships/hyperlink" Target="https://app-web.statementrec.com/app#appuploadfiles/3a16c217-903d-cef4-344b-bbf5f2878ce1" TargetMode="External"/><Relationship Id="rId20" Type="http://schemas.openxmlformats.org/officeDocument/2006/relationships/hyperlink" Target="https://app-web.statementrec.com/app#appuploadfiles/3a184f16-513c-8eb0-0b13-7fa6099bf1ca" TargetMode="External"/><Relationship Id="rId21" Type="http://schemas.openxmlformats.org/officeDocument/2006/relationships/hyperlink" Target="https://app-web.statementrec.com/app#appuploadfiles/3a19b71a-66f7-bc95-627c-8dc2a0ffea8b" TargetMode="External"/><Relationship Id="rId22" Type="http://schemas.openxmlformats.org/officeDocument/2006/relationships/hyperlink" Target="https://app-web.statementrec.com/app#appuploadfiles/3a19eb03-983d-8594-102d-921683bd029f" TargetMode="External"/><Relationship Id="rId23" Type="http://schemas.openxmlformats.org/officeDocument/2006/relationships/hyperlink" Target="https://app-web.statementrec.com/app#appuploadfiles/3a1a2f0b-3783-49f3-1269-57b3aa1c1d01" TargetMode="External"/><Relationship Id="rId24" Type="http://schemas.openxmlformats.org/officeDocument/2006/relationships/hyperlink" Target="https://app-web.statementrec.com/app#appuploadfiles/3a1a2f16-c272-9125-e2c6-48b35ab1626d" TargetMode="External"/><Relationship Id="rId25" Type="http://schemas.openxmlformats.org/officeDocument/2006/relationships/hyperlink" Target="https://app-web.statementrec.com/app#appuploadfiles/3a1b1f97-01e7-6144-df15-60930915f459" TargetMode="External"/><Relationship Id="rId26" Type="http://schemas.openxmlformats.org/officeDocument/2006/relationships/hyperlink" Target="https://app-web.statementrec.com/app#appuploadfiles/3a1bdefe-9c22-c978-4e79-63b8783ec490" TargetMode="External"/><Relationship Id="rId27" Type="http://schemas.openxmlformats.org/officeDocument/2006/relationships/hyperlink" Target="https://app-web.statementrec.com/app#appuploadfiles/3a1c2674-7f09-4517-1cfc-85b023e74218" TargetMode="External"/><Relationship Id="rId28" Type="http://schemas.openxmlformats.org/officeDocument/2006/relationships/hyperlink" Target="https://app-web.statementrec.com/app#appuploadfiles/3a1ddfbd-d221-6370-b516-5ae8e93b760b" TargetMode="External"/><Relationship Id="rId29" Type="http://schemas.openxmlformats.org/officeDocument/2006/relationships/hyperlink" Target="https://app-web.statementrec.com/app#appuploadfiles/3a1ded1c-33c1-fddd-0651-8f198c0d5b45" TargetMode="External"/><Relationship Id="rId30" Type="http://schemas.openxmlformats.org/officeDocument/2006/relationships/hyperlink" Target="https://app-web.statementrec.com/app#appuploadfiles/3a1ece73-66e9-a33f-7f0c-2fbe58b7d49a" TargetMode="External"/><Relationship Id="rId31" Type="http://schemas.openxmlformats.org/officeDocument/2006/relationships/hyperlink" Target="https://app-web.statementrec.com/app#appuploadfiles/3a1ef28e-6270-c196-0320-c34f42f80903" TargetMode="External"/><Relationship Id="rId32" Type="http://schemas.openxmlformats.org/officeDocument/2006/relationships/hyperlink" Target="https://app-web.statementrec.com/app#appuploadfiles/3a1f095c-b604-abaa-b6ee-3efebf54355a" TargetMode="External"/><Relationship Id="rId33" Type="http://schemas.openxmlformats.org/officeDocument/2006/relationships/hyperlink" Target="https://app-web.statementrec.com/app#appuploadfiles/3a1f9c0e-eb0f-c2be-3517-42702d335627" TargetMode="External"/><Relationship Id="rId34" Type="http://schemas.openxmlformats.org/officeDocument/2006/relationships/hyperlink" Target="https://app-web.statementrec.com/app#appuploadfiles/3a1fc35a-9d3e-0a49-06de-22e0c7313cee" TargetMode="External"/><Relationship Id="rId35" Type="http://schemas.openxmlformats.org/officeDocument/2006/relationships/hyperlink" Target="https://app-web.statementrec.com/app#appuploadfiles/3a1fc3a6-15a4-79c6-ed1a-47ddf6057a9d" TargetMode="External"/><Relationship Id="rId36" Type="http://schemas.openxmlformats.org/officeDocument/2006/relationships/hyperlink" Target="https://app-web.statementrec.com/app#appuploadfiles/3a201794-953d-b125-b5c3-d4c8b15aed96" TargetMode="External"/><Relationship Id="rId37" Type="http://schemas.openxmlformats.org/officeDocument/2006/relationships/hyperlink" Target="https://app-web.statementrec.com/app#appuploadfiles/3a213cf8-3970-3a3b-9490-7f04986112ff" TargetMode="External"/><Relationship Id="rId38" Type="http://schemas.openxmlformats.org/officeDocument/2006/relationships/hyperlink" Target="https://app-web.statementrec.com/app#appuploadfiles/3a2192a2-a1d9-710e-d759-7bc2fee6769a" TargetMode="External"/><Relationship Id="rId39" Type="http://schemas.openxmlformats.org/officeDocument/2006/relationships/hyperlink" Target="https://app-web.statementrec.com/app#appuploadfiles/3a2192e6-fca4-2077-6b7d-d1df814ef2bf" TargetMode="External"/><Relationship Id="rId40" Type="http://schemas.openxmlformats.org/officeDocument/2006/relationships/hyperlink" Target="https://app-web.statementrec.com/app#appuploadfiles/3a21941f-2986-0bfb-495b-1c499906638c" TargetMode="External"/><Relationship Id="rId41" Type="http://schemas.openxmlformats.org/officeDocument/2006/relationships/hyperlink" Target="https://app-web.statementrec.com/app#appuploadfiles/3a219427-a411-a353-e60e-438acba4d544" TargetMode="External"/><Relationship Id="rId42" Type="http://schemas.openxmlformats.org/officeDocument/2006/relationships/hyperlink" Target="https://app-web.statementrec.com/app#appuploadfiles/3a21943a-7475-6827-9049-ef07edc29ff7" TargetMode="External"/><Relationship Id="rId43" Type="http://schemas.openxmlformats.org/officeDocument/2006/relationships/hyperlink" Target="https://app-web.statementrec.com/app#appuploadfiles/3a219445-3ed5-29c4-4baa-de607dbbb9cf" TargetMode="External"/><Relationship Id="rId44" Type="http://schemas.openxmlformats.org/officeDocument/2006/relationships/hyperlink" Target="https://app-web.statementrec.com/app#appuploadfiles/3a21945c-b44a-2631-0e70-c8a213a2188d" TargetMode="External"/><Relationship Id="rId45" Type="http://schemas.openxmlformats.org/officeDocument/2006/relationships/hyperlink" Target="https://app-web.statementrec.com/app#appuploadfiles/3a219466-f51b-c9b9-ff4c-17bf1df44f24" TargetMode="External"/><Relationship Id="rId46" Type="http://schemas.openxmlformats.org/officeDocument/2006/relationships/hyperlink" Target="https://app-web.statementrec.com/app#appuploadfiles/3a219468-6f9c-dde5-15a1-9bc68450e1ec" TargetMode="External"/><Relationship Id="rId47" Type="http://schemas.openxmlformats.org/officeDocument/2006/relationships/hyperlink" Target="https://app-web.statementrec.com/app#appuploadfiles/3a21946e-7857-4977-eb58-675f3161ecfa" TargetMode="External"/><Relationship Id="rId48" Type="http://schemas.openxmlformats.org/officeDocument/2006/relationships/hyperlink" Target="https://app-web.statementrec.com/app#appuploadfiles/3a21946e-f822-6a19-6aad-ee2b28456298" TargetMode="External"/><Relationship Id="rId49" Type="http://schemas.openxmlformats.org/officeDocument/2006/relationships/hyperlink" Target="https://app-web.statementrec.com/app#appuploadfiles/3a219474-ebe8-6d3b-0932-bd936ec215b6" TargetMode="External"/><Relationship Id="rId50" Type="http://schemas.openxmlformats.org/officeDocument/2006/relationships/hyperlink" Target="https://app-web.statementrec.com/app#appuploadfiles/3a219476-b10c-4217-550d-c9fe130e7d53" TargetMode="External"/><Relationship Id="rId51" Type="http://schemas.openxmlformats.org/officeDocument/2006/relationships/hyperlink" Target="https://app-web.statementrec.com/app#appuploadfiles/3a219477-4f6c-37c8-9952-b910e8b6ee74" TargetMode="External"/><Relationship Id="rId52" Type="http://schemas.openxmlformats.org/officeDocument/2006/relationships/hyperlink" Target="https://app-web.statementrec.com/app#appuploadfiles/3a21947c-2055-ff36-3274-6cc2c3e40e6e" TargetMode="External"/><Relationship Id="rId53" Type="http://schemas.openxmlformats.org/officeDocument/2006/relationships/hyperlink" Target="https://app-web.statementrec.com/app#appuploadfiles/3a219495-e2e7-8b10-8315-d16c61f8b6f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4"/>
  <sheetViews>
    <sheetView workbookViewId="0"/>
  </sheetViews>
  <sheetFormatPr defaultRowHeight="15"/>
  <cols>
    <col min="1" max="1" width="8.00006103515625" customWidth="1" style="1"/>
    <col min="2" max="2" width="26.8616659981864" customWidth="1" style="1"/>
    <col min="3" max="3" width="7.12952532087054" customWidth="1" style="1"/>
    <col min="4" max="16384" width="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5">
        <f>HYPERLINK("https://app-web.statementrec.com/app#appuploadfiles/39dad0fe-e13d-03d8-e1a0-342ca68f6a22","Courierforce Logistics Ltd")</f>
      </c>
      <c r="B2" s="3" t="s">
        <v>3</v>
      </c>
      <c r="C2" s="4">
        <v>10</v>
      </c>
    </row>
    <row r="3">
      <c r="A3" s="5">
        <f>HYPERLINK("https://app-web.statementrec.com/app#appuploadfiles/39ed329e-9395-24af-3252-d63ea4b23ff2","David Fairclough")</f>
      </c>
      <c r="B3" s="3" t="s">
        <v>4</v>
      </c>
      <c r="C3" s="4">
        <v>6</v>
      </c>
    </row>
    <row r="4">
      <c r="A4" s="5">
        <f>HYPERLINK("https://app-web.statementrec.com/app#appuploadfiles/39f30db9-ded3-a5b9-cbe8-eca976824edf","Ratnam &amp; Co")</f>
      </c>
      <c r="B4" s="3" t="s">
        <v>5</v>
      </c>
      <c r="C4" s="4">
        <v>5</v>
      </c>
    </row>
    <row r="5">
      <c r="A5" s="5">
        <f>HYPERLINK("https://app-web.statementrec.com/app#appuploadfiles/39fdac50-acd5-1253-f7f0-f8516aa78d61","Stephen McCarthy")</f>
      </c>
      <c r="B5" s="3" t="s">
        <v>6</v>
      </c>
      <c r="C5" s="4">
        <v>39</v>
      </c>
    </row>
    <row r="6">
      <c r="A6" s="5">
        <f>HYPERLINK("https://app-web.statementrec.com/app#appuploadfiles/39fdffec-3a74-e482-a745-d4fea90f585a","James Luckin Limited")</f>
      </c>
      <c r="B6" s="3" t="s">
        <v>7</v>
      </c>
      <c r="C6" s="4">
        <v>6</v>
      </c>
    </row>
    <row r="7">
      <c r="A7" s="5">
        <f>HYPERLINK("https://app-web.statementrec.com/app#appuploadfiles/3a01ebb6-d265-53ac-202b-fa911c2730b4","The Ofenheim Charitable Trust")</f>
      </c>
      <c r="B7" s="3" t="s">
        <v>8</v>
      </c>
      <c r="C7" s="4">
        <v>2</v>
      </c>
    </row>
    <row r="8">
      <c r="A8" s="5">
        <f>HYPERLINK("https://app-web.statementrec.com/app#appuploadfiles/3a032f5e-bcdc-20f9-7199-c1ad5ebfe735","Dermy Boyle Electrical")</f>
      </c>
      <c r="B8" s="3" t="s">
        <v>9</v>
      </c>
      <c r="C8" s="4">
        <v>41</v>
      </c>
    </row>
    <row r="9">
      <c r="A9" s="5">
        <f>HYPERLINK("https://app-web.statementrec.com/app#appuploadfiles/3a04c5fe-d70d-b9e0-6727-4c5f04348df0","Inkutsalo")</f>
      </c>
      <c r="B9" s="3" t="s">
        <v>10</v>
      </c>
      <c r="C9" s="4">
        <v>19</v>
      </c>
    </row>
    <row r="10">
      <c r="A10" s="5">
        <f>HYPERLINK("https://app-web.statementrec.com/app#appuploadfiles/3a0503a1-4672-d271-726a-a9b841f6e82e","Blank")</f>
      </c>
      <c r="B10" s="3" t="s">
        <v>11</v>
      </c>
      <c r="C10" s="4">
        <v>4</v>
      </c>
    </row>
    <row r="11">
      <c r="A11" s="5">
        <f>HYPERLINK("https://app-web.statementrec.com/app#appuploadfiles/3a07fddb-8fb9-31a0-8e9f-4badd9227433","Kensington Superstore Ltd")</f>
      </c>
      <c r="B11" s="3" t="s">
        <v>12</v>
      </c>
      <c r="C11" s="4">
        <v>10</v>
      </c>
    </row>
    <row r="12">
      <c r="A12" s="5">
        <f>HYPERLINK("https://app-web.statementrec.com/app#appuploadfiles/3a09b05b-c527-51bc-0b1d-7df0b56ab1a4","Diamac Limited")</f>
      </c>
      <c r="B12" s="3" t="s">
        <v>13</v>
      </c>
      <c r="C12" s="4">
        <v>2</v>
      </c>
    </row>
    <row r="13">
      <c r="A13" s="5">
        <f>HYPERLINK("https://app-web.statementrec.com/app#appuploadfiles/3a0af871-f421-25a0-bb1c-74b13c187879","WR Liebenberg")</f>
      </c>
      <c r="B13" s="3" t="s">
        <v>14</v>
      </c>
      <c r="C13" s="4">
        <v>2</v>
      </c>
    </row>
    <row r="14">
      <c r="A14" s="5">
        <f>HYPERLINK("https://app-web.statementrec.com/app#appuploadfiles/3a0ea19c-e3a4-3972-e74c-414162e8adf8","Bombay Bridgford")</f>
      </c>
      <c r="B14" s="3" t="s">
        <v>15</v>
      </c>
      <c r="C14" s="4">
        <v>10</v>
      </c>
    </row>
    <row r="15">
      <c r="A15" s="5">
        <f>HYPERLINK("https://app-web.statementrec.com/app#appuploadfiles/3a1077f4-e768-6294-76dc-0e1cd22c318a","African Carting Cup (Pty) Ltd")</f>
      </c>
      <c r="B15" s="3" t="s">
        <v>10</v>
      </c>
      <c r="C15" s="4">
        <v>7</v>
      </c>
    </row>
    <row r="16">
      <c r="A16" s="5">
        <f>HYPERLINK("https://app-web.statementrec.com/app#appuploadfiles/3a10b8dc-18c8-d54d-3237-09183f629473","Tyche Property Investments (Pty) Ltd")</f>
      </c>
      <c r="B16" s="3" t="s">
        <v>10</v>
      </c>
      <c r="C16" s="4">
        <v>5</v>
      </c>
    </row>
    <row r="17">
      <c r="A17" s="5">
        <f>HYPERLINK("https://app-web.statementrec.com/app#appuploadfiles/3a124566-691e-5408-457e-0849ead1dcee","Safety Net Fire Solutions LTd")</f>
      </c>
      <c r="B17" s="3" t="s">
        <v>16</v>
      </c>
      <c r="C17" s="4">
        <v>2</v>
      </c>
    </row>
    <row r="18">
      <c r="A18" s="5">
        <f>HYPERLINK("https://app-web.statementrec.com/app#appuploadfiles/3a138f2e-cd61-8254-3908-7edaf285086b","Njilo Consulting and Logistics")</f>
      </c>
      <c r="B18" s="3" t="s">
        <v>14</v>
      </c>
      <c r="C18" s="4">
        <v>9</v>
      </c>
    </row>
    <row r="19">
      <c r="A19" s="5">
        <f>HYPERLINK("https://app-web.statementrec.com/app#appuploadfiles/3a15f43b-ca19-a6c0-7a4a-ae33dce4385a","Gerardo Lincs")</f>
      </c>
      <c r="B19" s="3" t="s">
        <v>7</v>
      </c>
      <c r="C19" s="4">
        <v>9</v>
      </c>
    </row>
    <row r="20">
      <c r="A20" s="5">
        <f>HYPERLINK("https://app-web.statementrec.com/app#appuploadfiles/3a16c217-903d-cef4-344b-bbf5f2878ce1","Nuway CapitalLtd")</f>
      </c>
      <c r="B20" s="3" t="s">
        <v>17</v>
      </c>
      <c r="C20" s="4">
        <v>18</v>
      </c>
    </row>
    <row r="21">
      <c r="A21" s="5">
        <f>HYPERLINK("https://app-web.statementrec.com/app#appuploadfiles/3a184f16-513c-8eb0-0b13-7fa6099bf1ca","Shooters")</f>
      </c>
      <c r="B21" s="3" t="s">
        <v>5</v>
      </c>
      <c r="C21" s="4">
        <v>20</v>
      </c>
    </row>
    <row r="22">
      <c r="A22" s="5">
        <f>HYPERLINK("https://app-web.statementrec.com/app#appuploadfiles/3a19b71a-66f7-bc95-627c-8dc2a0ffea8b","Lisa Looker")</f>
      </c>
      <c r="B22" s="3" t="s">
        <v>4</v>
      </c>
      <c r="C22" s="4">
        <v>4</v>
      </c>
    </row>
    <row r="23">
      <c r="A23" s="5">
        <f>HYPERLINK("https://app-web.statementrec.com/app#appuploadfiles/3a19eb03-983d-8594-102d-921683bd029f","AG Catfoss Ltd")</f>
      </c>
      <c r="B23" s="3" t="s">
        <v>9</v>
      </c>
      <c r="C23" s="4">
        <v>5</v>
      </c>
    </row>
    <row r="24">
      <c r="A24" s="5">
        <f>HYPERLINK("https://app-web.statementrec.com/app#appuploadfiles/3a1a2f0b-3783-49f3-1269-57b3aa1c1d01","Main GBP 50502824")</f>
      </c>
      <c r="B24" s="3" t="s">
        <v>5</v>
      </c>
      <c r="C24" s="4">
        <v>8</v>
      </c>
    </row>
    <row r="25">
      <c r="A25" s="5">
        <f>HYPERLINK("https://app-web.statementrec.com/app#appuploadfiles/3a1a2f16-c272-9125-e2c6-48b35ab1626d","Wages GBP")</f>
      </c>
      <c r="B25" s="3" t="s">
        <v>15</v>
      </c>
      <c r="C25" s="4">
        <v>2</v>
      </c>
    </row>
    <row r="26">
      <c r="A26" s="5">
        <f>HYPERLINK("https://app-web.statementrec.com/app#appuploadfiles/3a1b1f97-01e7-6144-df15-60930915f459","David Connelly")</f>
      </c>
      <c r="B26" s="3" t="s">
        <v>18</v>
      </c>
      <c r="C26" s="4">
        <v>8</v>
      </c>
    </row>
    <row r="27">
      <c r="A27" s="5">
        <f>HYPERLINK("https://app-web.statementrec.com/app#appuploadfiles/3a1bdefe-9c22-c978-4e79-63b8783ec490","ABC")</f>
      </c>
      <c r="B27" s="3" t="s">
        <v>19</v>
      </c>
      <c r="C27" s="4">
        <v>4</v>
      </c>
    </row>
    <row r="28">
      <c r="A28" s="5">
        <f>HYPERLINK("https://app-web.statementrec.com/app#appuploadfiles/3a1c2674-7f09-4517-1cfc-85b023e74218","SSC Eagle Capital")</f>
      </c>
      <c r="B28" s="3" t="s">
        <v>20</v>
      </c>
      <c r="C28" s="4">
        <v>2</v>
      </c>
    </row>
    <row r="29">
      <c r="A29" s="5">
        <f>HYPERLINK("https://app-web.statementrec.com/app#appuploadfiles/3a1ddfbd-d221-6370-b516-5ae8e93b760b","Dr Rob Kennedy")</f>
      </c>
      <c r="B29" s="3" t="s">
        <v>21</v>
      </c>
      <c r="C29" s="4">
        <v>8</v>
      </c>
    </row>
    <row r="30">
      <c r="A30" s="5">
        <f>HYPERLINK("https://app-web.statementrec.com/app#appuploadfiles/3a1ded1c-33c1-fddd-0651-8f198c0d5b45","Ecocity")</f>
      </c>
      <c r="B30" s="3" t="s">
        <v>22</v>
      </c>
      <c r="C30" s="4">
        <v>3</v>
      </c>
    </row>
    <row r="31">
      <c r="A31" s="5">
        <f>HYPERLINK("https://app-web.statementrec.com/app#appuploadfiles/3a1ece73-66e9-a33f-7f0c-2fbe58b7d49a","Elecrete")</f>
      </c>
      <c r="B31" s="3" t="s">
        <v>23</v>
      </c>
      <c r="C31" s="4">
        <v>5</v>
      </c>
    </row>
    <row r="32">
      <c r="A32" s="5">
        <f>HYPERLINK("https://app-web.statementrec.com/app#appuploadfiles/3a1ef28e-6270-c196-0320-c34f42f80903","Churchill-knight new")</f>
      </c>
      <c r="B32" s="3" t="s">
        <v>24</v>
      </c>
      <c r="C32" s="4">
        <v>5</v>
      </c>
    </row>
    <row r="33">
      <c r="A33" s="5">
        <f>HYPERLINK("https://app-web.statementrec.com/app#appuploadfiles/3a1f095c-b604-abaa-b6ee-3efebf54355a","Sula Clinic Ltd")</f>
      </c>
      <c r="B33" s="3" t="s">
        <v>25</v>
      </c>
      <c r="C33" s="4">
        <v>7</v>
      </c>
    </row>
    <row r="34">
      <c r="A34" s="5">
        <f>HYPERLINK("https://app-web.statementrec.com/app#appuploadfiles/3a1f9c0e-eb0f-c2be-3517-42702d335627","Cocoon Night Club (Pty) Ltd")</f>
      </c>
      <c r="B34" s="3" t="s">
        <v>23</v>
      </c>
      <c r="C34" s="4">
        <v>300</v>
      </c>
    </row>
    <row r="35">
      <c r="A35" s="5">
        <f>HYPERLINK("https://app-web.statementrec.com/app#appuploadfiles/3a1fc35a-9d3e-0a49-06de-22e0c7313cee","Get card Direct")</f>
      </c>
      <c r="B35" s="3" t="s">
        <v>26</v>
      </c>
      <c r="C35" s="4">
        <v>4</v>
      </c>
    </row>
    <row r="36">
      <c r="A36" s="5">
        <f>HYPERLINK("https://app-web.statementrec.com/app#appuploadfiles/3a1fc3a6-15a4-79c6-ed1a-47ddf6057a9d","Graffiti Designs Pty Ltd")</f>
      </c>
      <c r="B36" s="3" t="s">
        <v>14</v>
      </c>
      <c r="C36" s="4">
        <v>17</v>
      </c>
    </row>
    <row r="37">
      <c r="A37" s="5">
        <f>HYPERLINK("https://app-web.statementrec.com/app#appuploadfiles/3a201794-953d-b125-b5c3-d4c8b15aed96","BEAUSALE CONSULTING LIMITED")</f>
      </c>
      <c r="B37" s="3" t="s">
        <v>12</v>
      </c>
      <c r="C37" s="4">
        <v>14</v>
      </c>
    </row>
    <row r="38">
      <c r="A38" s="5">
        <f>HYPERLINK("https://app-web.statementrec.com/app#appuploadfiles/3a213cf8-3970-3a3b-9490-7f04986112ff","Sam Skidmore 0577")</f>
      </c>
      <c r="B38" s="3" t="s">
        <v>27</v>
      </c>
      <c r="C38" s="4">
        <v>37</v>
      </c>
    </row>
    <row r="39">
      <c r="A39" s="5">
        <f>HYPERLINK("https://app-web.statementrec.com/app#appuploadfiles/3a2192a2-a1d9-710e-d759-7bc2fee6769a","Natasha")</f>
      </c>
      <c r="B39" s="3" t="s">
        <v>28</v>
      </c>
      <c r="C39" s="4">
        <v>170</v>
      </c>
    </row>
    <row r="40">
      <c r="A40" s="5">
        <f>HYPERLINK("https://app-web.statementrec.com/app#appuploadfiles/3a2192e6-fca4-2077-6b7d-d1df814ef2bf","S&amp;C Saunders - NAB Trade - 2021FY")</f>
      </c>
      <c r="B40" s="3" t="s">
        <v>29</v>
      </c>
      <c r="C40" s="4">
        <v>7</v>
      </c>
    </row>
    <row r="41">
      <c r="A41" s="5">
        <f>HYPERLINK("https://app-web.statementrec.com/app#appuploadfiles/3a21941f-2986-0bfb-495b-1c499906638c","Lawton - Ord Minnett")</f>
      </c>
      <c r="B41" s="3" t="s">
        <v>30</v>
      </c>
      <c r="C41" s="4">
        <v>4</v>
      </c>
    </row>
    <row r="42">
      <c r="A42" s="5">
        <f>HYPERLINK("https://app-web.statementrec.com/app#appuploadfiles/3a219427-a411-a353-e60e-438acba4d544","Elevate with Olivia")</f>
      </c>
      <c r="B42" s="3" t="s">
        <v>5</v>
      </c>
      <c r="C42" s="4">
        <v>10</v>
      </c>
    </row>
    <row r="43">
      <c r="A43" s="5">
        <f>HYPERLINK("https://app-web.statementrec.com/app#appuploadfiles/3a21943a-7475-6827-9049-ef07edc29ff7","Brett 2026")</f>
      </c>
      <c r="B43" s="3" t="s">
        <v>31</v>
      </c>
      <c r="C43" s="4">
        <v>13</v>
      </c>
    </row>
    <row r="44">
      <c r="A44" s="5">
        <f>HYPERLINK("https://app-web.statementrec.com/app#appuploadfiles/3a219445-3ed5-29c4-4baa-de607dbbb9cf","Power Serwice Ltd")</f>
      </c>
      <c r="B44" s="3" t="s">
        <v>32</v>
      </c>
      <c r="C44" s="4">
        <v>4</v>
      </c>
    </row>
    <row r="45">
      <c r="A45" s="5">
        <f>HYPERLINK("https://app-web.statementrec.com/app#appuploadfiles/3a21945c-b44a-2631-0e70-c8a213a2188d","SMART SAFE ELECTRICAL LIMITED")</f>
      </c>
      <c r="B45" s="3" t="s">
        <v>33</v>
      </c>
      <c r="C45" s="4">
        <v>17</v>
      </c>
    </row>
    <row r="46">
      <c r="A46" s="5">
        <f>HYPERLINK("https://app-web.statementrec.com/app#appuploadfiles/3a219466-f51b-c9b9-ff4c-17bf1df44f24","Zaye Capital Limited")</f>
      </c>
      <c r="B46" s="3" t="s">
        <v>34</v>
      </c>
      <c r="C46" s="4">
        <v>2</v>
      </c>
    </row>
    <row r="47">
      <c r="A47" s="5">
        <f>HYPERLINK("https://app-web.statementrec.com/app#appuploadfiles/3a219468-6f9c-dde5-15a1-9bc68450e1ec","Cartails")</f>
      </c>
      <c r="B47" s="3" t="s">
        <v>18</v>
      </c>
      <c r="C47" s="4">
        <v>29</v>
      </c>
    </row>
    <row r="48">
      <c r="A48" s="5">
        <f>HYPERLINK("https://app-web.statementrec.com/app#appuploadfiles/3a21946e-7857-4977-eb58-675f3161ecfa","Generativ Ltd")</f>
      </c>
      <c r="B48" s="3" t="s">
        <v>5</v>
      </c>
      <c r="C48" s="4">
        <v>1</v>
      </c>
    </row>
    <row r="49">
      <c r="A49" s="5">
        <f>HYPERLINK("https://app-web.statementrec.com/app#appuploadfiles/3a21946e-f822-6a19-6aad-ee2b28456298","Unleashed Homes Ltd")</f>
      </c>
      <c r="B49" s="3" t="s">
        <v>20</v>
      </c>
      <c r="C49" s="4">
        <v>42</v>
      </c>
    </row>
    <row r="50">
      <c r="A50" s="5">
        <f>HYPERLINK("https://app-web.statementrec.com/app#appuploadfiles/3a219474-ebe8-6d3b-0932-bd936ec215b6","31.03.26")</f>
      </c>
      <c r="B50" s="3" t="s">
        <v>22</v>
      </c>
      <c r="C50" s="4">
        <v>14</v>
      </c>
    </row>
    <row r="51">
      <c r="A51" s="5">
        <f>HYPERLINK("https://app-web.statementrec.com/app#appuploadfiles/3a219476-b10c-4217-550d-c9fe130e7d53","Corotana Global - 141002")</f>
      </c>
      <c r="B51" s="3" t="s">
        <v>12</v>
      </c>
      <c r="C51" s="4">
        <v>2</v>
      </c>
    </row>
    <row r="52">
      <c r="A52" s="5">
        <f>HYPERLINK("https://app-web.statementrec.com/app#appuploadfiles/3a219477-4f6c-37c8-9952-b910e8b6ee74","Ulivo Management Services Limited")</f>
      </c>
      <c r="B52" s="3" t="s">
        <v>9</v>
      </c>
      <c r="C52" s="4">
        <v>13</v>
      </c>
    </row>
    <row r="53">
      <c r="A53" s="5">
        <f>HYPERLINK("https://app-web.statementrec.com/app#appuploadfiles/3a21947c-2055-ff36-3274-6cc2c3e40e6e","YE March 26")</f>
      </c>
      <c r="B53" s="3" t="s">
        <v>6</v>
      </c>
      <c r="C53" s="4">
        <v>13</v>
      </c>
    </row>
    <row r="54">
      <c r="A54" s="5">
        <f>HYPERLINK("https://app-web.statementrec.com/app#appuploadfiles/3a219495-e2e7-8b10-8315-d16c61f8b6f4","GDConsultancy ltd")</f>
      </c>
      <c r="B54" s="3" t="s">
        <v>31</v>
      </c>
      <c r="C54" s="4">
        <v>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</hyperlinks>
  <headerFooter>
    <oddFooter>&amp;L&amp;Z&amp;F&amp;C&amp;A&amp;RPage &amp;P of &amp;N</oddFooter>
  </headerFooter>
</worksheet>
</file>