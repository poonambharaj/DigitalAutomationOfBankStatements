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Processing Report" sheetId="1" r:id="rId1"/>
  </sheets>
  <definedNames>
    <definedName name="_xlnm.Print_Titles" localSheetId="0">'Data Processing Report'!$A:$E,'Data Processing Report'!$1:$1</definedName>
  </definedNames>
  <calcPr fullCalcOnLoad="1"/>
</workbook>
</file>

<file path=xl/sharedStrings.xml><?xml version="1.0" encoding="utf-8"?>
<sst xmlns="http://schemas.openxmlformats.org/spreadsheetml/2006/main" count="35" uniqueCount="35">
  <si>
    <t>Project</t>
  </si>
  <si>
    <t>Bank</t>
  </si>
  <si>
    <t>Pages</t>
  </si>
  <si>
    <t>OTHER</t>
  </si>
  <si>
    <t>Santander</t>
  </si>
  <si>
    <t>UlsterBank</t>
  </si>
  <si>
    <t>Metro Bank</t>
  </si>
  <si>
    <t>Barclay</t>
  </si>
  <si>
    <t>HSBC</t>
  </si>
  <si>
    <t xml:space="preserve"> Revolut</t>
  </si>
  <si>
    <t>Lloyds TSB</t>
  </si>
  <si>
    <t>Other</t>
  </si>
  <si>
    <t>First National Bank</t>
  </si>
  <si>
    <t>Starling Bank</t>
  </si>
  <si>
    <t xml:space="preserve"> Tide bank</t>
  </si>
  <si>
    <t>Natwest_RG</t>
  </si>
  <si>
    <t>RBS</t>
  </si>
  <si>
    <t>Bank Of Ireland,funding circle</t>
  </si>
  <si>
    <t>tide</t>
  </si>
  <si>
    <t>Commonwealth Bank</t>
  </si>
  <si>
    <t>Amex</t>
  </si>
  <si>
    <t>Barclays,HSBC</t>
  </si>
  <si>
    <t>NA,Standard Bank</t>
  </si>
  <si>
    <t>Wise Business</t>
  </si>
  <si>
    <t>Standard Bank</t>
  </si>
  <si>
    <t>BNP PARIBAS</t>
  </si>
  <si>
    <t>FIRST FOUNDATION BANK</t>
  </si>
  <si>
    <t>Monzo Bank</t>
  </si>
  <si>
    <t>Capital One</t>
  </si>
  <si>
    <t>Danske</t>
  </si>
  <si>
    <t>fnb</t>
  </si>
  <si>
    <t>Revolut Business</t>
  </si>
  <si>
    <t>HSBC,Santander</t>
  </si>
  <si>
    <t>carno capital,other</t>
  </si>
  <si>
    <t>isle of man bank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</si>
</sst>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0"/>
      <name val="Arial"/>
    </font>
    <font>
      <b/>
      <sz val="10"/>
      <color rgb="FFFFFFFF" tint="0"/>
      <name val="Arial"/>
    </font>
    <font>
      <u/>
      <sz val="10"/>
      <color rgb="FF0576CA" tint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49" applyNumberFormat="1" fontId="1" applyFont="1" xfId="0" applyProtection="1"/>
    <xf numFmtId="3" applyNumberFormat="1" fontId="1" applyFont="1" xfId="0" applyProtection="1"/>
    <xf numFmtId="49" applyNumberFormat="1" fontId="3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app-web.statementrec.com/app#appuploadfiles/39e8dff5-c6ef-350e-43f4-fd21d56884f6" TargetMode="External"/><Relationship Id="rId2" Type="http://schemas.openxmlformats.org/officeDocument/2006/relationships/hyperlink" Target="https://app-web.statementrec.com/app#appuploadfiles/39ef4fb2-00a5-eece-10d5-9361d6af6ec8" TargetMode="External"/><Relationship Id="rId3" Type="http://schemas.openxmlformats.org/officeDocument/2006/relationships/hyperlink" Target="https://app-web.statementrec.com/app#appuploadfiles/39f6262f-8507-aae8-5c29-e8e5a5186923" TargetMode="External"/><Relationship Id="rId4" Type="http://schemas.openxmlformats.org/officeDocument/2006/relationships/hyperlink" Target="https://app-web.statementrec.com/app#appuploadfiles/39f83d75-02ec-e12c-903e-dd747d52d481" TargetMode="External"/><Relationship Id="rId5" Type="http://schemas.openxmlformats.org/officeDocument/2006/relationships/hyperlink" Target="https://app-web.statementrec.com/app#appuploadfiles/39fb7ad5-f693-3c21-dd9c-36519ccdad02" TargetMode="External"/><Relationship Id="rId6" Type="http://schemas.openxmlformats.org/officeDocument/2006/relationships/hyperlink" Target="https://app-web.statementrec.com/app#appuploadfiles/39fc7827-c940-7586-1cbe-dac68aaecbd2" TargetMode="External"/><Relationship Id="rId7" Type="http://schemas.openxmlformats.org/officeDocument/2006/relationships/hyperlink" Target="https://app-web.statementrec.com/app#appuploadfiles/39ff8bad-3a48-c074-43e8-b7ac4ee153d9" TargetMode="External"/><Relationship Id="rId8" Type="http://schemas.openxmlformats.org/officeDocument/2006/relationships/hyperlink" Target="https://app-web.statementrec.com/app#appuploadfiles/3a0503a1-4672-d271-726a-a9b841f6e82e" TargetMode="External"/><Relationship Id="rId9" Type="http://schemas.openxmlformats.org/officeDocument/2006/relationships/hyperlink" Target="https://app-web.statementrec.com/app#appuploadfiles/3a060a73-3ed6-52f3-0acc-eb6b84944b28" TargetMode="External"/><Relationship Id="rId10" Type="http://schemas.openxmlformats.org/officeDocument/2006/relationships/hyperlink" Target="https://app-web.statementrec.com/app#appuploadfiles/3a06a04a-4b21-46d2-dbb8-7445652b9e65" TargetMode="External"/><Relationship Id="rId11" Type="http://schemas.openxmlformats.org/officeDocument/2006/relationships/hyperlink" Target="https://app-web.statementrec.com/app#appuploadfiles/3a0a0157-aaf2-6ede-98f0-7310c2bca8af" TargetMode="External"/><Relationship Id="rId12" Type="http://schemas.openxmlformats.org/officeDocument/2006/relationships/hyperlink" Target="https://app-web.statementrec.com/app#appuploadfiles/3a0b3098-5aff-3318-d848-1c0ec8f4a32e" TargetMode="External"/><Relationship Id="rId13" Type="http://schemas.openxmlformats.org/officeDocument/2006/relationships/hyperlink" Target="https://app-web.statementrec.com/app#appuploadfiles/3a129908-2afc-09b5-1130-a75537c8b3c1" TargetMode="External"/><Relationship Id="rId14" Type="http://schemas.openxmlformats.org/officeDocument/2006/relationships/hyperlink" Target="https://app-web.statementrec.com/app#appuploadfiles/3a1559a7-7431-5013-75e8-7ada4072b201" TargetMode="External"/><Relationship Id="rId15" Type="http://schemas.openxmlformats.org/officeDocument/2006/relationships/hyperlink" Target="https://app-web.statementrec.com/app#appuploadfiles/3a1588ee-fe31-44dc-3e15-d698cf155b96" TargetMode="External"/><Relationship Id="rId16" Type="http://schemas.openxmlformats.org/officeDocument/2006/relationships/hyperlink" Target="https://app-web.statementrec.com/app#appuploadfiles/3a162cd3-13b1-dd94-bf5f-b80eca99ce7e" TargetMode="External"/><Relationship Id="rId17" Type="http://schemas.openxmlformats.org/officeDocument/2006/relationships/hyperlink" Target="https://app-web.statementrec.com/app#appuploadfiles/3a17ed23-aa05-e646-2d6a-77943feab212" TargetMode="External"/><Relationship Id="rId18" Type="http://schemas.openxmlformats.org/officeDocument/2006/relationships/hyperlink" Target="https://app-web.statementrec.com/app#appuploadfiles/3a19bf12-0a40-0ac4-e778-5c9ca2adc77d" TargetMode="External"/><Relationship Id="rId19" Type="http://schemas.openxmlformats.org/officeDocument/2006/relationships/hyperlink" Target="https://app-web.statementrec.com/app#appuploadfiles/3a1a5288-3dc5-e298-666e-6e6c45fad896" TargetMode="External"/><Relationship Id="rId20" Type="http://schemas.openxmlformats.org/officeDocument/2006/relationships/hyperlink" Target="https://app-web.statementrec.com/app#appuploadfiles/3a1a7432-187b-3ac7-b756-d2557241a159" TargetMode="External"/><Relationship Id="rId21" Type="http://schemas.openxmlformats.org/officeDocument/2006/relationships/hyperlink" Target="https://app-web.statementrec.com/app#appuploadfiles/3a1ad873-dbaa-e161-b277-431ae81638d3" TargetMode="External"/><Relationship Id="rId22" Type="http://schemas.openxmlformats.org/officeDocument/2006/relationships/hyperlink" Target="https://app-web.statementrec.com/app#appuploadfiles/3a1af6a1-e5d3-dc3d-2473-ff9e4e788386" TargetMode="External"/><Relationship Id="rId23" Type="http://schemas.openxmlformats.org/officeDocument/2006/relationships/hyperlink" Target="https://app-web.statementrec.com/app#appuploadfiles/3a1c3132-d094-4c53-9a51-bb54e47d3fb4" TargetMode="External"/><Relationship Id="rId24" Type="http://schemas.openxmlformats.org/officeDocument/2006/relationships/hyperlink" Target="https://app-web.statementrec.com/app#appuploadfiles/3a1cff4f-f3e7-d124-950d-14aa946966c0" TargetMode="External"/><Relationship Id="rId25" Type="http://schemas.openxmlformats.org/officeDocument/2006/relationships/hyperlink" Target="https://app-web.statementrec.com/app#appuploadfiles/3a1db812-4ee6-b688-b20d-11776dfadcd2" TargetMode="External"/><Relationship Id="rId26" Type="http://schemas.openxmlformats.org/officeDocument/2006/relationships/hyperlink" Target="https://app-web.statementrec.com/app#appuploadfiles/3a1f54a6-6766-9560-aef4-37cced35cb70" TargetMode="External"/><Relationship Id="rId27" Type="http://schemas.openxmlformats.org/officeDocument/2006/relationships/hyperlink" Target="https://app-web.statementrec.com/app#appuploadfiles/3a1f5e97-f5c4-29b8-cc26-59773a800f17" TargetMode="External"/><Relationship Id="rId28" Type="http://schemas.openxmlformats.org/officeDocument/2006/relationships/hyperlink" Target="https://app-web.statementrec.com/app#appuploadfiles/3a1f5ea4-41c2-bc32-85f4-24d628e3be1d" TargetMode="External"/><Relationship Id="rId29" Type="http://schemas.openxmlformats.org/officeDocument/2006/relationships/hyperlink" Target="https://app-web.statementrec.com/app#appuploadfiles/3a1f8266-7ef5-9c91-0941-552894a5b41f" TargetMode="External"/><Relationship Id="rId30" Type="http://schemas.openxmlformats.org/officeDocument/2006/relationships/hyperlink" Target="https://app-web.statementrec.com/app#appuploadfiles/3a1fe471-3c98-fa1b-716e-1d86e15f1147" TargetMode="External"/><Relationship Id="rId31" Type="http://schemas.openxmlformats.org/officeDocument/2006/relationships/hyperlink" Target="https://app-web.statementrec.com/app#appuploadfiles/3a20c872-f5ee-635b-8391-88f1a46b3530" TargetMode="External"/><Relationship Id="rId32" Type="http://schemas.openxmlformats.org/officeDocument/2006/relationships/hyperlink" Target="https://app-web.statementrec.com/app#appuploadfiles/3a21809b-2efd-d742-4656-42dc66ce598b" TargetMode="External"/><Relationship Id="rId33" Type="http://schemas.openxmlformats.org/officeDocument/2006/relationships/hyperlink" Target="https://app-web.statementrec.com/app#appuploadfiles/3a2180dc-60c9-945c-6104-183008a4e7e5" TargetMode="External"/><Relationship Id="rId34" Type="http://schemas.openxmlformats.org/officeDocument/2006/relationships/hyperlink" Target="https://app-web.statementrec.com/app#appuploadfiles/3a218388-d8fd-6403-018e-b00343e95de1" TargetMode="External"/><Relationship Id="rId35" Type="http://schemas.openxmlformats.org/officeDocument/2006/relationships/hyperlink" Target="https://app-web.statementrec.com/app#appuploadfiles/3a2184cd-be77-57ea-7525-b7afd697b22d" TargetMode="External"/><Relationship Id="rId36" Type="http://schemas.openxmlformats.org/officeDocument/2006/relationships/hyperlink" Target="https://app-web.statementrec.com/app#appuploadfiles/3a2184d0-83bb-8bce-acf6-7d475f1f2af8" TargetMode="External"/><Relationship Id="rId37" Type="http://schemas.openxmlformats.org/officeDocument/2006/relationships/hyperlink" Target="https://app-web.statementrec.com/app#appuploadfiles/3a2184d1-9d6c-0064-070c-25023d12de85" TargetMode="External"/><Relationship Id="rId38" Type="http://schemas.openxmlformats.org/officeDocument/2006/relationships/hyperlink" Target="https://app-web.statementrec.com/app#appuploadfiles/3a2184d7-cc16-25fa-7058-df0dbbdc6346" TargetMode="External"/><Relationship Id="rId39" Type="http://schemas.openxmlformats.org/officeDocument/2006/relationships/hyperlink" Target="https://app-web.statementrec.com/app#appuploadfiles/3a218500-3677-6afd-af69-de583e5b8db8" TargetMode="External"/><Relationship Id="rId40" Type="http://schemas.openxmlformats.org/officeDocument/2006/relationships/hyperlink" Target="https://app-web.statementrec.com/app#appuploadfiles/3a21850a-eff5-e1af-79be-d96b9ffa6979" TargetMode="External"/><Relationship Id="rId41" Type="http://schemas.openxmlformats.org/officeDocument/2006/relationships/hyperlink" Target="https://app-web.statementrec.com/app#appuploadfiles/3a218513-b414-1dc7-c9d4-aced1f09e4a8" TargetMode="External"/><Relationship Id="rId42" Type="http://schemas.openxmlformats.org/officeDocument/2006/relationships/hyperlink" Target="https://app-web.statementrec.com/app#appuploadfiles/3a218514-40f8-706d-486b-c191b955d52e" TargetMode="External"/><Relationship Id="rId43" Type="http://schemas.openxmlformats.org/officeDocument/2006/relationships/hyperlink" Target="https://app-web.statementrec.com/app#appuploadfiles/3a218524-8a0c-3bf5-5503-d811dfb45d94" TargetMode="External"/><Relationship Id="rId44" Type="http://schemas.openxmlformats.org/officeDocument/2006/relationships/hyperlink" Target="https://app-web.statementrec.com/app#appuploadfiles/3a218547-e55d-84c0-f36d-640f98ffa8c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5"/>
  <sheetViews>
    <sheetView workbookViewId="0"/>
  </sheetViews>
  <sheetFormatPr defaultRowHeight="15"/>
  <cols>
    <col min="1" max="1" width="8.00006103515625" customWidth="1" style="1"/>
    <col min="2" max="2" width="27.0848802839007" customWidth="1" style="1"/>
    <col min="3" max="3" width="7.12952532087054" customWidth="1" style="1"/>
    <col min="4" max="16384" width="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5">
        <f>HYPERLINK("https://app-web.statementrec.com/app#appuploadfiles/39e8dff5-c6ef-350e-43f4-fd21d56884f6","Fareham Creek Ltd")</f>
      </c>
      <c r="B2" s="3" t="s">
        <v>3</v>
      </c>
      <c r="C2" s="4">
        <v>2</v>
      </c>
    </row>
    <row r="3">
      <c r="A3" s="5">
        <f>HYPERLINK("https://app-web.statementrec.com/app#appuploadfiles/39ef4fb2-00a5-eece-10d5-9361d6af6ec8","3712 - JRS Commercials and Cars Limited")</f>
      </c>
      <c r="B3" s="3" t="s">
        <v>4</v>
      </c>
      <c r="C3" s="4">
        <v>16</v>
      </c>
    </row>
    <row r="4">
      <c r="A4" s="5">
        <f>HYPERLINK("https://app-web.statementrec.com/app#appuploadfiles/39f6262f-8507-aae8-5c29-e8e5a5186923","Rainey Specialist Contractors Limited")</f>
      </c>
      <c r="B4" s="3" t="s">
        <v>5</v>
      </c>
      <c r="C4" s="4">
        <v>17</v>
      </c>
    </row>
    <row r="5">
      <c r="A5" s="5">
        <f>HYPERLINK("https://app-web.statementrec.com/app#appuploadfiles/39f83d75-02ec-e12c-903e-dd747d52d481","MDB Productions Ltd")</f>
      </c>
      <c r="B5" s="3" t="s">
        <v>6</v>
      </c>
      <c r="C5" s="4">
        <v>8</v>
      </c>
    </row>
    <row r="6">
      <c r="A6" s="5">
        <f>HYPERLINK("https://app-web.statementrec.com/app#appuploadfiles/39fb7ad5-f693-3c21-dd9c-36519ccdad02","Cartref")</f>
      </c>
      <c r="B6" s="3" t="s">
        <v>7</v>
      </c>
      <c r="C6" s="4">
        <v>6</v>
      </c>
    </row>
    <row r="7">
      <c r="A7" s="5">
        <f>HYPERLINK("https://app-web.statementrec.com/app#appuploadfiles/39fc7827-c940-7586-1cbe-dac68aaecbd2","J Nissim")</f>
      </c>
      <c r="B7" s="3" t="s">
        <v>8</v>
      </c>
      <c r="C7" s="4">
        <v>3</v>
      </c>
    </row>
    <row r="8">
      <c r="A8" s="5">
        <f>HYPERLINK("https://app-web.statementrec.com/app#appuploadfiles/39ff8bad-3a48-c074-43e8-b7ac4ee153d9","Star Delta")</f>
      </c>
      <c r="B8" s="3" t="s">
        <v>5</v>
      </c>
      <c r="C8" s="4">
        <v>4</v>
      </c>
    </row>
    <row r="9">
      <c r="A9" s="5">
        <f>HYPERLINK("https://app-web.statementrec.com/app#appuploadfiles/3a0503a1-4672-d271-726a-a9b841f6e82e","Blank")</f>
      </c>
      <c r="B9" s="3" t="s">
        <v>9</v>
      </c>
      <c r="C9" s="4">
        <v>7</v>
      </c>
    </row>
    <row r="10">
      <c r="A10" s="5">
        <f>HYPERLINK("https://app-web.statementrec.com/app#appuploadfiles/3a060a73-3ed6-52f3-0acc-eb6b84944b28","AK Contracting")</f>
      </c>
      <c r="B10" s="3" t="s">
        <v>10</v>
      </c>
      <c r="C10" s="4">
        <v>2</v>
      </c>
    </row>
    <row r="11">
      <c r="A11" s="5">
        <f>HYPERLINK("https://app-web.statementrec.com/app#appuploadfiles/3a06a04a-4b21-46d2-dbb8-7445652b9e65","Bikmo GmbH")</f>
      </c>
      <c r="B11" s="3" t="s">
        <v>11</v>
      </c>
      <c r="C11" s="4">
        <v>2</v>
      </c>
    </row>
    <row r="12">
      <c r="A12" s="5">
        <f>HYPERLINK("https://app-web.statementrec.com/app#appuploadfiles/3a0a0157-aaf2-6ede-98f0-7310c2bca8af","BOOYAH HOLDINGS (PTY) LTD")</f>
      </c>
      <c r="B12" s="3" t="s">
        <v>12</v>
      </c>
      <c r="C12" s="4">
        <v>11</v>
      </c>
    </row>
    <row r="13">
      <c r="A13" s="5">
        <f>HYPERLINK("https://app-web.statementrec.com/app#appuploadfiles/3a0b3098-5aff-3318-d848-1c0ec8f4a32e","Hello Beautiful Aesthetics Ltd")</f>
      </c>
      <c r="B13" s="3" t="s">
        <v>13</v>
      </c>
      <c r="C13" s="4">
        <v>25</v>
      </c>
    </row>
    <row r="14">
      <c r="A14" s="5">
        <f>HYPERLINK("https://app-web.statementrec.com/app#appuploadfiles/3a129908-2afc-09b5-1130-a75537c8b3c1","Denford Pub Co Ltd")</f>
      </c>
      <c r="B14" s="3" t="s">
        <v>14</v>
      </c>
      <c r="C14" s="4">
        <v>14</v>
      </c>
    </row>
    <row r="15">
      <c r="A15" s="5">
        <f>HYPERLINK("https://app-web.statementrec.com/app#appuploadfiles/3a1559a7-7431-5013-75e8-7ada4072b201","ICS Print Limited")</f>
      </c>
      <c r="B15" s="3" t="s">
        <v>15</v>
      </c>
      <c r="C15" s="4">
        <v>3</v>
      </c>
    </row>
    <row r="16">
      <c r="A16" s="5">
        <f>HYPERLINK("https://app-web.statementrec.com/app#appuploadfiles/3a1588ee-fe31-44dc-3e15-d698cf155b96","NE Commercial Lettings Ltd")</f>
      </c>
      <c r="B16" s="3" t="s">
        <v>15</v>
      </c>
      <c r="C16" s="4">
        <v>2</v>
      </c>
    </row>
    <row r="17">
      <c r="A17" s="5">
        <f>HYPERLINK("https://app-web.statementrec.com/app#appuploadfiles/3a162cd3-13b1-dd94-bf5f-b80eca99ce7e","AN-COC0006 RW&amp;J Cochrane &amp; Sons Ltd")</f>
      </c>
      <c r="B17" s="3" t="s">
        <v>16</v>
      </c>
      <c r="C17" s="4">
        <v>1</v>
      </c>
    </row>
    <row r="18">
      <c r="A18" s="5">
        <f>HYPERLINK("https://app-web.statementrec.com/app#appuploadfiles/3a17ed23-aa05-e646-2d6a-77943feab212","JAK Contracts Painting Ltd")</f>
      </c>
      <c r="B18" s="3" t="s">
        <v>17</v>
      </c>
      <c r="C18" s="4">
        <v>3</v>
      </c>
    </row>
    <row r="19">
      <c r="A19" s="5">
        <f>HYPERLINK("https://app-web.statementrec.com/app#appuploadfiles/3a19bf12-0a40-0ac4-e778-5c9ca2adc77d","Sandpiper Gardens &amp; Glass Inc")</f>
      </c>
      <c r="B19" s="3" t="s">
        <v>7</v>
      </c>
      <c r="C19" s="4">
        <v>9</v>
      </c>
    </row>
    <row r="20">
      <c r="A20" s="5">
        <f>HYPERLINK("https://app-web.statementrec.com/app#appuploadfiles/3a1a5288-3dc5-e298-666e-6e6c45fad896","Andrea Fabian Ltd")</f>
      </c>
      <c r="B20" s="3" t="s">
        <v>18</v>
      </c>
      <c r="C20" s="4">
        <v>18</v>
      </c>
    </row>
    <row r="21">
      <c r="A21" s="5">
        <f>HYPERLINK("https://app-web.statementrec.com/app#appuploadfiles/3a1a7432-187b-3ac7-b756-d2557241a159","Petal Pop Flowers")</f>
      </c>
      <c r="B21" s="3" t="s">
        <v>19</v>
      </c>
      <c r="C21" s="4">
        <v>5</v>
      </c>
    </row>
    <row r="22">
      <c r="A22" s="5">
        <f>HYPERLINK("https://app-web.statementrec.com/app#appuploadfiles/3a1ad873-dbaa-e161-b277-431ae81638d3","Anisan Fashions UK Limited")</f>
      </c>
      <c r="B22" s="3" t="s">
        <v>20</v>
      </c>
      <c r="C22" s="4">
        <v>11</v>
      </c>
    </row>
    <row r="23">
      <c r="A23" s="5">
        <f>HYPERLINK("https://app-web.statementrec.com/app#appuploadfiles/3a1af6a1-e5d3-dc3d-2473-ff9e4e788386","T &amp; D I Allen &amp; Son")</f>
      </c>
      <c r="B23" s="3" t="s">
        <v>21</v>
      </c>
      <c r="C23" s="4">
        <v>10</v>
      </c>
    </row>
    <row r="24">
      <c r="A24" s="5">
        <f>HYPERLINK("https://app-web.statementrec.com/app#appuploadfiles/3a1c3132-d094-4c53-9a51-bb54e47d3fb4","Domestic Maintenance Solutions Ltd")</f>
      </c>
      <c r="B24" s="3" t="s">
        <v>8</v>
      </c>
      <c r="C24" s="4">
        <v>20</v>
      </c>
    </row>
    <row r="25">
      <c r="A25" s="5">
        <f>HYPERLINK("https://app-web.statementrec.com/app#appuploadfiles/3a1cff4f-f3e7-d124-950d-14aa946966c0","Zach")</f>
      </c>
      <c r="B25" s="3" t="s">
        <v>22</v>
      </c>
      <c r="C25" s="4">
        <v>9</v>
      </c>
    </row>
    <row r="26">
      <c r="A26" s="5">
        <f>HYPERLINK("https://app-web.statementrec.com/app#appuploadfiles/3a1db812-4ee6-b688-b20d-11776dfadcd2","Team Scotia")</f>
      </c>
      <c r="B26" s="3" t="s">
        <v>23</v>
      </c>
      <c r="C26" s="4">
        <v>2</v>
      </c>
    </row>
    <row r="27">
      <c r="A27" s="5">
        <f>HYPERLINK("https://app-web.statementrec.com/app#appuploadfiles/3a1f54a6-6766-9560-aef4-37cced35cb70","Matosse Holdings")</f>
      </c>
      <c r="B27" s="3" t="s">
        <v>24</v>
      </c>
      <c r="C27" s="4">
        <v>25</v>
      </c>
    </row>
    <row r="28">
      <c r="A28" s="5">
        <f>HYPERLINK("https://app-web.statementrec.com/app#appuploadfiles/3a1f5e97-f5c4-29b8-cc26-59773a800f17","SJ ALFORTVILLE")</f>
      </c>
      <c r="B28" s="3" t="s">
        <v>25</v>
      </c>
      <c r="C28" s="4">
        <v>6</v>
      </c>
    </row>
    <row r="29">
      <c r="A29" s="5">
        <f>HYPERLINK("https://app-web.statementrec.com/app#appuploadfiles/3a1f5ea4-41c2-bc32-85f4-24d628e3be1d","SJ OPTIMUM")</f>
      </c>
      <c r="B29" s="3" t="s">
        <v>25</v>
      </c>
      <c r="C29" s="4">
        <v>1</v>
      </c>
    </row>
    <row r="30">
      <c r="A30" s="5">
        <f>HYPERLINK("https://app-web.statementrec.com/app#appuploadfiles/3a1f8266-7ef5-9c91-0941-552894a5b41f","Heathrow Trading Pty Ltd")</f>
      </c>
      <c r="B30" s="3" t="s">
        <v>24</v>
      </c>
      <c r="C30" s="4">
        <v>44</v>
      </c>
    </row>
    <row r="31">
      <c r="A31" s="5">
        <f>HYPERLINK("https://app-web.statementrec.com/app#appuploadfiles/3a1fe471-3c98-fa1b-716e-1d86e15f1147","01 Dec 2025-28 Feb 2026")</f>
      </c>
      <c r="B31" s="3" t="s">
        <v>8</v>
      </c>
      <c r="C31" s="4">
        <v>4</v>
      </c>
    </row>
    <row r="32">
      <c r="A32" s="5">
        <f>HYPERLINK("https://app-web.statementrec.com/app#appuploadfiles/3a20c872-f5ee-635b-8391-88f1a46b3530","02701-ChinnAlice")</f>
      </c>
      <c r="B32" s="3" t="s">
        <v>26</v>
      </c>
      <c r="C32" s="4">
        <v>70</v>
      </c>
    </row>
    <row r="33">
      <c r="A33" s="5">
        <f>HYPERLINK("https://app-web.statementrec.com/app#appuploadfiles/3a21809b-2efd-d742-4656-42dc66ce598b","AU Client 04")</f>
      </c>
      <c r="B33" s="3" t="s">
        <v>8</v>
      </c>
      <c r="C33" s="4">
        <v>12</v>
      </c>
    </row>
    <row r="34">
      <c r="A34" s="5">
        <f>HYPERLINK("https://app-web.statementrec.com/app#appuploadfiles/3a2180dc-60c9-945c-6104-183008a4e7e5","C.B Collects Ltd")</f>
      </c>
      <c r="B34" s="3" t="s">
        <v>27</v>
      </c>
      <c r="C34" s="4">
        <v>22</v>
      </c>
    </row>
    <row r="35">
      <c r="A35" s="5">
        <f>HYPERLINK("https://app-web.statementrec.com/app#appuploadfiles/3a218388-d8fd-6403-018e-b00343e95de1","04.30.2026-1792")</f>
      </c>
      <c r="B35" s="3" t="s">
        <v>28</v>
      </c>
      <c r="C35" s="4">
        <v>5</v>
      </c>
    </row>
    <row r="36">
      <c r="A36" s="5">
        <f>HYPERLINK("https://app-web.statementrec.com/app#appuploadfiles/3a2184cd-be77-57ea-7525-b7afd697b22d","ELTRADE ELECTRICAL LTD")</f>
      </c>
      <c r="B36" s="3" t="s">
        <v>8</v>
      </c>
      <c r="C36" s="4">
        <v>106</v>
      </c>
    </row>
    <row r="37">
      <c r="A37" s="5">
        <f>HYPERLINK("https://app-web.statementrec.com/app#appuploadfiles/3a2184d0-83bb-8bce-acf6-7d475f1f2af8","YE Nov 2025")</f>
      </c>
      <c r="B37" s="3" t="s">
        <v>29</v>
      </c>
      <c r="C37" s="4">
        <v>26</v>
      </c>
    </row>
    <row r="38">
      <c r="A38" s="5">
        <f>HYPERLINK("https://app-web.statementrec.com/app#appuploadfiles/3a2184d1-9d6c-0064-070c-25023d12de85","Bank statements")</f>
      </c>
      <c r="B38" s="3" t="s">
        <v>30</v>
      </c>
      <c r="C38" s="4">
        <v>15</v>
      </c>
    </row>
    <row r="39">
      <c r="A39" s="5">
        <f>HYPERLINK("https://app-web.statementrec.com/app#appuploadfiles/3a2184d7-cc16-25fa-7058-df0dbbdc6346","Westwell Green Ltd")</f>
      </c>
      <c r="B39" s="3" t="s">
        <v>24</v>
      </c>
      <c r="C39" s="4">
        <v>3</v>
      </c>
    </row>
    <row r="40">
      <c r="A40" s="5">
        <f>HYPERLINK("https://app-web.statementrec.com/app#appuploadfiles/3a218500-3677-6afd-af69-de583e5b8db8","Property Signs (Scotland) Ltd")</f>
      </c>
      <c r="B40" s="3" t="s">
        <v>7</v>
      </c>
      <c r="C40" s="4">
        <v>2</v>
      </c>
    </row>
    <row r="41">
      <c r="A41" s="5">
        <f>HYPERLINK("https://app-web.statementrec.com/app#appuploadfiles/3a21850a-eff5-e1af-79be-d96b9ffa6979","Quicklane Consultants Ltd")</f>
      </c>
      <c r="B41" s="3" t="s">
        <v>31</v>
      </c>
      <c r="C41" s="4">
        <v>2</v>
      </c>
    </row>
    <row r="42">
      <c r="A42" s="5">
        <f>HYPERLINK("https://app-web.statementrec.com/app#appuploadfiles/3a218513-b414-1dc7-c9d4-aced1f09e4a8","2025-26")</f>
      </c>
      <c r="B42" s="3" t="s">
        <v>32</v>
      </c>
      <c r="C42" s="4">
        <v>202</v>
      </c>
    </row>
    <row r="43">
      <c r="A43" s="5">
        <f>HYPERLINK("https://app-web.statementrec.com/app#appuploadfiles/3a218514-40f8-706d-486b-c191b955d52e","Northcott")</f>
      </c>
      <c r="B43" s="3" t="s">
        <v>33</v>
      </c>
      <c r="C43" s="4">
        <v>131</v>
      </c>
    </row>
    <row r="44">
      <c r="A44" s="5">
        <f>HYPERLINK("https://app-web.statementrec.com/app#appuploadfiles/3a218524-8a0c-3bf5-5503-d811dfb45d94","BOXERDOME LIMITED")</f>
      </c>
      <c r="B44" s="3" t="s">
        <v>31</v>
      </c>
      <c r="C44" s="4">
        <v>91</v>
      </c>
    </row>
    <row r="45">
      <c r="A45" s="5">
        <f>HYPERLINK("https://app-web.statementrec.com/app#appuploadfiles/3a218547-e55d-84c0-f36d-640f98ffa8c4","M&amp;K Autos")</f>
      </c>
      <c r="B45" s="3" t="s">
        <v>34</v>
      </c>
      <c r="C45" s="4">
        <v>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</hyperlinks>
  <headerFooter>
    <oddFooter>&amp;L&amp;Z&amp;F&amp;C&amp;A&amp;RPage &amp;P of &amp;N</oddFooter>
  </headerFooter>
</worksheet>
</file>